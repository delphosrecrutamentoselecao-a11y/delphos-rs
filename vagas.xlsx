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lphos.sharepoint.com/sites/RecrutamentoeSeleoDELPHOS/Shared Documents/Controle e Gestão de Vagas/"/>
    </mc:Choice>
  </mc:AlternateContent>
  <xr:revisionPtr revIDLastSave="0" documentId="8_{405A41E8-3AA0-42A1-B09A-CF0FDD1DBAAC}" xr6:coauthVersionLast="47" xr6:coauthVersionMax="47" xr10:uidLastSave="{00000000-0000-0000-0000-000000000000}"/>
  <bookViews>
    <workbookView xWindow="-120" yWindow="-120" windowWidth="20730" windowHeight="11040" firstSheet="2" activeTab="1" xr2:uid="{00000000-000D-0000-FFFF-FFFF00000000}"/>
  </bookViews>
  <sheets>
    <sheet name="Painel de Vagas BCK 18MAI" sheetId="1" state="hidden" r:id="rId1"/>
    <sheet name="Planilha  de Vagas R&amp;S" sheetId="4" r:id="rId2"/>
    <sheet name="BI" sheetId="3" r:id="rId3"/>
    <sheet name="Listas" sheetId="2" r:id="rId4"/>
  </sheets>
  <definedNames>
    <definedName name="_xlnm._FilterDatabase" localSheetId="0" hidden="1">'Painel de Vagas BCK 18MAI'!$A$1:$AA$1044715</definedName>
    <definedName name="_xlnm._FilterDatabase" localSheetId="1" hidden="1">'Planilha  de Vagas R&amp;S'!$A$1:$AO$1465</definedName>
    <definedName name="_xlnm._FilterDatabase" localSheetId="2" hidden="1">BI!$A$1:$O$1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27" i="4" l="1"/>
  <c r="D1428" i="4"/>
  <c r="D1429" i="4"/>
  <c r="D1430" i="4"/>
  <c r="D1431" i="4"/>
  <c r="D1432" i="4"/>
  <c r="E1432" i="4" s="1"/>
  <c r="D1433" i="4"/>
  <c r="E1433" i="4" s="1"/>
  <c r="D1434" i="4"/>
  <c r="E1434" i="4" s="1"/>
  <c r="D1435" i="4"/>
  <c r="E1435" i="4" s="1"/>
  <c r="D1436" i="4"/>
  <c r="E1436" i="4" s="1"/>
  <c r="D1437" i="4"/>
  <c r="E1437" i="4" s="1"/>
  <c r="D1438" i="4"/>
  <c r="E1438" i="4" s="1"/>
  <c r="D1439" i="4"/>
  <c r="E1439" i="4" s="1"/>
  <c r="D1440" i="4"/>
  <c r="E1440" i="4" s="1"/>
  <c r="D1441" i="4"/>
  <c r="E1441" i="4" s="1"/>
  <c r="D1442" i="4"/>
  <c r="E1442" i="4" s="1"/>
  <c r="D1443" i="4"/>
  <c r="E1443" i="4" s="1"/>
  <c r="D1444" i="4"/>
  <c r="E1444" i="4" s="1"/>
  <c r="D1445" i="4"/>
  <c r="E1445" i="4" s="1"/>
  <c r="D1446" i="4"/>
  <c r="E1446" i="4" s="1"/>
  <c r="E1431" i="4"/>
  <c r="D1410" i="4" l="1"/>
  <c r="E1410" i="4" s="1"/>
  <c r="D1411" i="4"/>
  <c r="E1411" i="4" s="1"/>
  <c r="D1412" i="4"/>
  <c r="E1412" i="4" s="1"/>
  <c r="D1413" i="4"/>
  <c r="E1413" i="4" s="1"/>
  <c r="D1414" i="4"/>
  <c r="E1414" i="4" s="1"/>
  <c r="D1415" i="4"/>
  <c r="E1415" i="4" s="1"/>
  <c r="D1416" i="4"/>
  <c r="E1416" i="4" s="1"/>
  <c r="D1417" i="4"/>
  <c r="E1417" i="4" s="1"/>
  <c r="D1418" i="4"/>
  <c r="E1418" i="4" s="1"/>
  <c r="D1419" i="4"/>
  <c r="E1419" i="4" s="1"/>
  <c r="D1420" i="4"/>
  <c r="E1420" i="4" s="1"/>
  <c r="D1421" i="4"/>
  <c r="E1421" i="4" s="1"/>
  <c r="D1422" i="4"/>
  <c r="E1422" i="4" s="1"/>
  <c r="D1423" i="4"/>
  <c r="E1423" i="4" s="1"/>
  <c r="D1424" i="4"/>
  <c r="E1424" i="4" s="1"/>
  <c r="D1425" i="4"/>
  <c r="E1425" i="4" s="1"/>
  <c r="D1426" i="4"/>
  <c r="E1426" i="4" s="1"/>
  <c r="E1427" i="4"/>
  <c r="E1428" i="4"/>
  <c r="E1429" i="4"/>
  <c r="E1430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32" i="4"/>
  <c r="I1433" i="4"/>
  <c r="I1434" i="4"/>
  <c r="I1435" i="4"/>
  <c r="I1436" i="4"/>
  <c r="I1437" i="4"/>
  <c r="I1438" i="4"/>
  <c r="I1439" i="4"/>
  <c r="I1440" i="4"/>
  <c r="I1441" i="4"/>
  <c r="I1442" i="4"/>
  <c r="I1343" i="4"/>
  <c r="I1389" i="4"/>
  <c r="D1386" i="4"/>
  <c r="E1386" i="4" s="1"/>
  <c r="D1387" i="4"/>
  <c r="E1387" i="4" s="1"/>
  <c r="D1388" i="4"/>
  <c r="E1388" i="4" s="1"/>
  <c r="D1389" i="4"/>
  <c r="E1389" i="4" s="1"/>
  <c r="D1390" i="4"/>
  <c r="E1390" i="4" s="1"/>
  <c r="D1391" i="4"/>
  <c r="E1391" i="4" s="1"/>
  <c r="D1392" i="4"/>
  <c r="E1392" i="4" s="1"/>
  <c r="D1393" i="4"/>
  <c r="E1393" i="4" s="1"/>
  <c r="D1394" i="4"/>
  <c r="E1394" i="4" s="1"/>
  <c r="D1395" i="4"/>
  <c r="E1395" i="4" s="1"/>
  <c r="D1396" i="4"/>
  <c r="E1396" i="4" s="1"/>
  <c r="D1397" i="4"/>
  <c r="E1397" i="4" s="1"/>
  <c r="D1398" i="4"/>
  <c r="E1398" i="4" s="1"/>
  <c r="D1399" i="4"/>
  <c r="E1399" i="4" s="1"/>
  <c r="D1400" i="4"/>
  <c r="E1400" i="4" s="1"/>
  <c r="D1401" i="4"/>
  <c r="E1401" i="4" s="1"/>
  <c r="D1402" i="4"/>
  <c r="E1402" i="4" s="1"/>
  <c r="D1403" i="4"/>
  <c r="E1403" i="4" s="1"/>
  <c r="D1404" i="4"/>
  <c r="E1404" i="4" s="1"/>
  <c r="D1405" i="4"/>
  <c r="E1405" i="4" s="1"/>
  <c r="D1406" i="4"/>
  <c r="E1406" i="4" s="1"/>
  <c r="D1408" i="4"/>
  <c r="E1408" i="4" s="1"/>
  <c r="D1409" i="4"/>
  <c r="E1409" i="4" s="1"/>
  <c r="I1398" i="4"/>
  <c r="I1399" i="4"/>
  <c r="I1400" i="4"/>
  <c r="I1401" i="4"/>
  <c r="I1402" i="4"/>
  <c r="I1404" i="4"/>
  <c r="I1405" i="4"/>
  <c r="I1406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D1375" i="4"/>
  <c r="E1375" i="4" s="1"/>
  <c r="D1376" i="4"/>
  <c r="E1376" i="4" s="1"/>
  <c r="D1377" i="4"/>
  <c r="E1377" i="4" s="1"/>
  <c r="D1378" i="4"/>
  <c r="E1378" i="4" s="1"/>
  <c r="D1379" i="4"/>
  <c r="E1379" i="4" s="1"/>
  <c r="D1380" i="4"/>
  <c r="E1380" i="4" s="1"/>
  <c r="D1381" i="4"/>
  <c r="E1381" i="4" s="1"/>
  <c r="D1382" i="4"/>
  <c r="E1382" i="4" s="1"/>
  <c r="D1383" i="4"/>
  <c r="E1383" i="4" s="1"/>
  <c r="D1384" i="4"/>
  <c r="E1384" i="4" s="1"/>
  <c r="D1385" i="4"/>
  <c r="E1385" i="4" s="1"/>
  <c r="I1380" i="4"/>
  <c r="I1381" i="4"/>
  <c r="I1382" i="4"/>
  <c r="I1383" i="4"/>
  <c r="I1384" i="4"/>
  <c r="I1385" i="4"/>
  <c r="I1386" i="4"/>
  <c r="I1387" i="4"/>
  <c r="I1388" i="4"/>
  <c r="I1390" i="4"/>
  <c r="I1391" i="4"/>
  <c r="I1392" i="4"/>
  <c r="I1393" i="4"/>
  <c r="I1394" i="4"/>
  <c r="I1395" i="4"/>
  <c r="I1396" i="4"/>
  <c r="I1397" i="4"/>
  <c r="D1364" i="4"/>
  <c r="E1364" i="4" s="1"/>
  <c r="D1365" i="4"/>
  <c r="E1365" i="4" s="1"/>
  <c r="D1366" i="4"/>
  <c r="E1366" i="4" s="1"/>
  <c r="D1367" i="4"/>
  <c r="E1367" i="4" s="1"/>
  <c r="D1368" i="4"/>
  <c r="E1368" i="4" s="1"/>
  <c r="D1369" i="4"/>
  <c r="E1369" i="4" s="1"/>
  <c r="D1370" i="4"/>
  <c r="E1370" i="4" s="1"/>
  <c r="D1371" i="4"/>
  <c r="E1371" i="4" s="1"/>
  <c r="D1372" i="4"/>
  <c r="E1372" i="4" s="1"/>
  <c r="D1373" i="4"/>
  <c r="E1373" i="4" s="1"/>
  <c r="D1374" i="4"/>
  <c r="E1374" i="4" s="1"/>
  <c r="D1360" i="4"/>
  <c r="E1360" i="4" s="1"/>
  <c r="D1361" i="4"/>
  <c r="E1361" i="4" s="1"/>
  <c r="D1362" i="4"/>
  <c r="E1362" i="4" s="1"/>
  <c r="D1363" i="4"/>
  <c r="E1363" i="4" s="1"/>
  <c r="D1334" i="4"/>
  <c r="E1334" i="4" s="1"/>
  <c r="D1335" i="4"/>
  <c r="E1335" i="4" s="1"/>
  <c r="D1336" i="4"/>
  <c r="E1336" i="4" s="1"/>
  <c r="D1337" i="4"/>
  <c r="E1337" i="4" s="1"/>
  <c r="D1338" i="4"/>
  <c r="E1338" i="4" s="1"/>
  <c r="D1339" i="4"/>
  <c r="E1339" i="4" s="1"/>
  <c r="D1340" i="4"/>
  <c r="E1340" i="4" s="1"/>
  <c r="D1341" i="4"/>
  <c r="E1341" i="4" s="1"/>
  <c r="D1342" i="4"/>
  <c r="E1342" i="4" s="1"/>
  <c r="D1343" i="4"/>
  <c r="E1343" i="4" s="1"/>
  <c r="D1344" i="4"/>
  <c r="E1344" i="4" s="1"/>
  <c r="D1345" i="4"/>
  <c r="E1345" i="4" s="1"/>
  <c r="D1346" i="4"/>
  <c r="E1346" i="4" s="1"/>
  <c r="D1347" i="4"/>
  <c r="E1347" i="4" s="1"/>
  <c r="D1348" i="4"/>
  <c r="E1348" i="4" s="1"/>
  <c r="D1349" i="4"/>
  <c r="E1349" i="4" s="1"/>
  <c r="D1350" i="4"/>
  <c r="E1350" i="4" s="1"/>
  <c r="D1351" i="4"/>
  <c r="E1351" i="4" s="1"/>
  <c r="D1352" i="4"/>
  <c r="E1352" i="4" s="1"/>
  <c r="D1353" i="4"/>
  <c r="E1353" i="4" s="1"/>
  <c r="D1354" i="4"/>
  <c r="E1354" i="4" s="1"/>
  <c r="D1355" i="4"/>
  <c r="E1355" i="4" s="1"/>
  <c r="D1356" i="4"/>
  <c r="E1356" i="4" s="1"/>
  <c r="D1357" i="4"/>
  <c r="E1357" i="4" s="1"/>
  <c r="D1358" i="4"/>
  <c r="E1358" i="4" s="1"/>
  <c r="D1359" i="4"/>
  <c r="E1359" i="4" s="1"/>
  <c r="I1335" i="4"/>
  <c r="I1336" i="4"/>
  <c r="I1337" i="4"/>
  <c r="I1338" i="4"/>
  <c r="I1339" i="4"/>
  <c r="I1340" i="4"/>
  <c r="I1341" i="4"/>
  <c r="I1342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D1321" i="4"/>
  <c r="E1321" i="4" s="1"/>
  <c r="D1322" i="4"/>
  <c r="E1322" i="4" s="1"/>
  <c r="D1323" i="4"/>
  <c r="E1323" i="4" s="1"/>
  <c r="D1324" i="4"/>
  <c r="E1324" i="4" s="1"/>
  <c r="D1325" i="4"/>
  <c r="E1325" i="4" s="1"/>
  <c r="D1326" i="4"/>
  <c r="E1326" i="4" s="1"/>
  <c r="D1327" i="4"/>
  <c r="E1327" i="4" s="1"/>
  <c r="D1328" i="4"/>
  <c r="E1328" i="4" s="1"/>
  <c r="D1329" i="4"/>
  <c r="E1329" i="4" s="1"/>
  <c r="D1330" i="4"/>
  <c r="E1330" i="4" s="1"/>
  <c r="D1331" i="4"/>
  <c r="E1331" i="4" s="1"/>
  <c r="D1332" i="4"/>
  <c r="E1332" i="4" s="1"/>
  <c r="D1333" i="4"/>
  <c r="E1333" i="4" s="1"/>
  <c r="I1312" i="4"/>
  <c r="I1313" i="4"/>
  <c r="I1314" i="4"/>
  <c r="I1315" i="4"/>
  <c r="I1316" i="4"/>
  <c r="I1317" i="4"/>
  <c r="I1318" i="4"/>
  <c r="I1319" i="4"/>
  <c r="I1320" i="4"/>
  <c r="I1307" i="4"/>
  <c r="I1308" i="4"/>
  <c r="D1306" i="4"/>
  <c r="E1306" i="4" s="1"/>
  <c r="D1307" i="4"/>
  <c r="E1307" i="4" s="1"/>
  <c r="D1308" i="4"/>
  <c r="E1308" i="4" s="1"/>
  <c r="D1309" i="4"/>
  <c r="E1309" i="4" s="1"/>
  <c r="D1310" i="4"/>
  <c r="E1310" i="4" s="1"/>
  <c r="D1311" i="4"/>
  <c r="E1311" i="4" s="1"/>
  <c r="D1312" i="4"/>
  <c r="E1312" i="4" s="1"/>
  <c r="D1313" i="4"/>
  <c r="E1313" i="4" s="1"/>
  <c r="D1314" i="4"/>
  <c r="E1314" i="4" s="1"/>
  <c r="D1315" i="4"/>
  <c r="E1315" i="4" s="1"/>
  <c r="D1316" i="4"/>
  <c r="E1316" i="4" s="1"/>
  <c r="D1317" i="4"/>
  <c r="E1317" i="4" s="1"/>
  <c r="D1318" i="4"/>
  <c r="E1318" i="4" s="1"/>
  <c r="D1319" i="4"/>
  <c r="E1319" i="4" s="1"/>
  <c r="D1320" i="4"/>
  <c r="E1320" i="4" s="1"/>
  <c r="D1305" i="4"/>
  <c r="E1305" i="4" s="1"/>
  <c r="D1304" i="4"/>
  <c r="E1304" i="4" s="1"/>
  <c r="D1294" i="4"/>
  <c r="E1294" i="4" s="1"/>
  <c r="D1295" i="4"/>
  <c r="E1295" i="4" s="1"/>
  <c r="D1296" i="4"/>
  <c r="D1297" i="4"/>
  <c r="E1297" i="4" s="1"/>
  <c r="D1298" i="4"/>
  <c r="E1298" i="4" s="1"/>
  <c r="D1299" i="4"/>
  <c r="E1299" i="4" s="1"/>
  <c r="D1300" i="4"/>
  <c r="E1300" i="4" s="1"/>
  <c r="D1301" i="4"/>
  <c r="E1301" i="4" s="1"/>
  <c r="D1302" i="4"/>
  <c r="E1302" i="4" s="1"/>
  <c r="D1303" i="4"/>
  <c r="E1303" i="4" s="1"/>
  <c r="E1296" i="4"/>
  <c r="I1294" i="4"/>
  <c r="I1295" i="4"/>
  <c r="I1296" i="4"/>
  <c r="I1297" i="4"/>
  <c r="I1298" i="4"/>
  <c r="I1299" i="4"/>
  <c r="I1300" i="4"/>
  <c r="I1301" i="4"/>
  <c r="I1302" i="4"/>
  <c r="I1303" i="4"/>
  <c r="D1293" i="4"/>
  <c r="E1293" i="4" s="1"/>
  <c r="D1291" i="4"/>
  <c r="E1291" i="4" s="1"/>
  <c r="D1292" i="4"/>
  <c r="E1292" i="4" s="1"/>
  <c r="I1305" i="4"/>
  <c r="I1306" i="4"/>
  <c r="I1309" i="4"/>
  <c r="I1310" i="4"/>
  <c r="I1311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D7" i="4"/>
  <c r="D1270" i="4"/>
  <c r="E1270" i="4" s="1"/>
  <c r="D1271" i="4"/>
  <c r="E1271" i="4" s="1"/>
  <c r="D1272" i="4"/>
  <c r="E1272" i="4" s="1"/>
  <c r="D1273" i="4"/>
  <c r="E1273" i="4" s="1"/>
  <c r="D1274" i="4"/>
  <c r="E1274" i="4" s="1"/>
  <c r="D1275" i="4"/>
  <c r="E1275" i="4" s="1"/>
  <c r="D1276" i="4"/>
  <c r="E1276" i="4" s="1"/>
  <c r="D1277" i="4"/>
  <c r="E1277" i="4" s="1"/>
  <c r="D1278" i="4"/>
  <c r="E1278" i="4" s="1"/>
  <c r="D1279" i="4"/>
  <c r="E1279" i="4" s="1"/>
  <c r="D1280" i="4"/>
  <c r="E1280" i="4" s="1"/>
  <c r="D1281" i="4"/>
  <c r="E1281" i="4" s="1"/>
  <c r="D1282" i="4"/>
  <c r="E1282" i="4" s="1"/>
  <c r="D1283" i="4"/>
  <c r="E1283" i="4" s="1"/>
  <c r="D1284" i="4"/>
  <c r="E1284" i="4" s="1"/>
  <c r="D1285" i="4"/>
  <c r="E1285" i="4" s="1"/>
  <c r="D1286" i="4"/>
  <c r="E1286" i="4" s="1"/>
  <c r="D1287" i="4"/>
  <c r="E1287" i="4" s="1"/>
  <c r="D1288" i="4"/>
  <c r="E1288" i="4" s="1"/>
  <c r="D1289" i="4"/>
  <c r="E1289" i="4" s="1"/>
  <c r="D1290" i="4"/>
  <c r="E1290" i="4" s="1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304" i="4"/>
  <c r="I1216" i="4"/>
  <c r="D1247" i="4"/>
  <c r="E1247" i="4" s="1"/>
  <c r="D1248" i="4"/>
  <c r="E1248" i="4" s="1"/>
  <c r="D1249" i="4"/>
  <c r="E1249" i="4" s="1"/>
  <c r="D1250" i="4"/>
  <c r="E1250" i="4" s="1"/>
  <c r="D1251" i="4"/>
  <c r="E1251" i="4" s="1"/>
  <c r="D1252" i="4"/>
  <c r="E1252" i="4" s="1"/>
  <c r="D1253" i="4"/>
  <c r="E1253" i="4" s="1"/>
  <c r="D1254" i="4"/>
  <c r="E1254" i="4" s="1"/>
  <c r="D1255" i="4"/>
  <c r="E1255" i="4" s="1"/>
  <c r="D1256" i="4"/>
  <c r="E1256" i="4" s="1"/>
  <c r="D1257" i="4"/>
  <c r="E1257" i="4" s="1"/>
  <c r="D1258" i="4"/>
  <c r="E1258" i="4" s="1"/>
  <c r="D1259" i="4"/>
  <c r="E1259" i="4" s="1"/>
  <c r="D1260" i="4"/>
  <c r="E1260" i="4" s="1"/>
  <c r="D1261" i="4"/>
  <c r="E1261" i="4" s="1"/>
  <c r="D1262" i="4"/>
  <c r="E1262" i="4" s="1"/>
  <c r="D1263" i="4"/>
  <c r="E1263" i="4" s="1"/>
  <c r="D1264" i="4"/>
  <c r="E1264" i="4" s="1"/>
  <c r="D1265" i="4"/>
  <c r="E1265" i="4" s="1"/>
  <c r="D1266" i="4"/>
  <c r="E1266" i="4" s="1"/>
  <c r="D1267" i="4"/>
  <c r="E1267" i="4" s="1"/>
  <c r="D1268" i="4"/>
  <c r="E1268" i="4" s="1"/>
  <c r="D1269" i="4"/>
  <c r="E1269" i="4" s="1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D1224" i="4"/>
  <c r="D1225" i="4"/>
  <c r="E1225" i="4" s="1"/>
  <c r="D1226" i="4"/>
  <c r="E1226" i="4" s="1"/>
  <c r="D1227" i="4"/>
  <c r="E1227" i="4" s="1"/>
  <c r="D1228" i="4"/>
  <c r="E1228" i="4" s="1"/>
  <c r="D1229" i="4"/>
  <c r="E1229" i="4" s="1"/>
  <c r="D1230" i="4"/>
  <c r="E1230" i="4" s="1"/>
  <c r="D1231" i="4"/>
  <c r="E1231" i="4" s="1"/>
  <c r="D1232" i="4"/>
  <c r="E1232" i="4" s="1"/>
  <c r="D1233" i="4"/>
  <c r="E1233" i="4" s="1"/>
  <c r="D1234" i="4"/>
  <c r="E1234" i="4" s="1"/>
  <c r="D1235" i="4"/>
  <c r="E1235" i="4" s="1"/>
  <c r="D1236" i="4"/>
  <c r="E1236" i="4" s="1"/>
  <c r="D1237" i="4"/>
  <c r="E1237" i="4" s="1"/>
  <c r="D1238" i="4"/>
  <c r="D1239" i="4"/>
  <c r="E1239" i="4" s="1"/>
  <c r="D1240" i="4"/>
  <c r="E1240" i="4" s="1"/>
  <c r="D1241" i="4"/>
  <c r="E1241" i="4" s="1"/>
  <c r="D1242" i="4"/>
  <c r="E1242" i="4" s="1"/>
  <c r="D1243" i="4"/>
  <c r="E1243" i="4" s="1"/>
  <c r="D1244" i="4"/>
  <c r="E1244" i="4" s="1"/>
  <c r="D1245" i="4"/>
  <c r="E1245" i="4" s="1"/>
  <c r="D1246" i="4"/>
  <c r="E1246" i="4" s="1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032" i="4"/>
  <c r="D1214" i="4"/>
  <c r="E1214" i="4" s="1"/>
  <c r="I1214" i="4"/>
  <c r="I1132" i="4"/>
  <c r="D1132" i="4"/>
  <c r="E1132" i="4" s="1"/>
  <c r="I1134" i="4"/>
  <c r="D1134" i="4"/>
  <c r="E1134" i="4" s="1"/>
  <c r="D1207" i="4"/>
  <c r="E1207" i="4" s="1"/>
  <c r="D1208" i="4"/>
  <c r="E1208" i="4" s="1"/>
  <c r="D1209" i="4"/>
  <c r="E1209" i="4" s="1"/>
  <c r="D1210" i="4"/>
  <c r="E1210" i="4" s="1"/>
  <c r="D1211" i="4"/>
  <c r="E1211" i="4" s="1"/>
  <c r="D1212" i="4"/>
  <c r="E1212" i="4" s="1"/>
  <c r="D1213" i="4"/>
  <c r="E1213" i="4" s="1"/>
  <c r="D1215" i="4"/>
  <c r="E1215" i="4" s="1"/>
  <c r="D1216" i="4"/>
  <c r="E1216" i="4" s="1"/>
  <c r="D1217" i="4"/>
  <c r="E1217" i="4" s="1"/>
  <c r="D1218" i="4"/>
  <c r="E1218" i="4" s="1"/>
  <c r="D1219" i="4"/>
  <c r="E1219" i="4" s="1"/>
  <c r="D1220" i="4"/>
  <c r="E1220" i="4" s="1"/>
  <c r="D1221" i="4"/>
  <c r="E1221" i="4" s="1"/>
  <c r="D1222" i="4"/>
  <c r="E1222" i="4" s="1"/>
  <c r="D1223" i="4"/>
  <c r="E1223" i="4" s="1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D1189" i="4"/>
  <c r="E1189" i="4" s="1"/>
  <c r="D1190" i="4"/>
  <c r="E1190" i="4" s="1"/>
  <c r="D1191" i="4"/>
  <c r="D1192" i="4"/>
  <c r="E1192" i="4" s="1"/>
  <c r="D1193" i="4"/>
  <c r="E1193" i="4" s="1"/>
  <c r="D1194" i="4"/>
  <c r="E1194" i="4" s="1"/>
  <c r="D1195" i="4"/>
  <c r="E1195" i="4" s="1"/>
  <c r="D1196" i="4"/>
  <c r="E1196" i="4" s="1"/>
  <c r="D1197" i="4"/>
  <c r="E1197" i="4" s="1"/>
  <c r="D1198" i="4"/>
  <c r="E1198" i="4" s="1"/>
  <c r="D1199" i="4"/>
  <c r="E1199" i="4" s="1"/>
  <c r="D1200" i="4"/>
  <c r="E1200" i="4" s="1"/>
  <c r="D1201" i="4"/>
  <c r="D1202" i="4"/>
  <c r="E1202" i="4" s="1"/>
  <c r="D1203" i="4"/>
  <c r="E1203" i="4" s="1"/>
  <c r="D1204" i="4"/>
  <c r="E1204" i="4" s="1"/>
  <c r="D1205" i="4"/>
  <c r="E1205" i="4" s="1"/>
  <c r="D1206" i="4"/>
  <c r="E1206" i="4" s="1"/>
  <c r="D1185" i="4"/>
  <c r="E1185" i="4" s="1"/>
  <c r="D1186" i="4"/>
  <c r="E1186" i="4" s="1"/>
  <c r="D1187" i="4"/>
  <c r="E1187" i="4" s="1"/>
  <c r="D1188" i="4"/>
  <c r="E1188" i="4" s="1"/>
  <c r="I1203" i="4"/>
  <c r="I1204" i="4"/>
  <c r="I1205" i="4"/>
  <c r="I1206" i="4"/>
  <c r="I1207" i="4"/>
  <c r="I1208" i="4"/>
  <c r="I1209" i="4"/>
  <c r="I1210" i="4"/>
  <c r="I1212" i="4"/>
  <c r="I1213" i="4"/>
  <c r="I1215" i="4"/>
  <c r="I1217" i="4"/>
  <c r="I1218" i="4"/>
  <c r="I1219" i="4"/>
  <c r="E1004" i="4"/>
  <c r="E1002" i="4"/>
  <c r="D1169" i="4"/>
  <c r="E1169" i="4" s="1"/>
  <c r="D1170" i="4"/>
  <c r="E1170" i="4" s="1"/>
  <c r="D1171" i="4"/>
  <c r="E1171" i="4" s="1"/>
  <c r="D1172" i="4"/>
  <c r="E1172" i="4" s="1"/>
  <c r="D1173" i="4"/>
  <c r="E1173" i="4" s="1"/>
  <c r="D1174" i="4"/>
  <c r="E1174" i="4" s="1"/>
  <c r="D1175" i="4"/>
  <c r="E1175" i="4" s="1"/>
  <c r="D1176" i="4"/>
  <c r="E1176" i="4" s="1"/>
  <c r="D1177" i="4"/>
  <c r="E1177" i="4" s="1"/>
  <c r="D1178" i="4"/>
  <c r="E1178" i="4" s="1"/>
  <c r="D1179" i="4"/>
  <c r="E1179" i="4" s="1"/>
  <c r="D1180" i="4"/>
  <c r="E1180" i="4" s="1"/>
  <c r="D1181" i="4"/>
  <c r="E1181" i="4" s="1"/>
  <c r="D1182" i="4"/>
  <c r="E1182" i="4" s="1"/>
  <c r="D1183" i="4"/>
  <c r="E1183" i="4" s="1"/>
  <c r="D1184" i="4"/>
  <c r="E1184" i="4" s="1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D1140" i="4"/>
  <c r="E1140" i="4" s="1"/>
  <c r="D1141" i="4"/>
  <c r="E1141" i="4" s="1"/>
  <c r="D1142" i="4"/>
  <c r="E1142" i="4" s="1"/>
  <c r="D1143" i="4"/>
  <c r="E1143" i="4" s="1"/>
  <c r="D1144" i="4"/>
  <c r="E1144" i="4" s="1"/>
  <c r="D1145" i="4"/>
  <c r="E1145" i="4" s="1"/>
  <c r="D1146" i="4"/>
  <c r="E1146" i="4" s="1"/>
  <c r="D1147" i="4"/>
  <c r="E1147" i="4" s="1"/>
  <c r="D1148" i="4"/>
  <c r="E1148" i="4" s="1"/>
  <c r="D1149" i="4"/>
  <c r="E1149" i="4" s="1"/>
  <c r="D1150" i="4"/>
  <c r="E1150" i="4" s="1"/>
  <c r="D1151" i="4"/>
  <c r="E1151" i="4" s="1"/>
  <c r="D1152" i="4"/>
  <c r="E1152" i="4" s="1"/>
  <c r="D1153" i="4"/>
  <c r="E1153" i="4" s="1"/>
  <c r="D1154" i="4"/>
  <c r="E1154" i="4" s="1"/>
  <c r="D1155" i="4"/>
  <c r="E1155" i="4" s="1"/>
  <c r="D1156" i="4"/>
  <c r="E1156" i="4" s="1"/>
  <c r="D1157" i="4"/>
  <c r="E1157" i="4" s="1"/>
  <c r="D1158" i="4"/>
  <c r="E1158" i="4" s="1"/>
  <c r="D1159" i="4"/>
  <c r="E1159" i="4" s="1"/>
  <c r="D1160" i="4"/>
  <c r="E1160" i="4" s="1"/>
  <c r="D1161" i="4"/>
  <c r="E1161" i="4" s="1"/>
  <c r="D1162" i="4"/>
  <c r="E1162" i="4" s="1"/>
  <c r="D1163" i="4"/>
  <c r="E1163" i="4" s="1"/>
  <c r="D1164" i="4"/>
  <c r="E1164" i="4" s="1"/>
  <c r="D1165" i="4"/>
  <c r="E1165" i="4" s="1"/>
  <c r="D1166" i="4"/>
  <c r="E1166" i="4" s="1"/>
  <c r="D1167" i="4"/>
  <c r="E1167" i="4" s="1"/>
  <c r="D1168" i="4"/>
  <c r="E1168" i="4" s="1"/>
  <c r="I1166" i="4"/>
  <c r="I1167" i="4"/>
  <c r="I1168" i="4"/>
  <c r="I1169" i="4"/>
  <c r="I1170" i="4"/>
  <c r="I1171" i="4"/>
  <c r="I1172" i="4"/>
  <c r="I1173" i="4"/>
  <c r="I1174" i="4"/>
  <c r="I1175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D1123" i="4"/>
  <c r="E1123" i="4" s="1"/>
  <c r="D1124" i="4"/>
  <c r="E1124" i="4" s="1"/>
  <c r="D1125" i="4"/>
  <c r="E1125" i="4" s="1"/>
  <c r="D1126" i="4"/>
  <c r="E1126" i="4" s="1"/>
  <c r="D1127" i="4"/>
  <c r="E1127" i="4" s="1"/>
  <c r="D1128" i="4"/>
  <c r="E1128" i="4" s="1"/>
  <c r="D1129" i="4"/>
  <c r="E1129" i="4" s="1"/>
  <c r="D1130" i="4"/>
  <c r="E1130" i="4" s="1"/>
  <c r="D1131" i="4"/>
  <c r="E1131" i="4" s="1"/>
  <c r="D1133" i="4"/>
  <c r="E1133" i="4" s="1"/>
  <c r="D1135" i="4"/>
  <c r="E1135" i="4" s="1"/>
  <c r="D1136" i="4"/>
  <c r="E1136" i="4" s="1"/>
  <c r="D1137" i="4"/>
  <c r="E1137" i="4" s="1"/>
  <c r="D1138" i="4"/>
  <c r="E1138" i="4" s="1"/>
  <c r="D1139" i="4"/>
  <c r="E1139" i="4" s="1"/>
  <c r="I246" i="4"/>
  <c r="D1109" i="4"/>
  <c r="E1109" i="4" s="1"/>
  <c r="D1110" i="4"/>
  <c r="E1110" i="4" s="1"/>
  <c r="D1111" i="4"/>
  <c r="E1111" i="4" s="1"/>
  <c r="D1112" i="4"/>
  <c r="E1112" i="4" s="1"/>
  <c r="D1113" i="4"/>
  <c r="E1113" i="4" s="1"/>
  <c r="D1114" i="4"/>
  <c r="E1114" i="4" s="1"/>
  <c r="D1115" i="4"/>
  <c r="E1115" i="4" s="1"/>
  <c r="D1116" i="4"/>
  <c r="E1116" i="4" s="1"/>
  <c r="D1117" i="4"/>
  <c r="E1117" i="4" s="1"/>
  <c r="D1118" i="4"/>
  <c r="E1118" i="4" s="1"/>
  <c r="D1119" i="4"/>
  <c r="E1119" i="4" s="1"/>
  <c r="D1120" i="4"/>
  <c r="E1120" i="4" s="1"/>
  <c r="D1121" i="4"/>
  <c r="E1121" i="4" s="1"/>
  <c r="D1122" i="4"/>
  <c r="E1122" i="4" s="1"/>
  <c r="I1108" i="4"/>
  <c r="E1108" i="4"/>
  <c r="D110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3" i="4"/>
  <c r="I1135" i="4"/>
  <c r="I1136" i="4"/>
  <c r="I1137" i="4"/>
  <c r="I1138" i="4"/>
  <c r="I1139" i="4"/>
  <c r="I1140" i="4"/>
  <c r="I1141" i="4"/>
  <c r="D1107" i="4"/>
  <c r="E1107" i="4" s="1"/>
  <c r="D1090" i="4"/>
  <c r="E1090" i="4" s="1"/>
  <c r="D1091" i="4"/>
  <c r="E1091" i="4" s="1"/>
  <c r="D1092" i="4"/>
  <c r="E1092" i="4" s="1"/>
  <c r="D1093" i="4"/>
  <c r="E1093" i="4" s="1"/>
  <c r="D1094" i="4"/>
  <c r="E1094" i="4" s="1"/>
  <c r="D1095" i="4"/>
  <c r="E1095" i="4" s="1"/>
  <c r="D1096" i="4"/>
  <c r="E1096" i="4" s="1"/>
  <c r="D1097" i="4"/>
  <c r="E1097" i="4" s="1"/>
  <c r="D1098" i="4"/>
  <c r="E1098" i="4" s="1"/>
  <c r="D1099" i="4"/>
  <c r="E1099" i="4" s="1"/>
  <c r="D1100" i="4"/>
  <c r="E1100" i="4" s="1"/>
  <c r="D1101" i="4"/>
  <c r="E1101" i="4" s="1"/>
  <c r="D1102" i="4"/>
  <c r="E1102" i="4" s="1"/>
  <c r="D1103" i="4"/>
  <c r="E1103" i="4" s="1"/>
  <c r="D1104" i="4"/>
  <c r="E1104" i="4" s="1"/>
  <c r="D1105" i="4"/>
  <c r="E1105" i="4" s="1"/>
  <c r="D1106" i="4"/>
  <c r="E1106" i="4" s="1"/>
  <c r="I1105" i="4"/>
  <c r="I1106" i="4"/>
  <c r="I1107" i="4"/>
  <c r="I1109" i="4"/>
  <c r="I1110" i="4"/>
  <c r="I1111" i="4"/>
  <c r="I1112" i="4"/>
  <c r="I1113" i="4"/>
  <c r="I1114" i="4"/>
  <c r="I1115" i="4"/>
  <c r="I1116" i="4"/>
  <c r="I1117" i="4"/>
  <c r="I1118" i="4"/>
  <c r="D2" i="4"/>
  <c r="I304" i="4"/>
  <c r="D1079" i="4"/>
  <c r="E1079" i="4" s="1"/>
  <c r="D1080" i="4"/>
  <c r="E1080" i="4" s="1"/>
  <c r="D1081" i="4"/>
  <c r="E1081" i="4" s="1"/>
  <c r="D1082" i="4"/>
  <c r="E1082" i="4" s="1"/>
  <c r="D1083" i="4"/>
  <c r="E1083" i="4" s="1"/>
  <c r="D1084" i="4"/>
  <c r="E1084" i="4" s="1"/>
  <c r="D1085" i="4"/>
  <c r="E1085" i="4" s="1"/>
  <c r="D1086" i="4"/>
  <c r="E1086" i="4" s="1"/>
  <c r="D1087" i="4"/>
  <c r="E1087" i="4" s="1"/>
  <c r="D1088" i="4"/>
  <c r="E1088" i="4" s="1"/>
  <c r="D1089" i="4"/>
  <c r="E1089" i="4" s="1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078" i="4"/>
  <c r="D1078" i="4"/>
  <c r="E1078" i="4" s="1"/>
  <c r="I1076" i="4"/>
  <c r="D1076" i="4"/>
  <c r="E1076" i="4" s="1"/>
  <c r="D1051" i="4"/>
  <c r="E1051" i="4" s="1"/>
  <c r="D1052" i="4"/>
  <c r="E1052" i="4" s="1"/>
  <c r="D1053" i="4"/>
  <c r="E1053" i="4" s="1"/>
  <c r="D1054" i="4"/>
  <c r="E1054" i="4" s="1"/>
  <c r="D1055" i="4"/>
  <c r="E1055" i="4" s="1"/>
  <c r="D1056" i="4"/>
  <c r="E1056" i="4" s="1"/>
  <c r="D1057" i="4"/>
  <c r="E1057" i="4" s="1"/>
  <c r="D1058" i="4"/>
  <c r="E1058" i="4" s="1"/>
  <c r="D1059" i="4"/>
  <c r="E1059" i="4" s="1"/>
  <c r="D1060" i="4"/>
  <c r="E1060" i="4" s="1"/>
  <c r="D1061" i="4"/>
  <c r="E1061" i="4" s="1"/>
  <c r="D1062" i="4"/>
  <c r="E1062" i="4" s="1"/>
  <c r="D1063" i="4"/>
  <c r="E1063" i="4" s="1"/>
  <c r="D1064" i="4"/>
  <c r="E1064" i="4" s="1"/>
  <c r="D1065" i="4"/>
  <c r="E1065" i="4" s="1"/>
  <c r="D1066" i="4"/>
  <c r="E1066" i="4" s="1"/>
  <c r="D1067" i="4"/>
  <c r="D1068" i="4"/>
  <c r="E1068" i="4" s="1"/>
  <c r="D1069" i="4"/>
  <c r="E1069" i="4" s="1"/>
  <c r="D1070" i="4"/>
  <c r="E1070" i="4" s="1"/>
  <c r="D1071" i="4"/>
  <c r="E1071" i="4" s="1"/>
  <c r="D1072" i="4"/>
  <c r="E1072" i="4" s="1"/>
  <c r="D1073" i="4"/>
  <c r="E1073" i="4" s="1"/>
  <c r="D1074" i="4"/>
  <c r="E1074" i="4" s="1"/>
  <c r="D1075" i="4"/>
  <c r="E1075" i="4" s="1"/>
  <c r="D1077" i="4"/>
  <c r="E1077" i="4" s="1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7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D1040" i="4"/>
  <c r="E1040" i="4" s="1"/>
  <c r="D1041" i="4"/>
  <c r="E1041" i="4" s="1"/>
  <c r="D1042" i="4"/>
  <c r="E1042" i="4" s="1"/>
  <c r="D1043" i="4"/>
  <c r="E1043" i="4" s="1"/>
  <c r="D1044" i="4"/>
  <c r="E1044" i="4" s="1"/>
  <c r="D1045" i="4"/>
  <c r="E1045" i="4" s="1"/>
  <c r="D1046" i="4"/>
  <c r="E1046" i="4" s="1"/>
  <c r="D1047" i="4"/>
  <c r="E1047" i="4" s="1"/>
  <c r="D1048" i="4"/>
  <c r="E1048" i="4" s="1"/>
  <c r="D1049" i="4"/>
  <c r="E1049" i="4" s="1"/>
  <c r="D1050" i="4"/>
  <c r="E1050" i="4" s="1"/>
  <c r="I1041" i="4"/>
  <c r="I1042" i="4"/>
  <c r="I1043" i="4"/>
  <c r="I1044" i="4"/>
  <c r="I1045" i="4"/>
  <c r="I1046" i="4"/>
  <c r="I1047" i="4"/>
  <c r="I1048" i="4"/>
  <c r="I1049" i="4"/>
  <c r="I1050" i="4"/>
  <c r="I1051" i="4"/>
  <c r="I856" i="4"/>
  <c r="D1007" i="4"/>
  <c r="I1007" i="4"/>
  <c r="D1030" i="4"/>
  <c r="E1030" i="4" s="1"/>
  <c r="D1031" i="4"/>
  <c r="E1031" i="4" s="1"/>
  <c r="D1032" i="4"/>
  <c r="E1032" i="4" s="1"/>
  <c r="D1033" i="4"/>
  <c r="E1033" i="4" s="1"/>
  <c r="D1034" i="4"/>
  <c r="E1034" i="4" s="1"/>
  <c r="D1035" i="4"/>
  <c r="E1035" i="4" s="1"/>
  <c r="D1036" i="4"/>
  <c r="E1036" i="4" s="1"/>
  <c r="D1037" i="4"/>
  <c r="E1037" i="4" s="1"/>
  <c r="D1038" i="4"/>
  <c r="E1038" i="4" s="1"/>
  <c r="D1039" i="4"/>
  <c r="E1039" i="4" s="1"/>
  <c r="I1002" i="4"/>
  <c r="I1003" i="4"/>
  <c r="I1004" i="4"/>
  <c r="I1005" i="4"/>
  <c r="I926" i="4"/>
  <c r="D926" i="4"/>
  <c r="E926" i="4" s="1"/>
  <c r="D1011" i="4"/>
  <c r="D1012" i="4"/>
  <c r="E1012" i="4" s="1"/>
  <c r="D1013" i="4"/>
  <c r="E1013" i="4" s="1"/>
  <c r="D1014" i="4"/>
  <c r="E1014" i="4" s="1"/>
  <c r="D1015" i="4"/>
  <c r="E1015" i="4" s="1"/>
  <c r="D1016" i="4"/>
  <c r="E1016" i="4" s="1"/>
  <c r="D1017" i="4"/>
  <c r="E1017" i="4" s="1"/>
  <c r="D1018" i="4"/>
  <c r="E1018" i="4" s="1"/>
  <c r="D1019" i="4"/>
  <c r="E1019" i="4" s="1"/>
  <c r="D1020" i="4"/>
  <c r="E1020" i="4" s="1"/>
  <c r="D1021" i="4"/>
  <c r="E1021" i="4" s="1"/>
  <c r="D1022" i="4"/>
  <c r="E1022" i="4" s="1"/>
  <c r="D1023" i="4"/>
  <c r="E1023" i="4" s="1"/>
  <c r="D1024" i="4"/>
  <c r="D1025" i="4"/>
  <c r="E1025" i="4" s="1"/>
  <c r="D1026" i="4"/>
  <c r="E1026" i="4" s="1"/>
  <c r="D1027" i="4"/>
  <c r="E1027" i="4" s="1"/>
  <c r="D1028" i="4"/>
  <c r="E1028" i="4" s="1"/>
  <c r="D1029" i="4"/>
  <c r="E1029" i="4" s="1"/>
  <c r="I1028" i="4"/>
  <c r="I1029" i="4"/>
  <c r="I1030" i="4"/>
  <c r="I1031" i="4"/>
  <c r="I1033" i="4"/>
  <c r="I1034" i="4"/>
  <c r="I1035" i="4"/>
  <c r="I1036" i="4"/>
  <c r="I1037" i="4"/>
  <c r="I1038" i="4"/>
  <c r="I1039" i="4"/>
  <c r="I1040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D999" i="4"/>
  <c r="E999" i="4" s="1"/>
  <c r="I999" i="4"/>
  <c r="D992" i="4"/>
  <c r="E992" i="4" s="1"/>
  <c r="D993" i="4"/>
  <c r="E993" i="4" s="1"/>
  <c r="D994" i="4"/>
  <c r="E994" i="4" s="1"/>
  <c r="D995" i="4"/>
  <c r="E995" i="4" s="1"/>
  <c r="D996" i="4"/>
  <c r="E996" i="4" s="1"/>
  <c r="D997" i="4"/>
  <c r="E997" i="4" s="1"/>
  <c r="D998" i="4"/>
  <c r="E998" i="4" s="1"/>
  <c r="D1000" i="4"/>
  <c r="E1000" i="4" s="1"/>
  <c r="D1001" i="4"/>
  <c r="E1001" i="4" s="1"/>
  <c r="D1003" i="4"/>
  <c r="E1003" i="4" s="1"/>
  <c r="D1005" i="4"/>
  <c r="E1005" i="4" s="1"/>
  <c r="D1006" i="4"/>
  <c r="E1006" i="4" s="1"/>
  <c r="D1008" i="4"/>
  <c r="E1008" i="4" s="1"/>
  <c r="D1009" i="4"/>
  <c r="E1009" i="4" s="1"/>
  <c r="D1010" i="4"/>
  <c r="E1010" i="4" s="1"/>
  <c r="I1008" i="4"/>
  <c r="I1009" i="4"/>
  <c r="I1010" i="4"/>
  <c r="I1011" i="4"/>
  <c r="E1007" i="4" l="1"/>
  <c r="I378" i="4"/>
  <c r="D981" i="4" l="1"/>
  <c r="E981" i="4" s="1"/>
  <c r="D982" i="4"/>
  <c r="E982" i="4" s="1"/>
  <c r="D983" i="4"/>
  <c r="E983" i="4" s="1"/>
  <c r="D984" i="4"/>
  <c r="D985" i="4"/>
  <c r="E985" i="4" s="1"/>
  <c r="D986" i="4"/>
  <c r="E986" i="4" s="1"/>
  <c r="D987" i="4"/>
  <c r="E987" i="4" s="1"/>
  <c r="D988" i="4"/>
  <c r="E988" i="4" s="1"/>
  <c r="D989" i="4"/>
  <c r="E989" i="4" s="1"/>
  <c r="D990" i="4"/>
  <c r="E990" i="4" s="1"/>
  <c r="D991" i="4"/>
  <c r="E991" i="4" s="1"/>
  <c r="D969" i="4"/>
  <c r="D970" i="4"/>
  <c r="E970" i="4" s="1"/>
  <c r="D971" i="4"/>
  <c r="E971" i="4" s="1"/>
  <c r="D972" i="4"/>
  <c r="E972" i="4" s="1"/>
  <c r="D973" i="4"/>
  <c r="E973" i="4" s="1"/>
  <c r="D974" i="4"/>
  <c r="D975" i="4"/>
  <c r="E975" i="4" s="1"/>
  <c r="D976" i="4"/>
  <c r="E976" i="4" s="1"/>
  <c r="D977" i="4"/>
  <c r="E977" i="4" s="1"/>
  <c r="D978" i="4"/>
  <c r="E978" i="4" s="1"/>
  <c r="D979" i="4"/>
  <c r="D980" i="4"/>
  <c r="E980" i="4" s="1"/>
  <c r="I988" i="4"/>
  <c r="I989" i="4"/>
  <c r="I990" i="4"/>
  <c r="I991" i="4"/>
  <c r="I992" i="4"/>
  <c r="I993" i="4"/>
  <c r="I994" i="4"/>
  <c r="I995" i="4"/>
  <c r="I996" i="4"/>
  <c r="I997" i="4"/>
  <c r="I998" i="4"/>
  <c r="I1000" i="4"/>
  <c r="I1001" i="4"/>
  <c r="I1006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9" i="4"/>
  <c r="I960" i="4"/>
  <c r="I961" i="4"/>
  <c r="I962" i="4"/>
  <c r="I963" i="4"/>
  <c r="I964" i="4"/>
  <c r="I965" i="4"/>
  <c r="I966" i="4"/>
  <c r="I967" i="4"/>
  <c r="I968" i="4"/>
  <c r="I855" i="4"/>
  <c r="I853" i="4"/>
  <c r="D958" i="4" l="1"/>
  <c r="E958" i="4" s="1"/>
  <c r="D959" i="4"/>
  <c r="E959" i="4" s="1"/>
  <c r="D960" i="4"/>
  <c r="E960" i="4" s="1"/>
  <c r="D961" i="4"/>
  <c r="E961" i="4" s="1"/>
  <c r="D962" i="4"/>
  <c r="E962" i="4" s="1"/>
  <c r="D963" i="4"/>
  <c r="E963" i="4" s="1"/>
  <c r="D964" i="4"/>
  <c r="E964" i="4" s="1"/>
  <c r="D965" i="4"/>
  <c r="E965" i="4" s="1"/>
  <c r="D966" i="4"/>
  <c r="E966" i="4" s="1"/>
  <c r="D967" i="4"/>
  <c r="E967" i="4" s="1"/>
  <c r="D968" i="4"/>
  <c r="E968" i="4" s="1"/>
  <c r="E969" i="4"/>
  <c r="E974" i="4"/>
  <c r="E979" i="4"/>
  <c r="E984" i="4"/>
  <c r="I805" i="4"/>
  <c r="D948" i="4"/>
  <c r="E948" i="4" s="1"/>
  <c r="D949" i="4"/>
  <c r="E949" i="4" s="1"/>
  <c r="D950" i="4"/>
  <c r="E950" i="4" s="1"/>
  <c r="D951" i="4"/>
  <c r="E951" i="4" s="1"/>
  <c r="D952" i="4"/>
  <c r="E952" i="4" s="1"/>
  <c r="D953" i="4"/>
  <c r="E953" i="4" s="1"/>
  <c r="D954" i="4"/>
  <c r="E954" i="4" s="1"/>
  <c r="D955" i="4"/>
  <c r="E955" i="4" s="1"/>
  <c r="D956" i="4"/>
  <c r="E956" i="4" s="1"/>
  <c r="D957" i="4"/>
  <c r="E957" i="4" s="1"/>
  <c r="I854" i="4"/>
  <c r="I723" i="4"/>
  <c r="I724" i="4"/>
  <c r="D930" i="4"/>
  <c r="E930" i="4" s="1"/>
  <c r="D931" i="4"/>
  <c r="E931" i="4" s="1"/>
  <c r="D932" i="4"/>
  <c r="E932" i="4" s="1"/>
  <c r="D933" i="4"/>
  <c r="E933" i="4" s="1"/>
  <c r="D934" i="4"/>
  <c r="E934" i="4" s="1"/>
  <c r="D935" i="4"/>
  <c r="E935" i="4" s="1"/>
  <c r="D936" i="4"/>
  <c r="E936" i="4" s="1"/>
  <c r="D937" i="4"/>
  <c r="E937" i="4" s="1"/>
  <c r="D938" i="4"/>
  <c r="E938" i="4" s="1"/>
  <c r="D939" i="4"/>
  <c r="E939" i="4" s="1"/>
  <c r="D940" i="4"/>
  <c r="E940" i="4" s="1"/>
  <c r="D941" i="4"/>
  <c r="E941" i="4" s="1"/>
  <c r="D942" i="4"/>
  <c r="E942" i="4" s="1"/>
  <c r="D943" i="4"/>
  <c r="E943" i="4" s="1"/>
  <c r="D944" i="4"/>
  <c r="E944" i="4" s="1"/>
  <c r="D945" i="4"/>
  <c r="E945" i="4" s="1"/>
  <c r="D946" i="4"/>
  <c r="E946" i="4" s="1"/>
  <c r="D947" i="4"/>
  <c r="E947" i="4" s="1"/>
  <c r="D929" i="4"/>
  <c r="E929" i="4" s="1"/>
  <c r="I824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E925" i="4" s="1"/>
  <c r="D927" i="4"/>
  <c r="E927" i="4" s="1"/>
  <c r="D928" i="4"/>
  <c r="E928" i="4" s="1"/>
  <c r="D886" i="4"/>
  <c r="E886" i="4" s="1"/>
  <c r="D887" i="4"/>
  <c r="E887" i="4" s="1"/>
  <c r="D888" i="4"/>
  <c r="E888" i="4" s="1"/>
  <c r="D889" i="4"/>
  <c r="E889" i="4" s="1"/>
  <c r="D890" i="4"/>
  <c r="E890" i="4" s="1"/>
  <c r="D891" i="4"/>
  <c r="E891" i="4" s="1"/>
  <c r="D892" i="4"/>
  <c r="E892" i="4" s="1"/>
  <c r="D893" i="4"/>
  <c r="E893" i="4" s="1"/>
  <c r="D894" i="4"/>
  <c r="E894" i="4" s="1"/>
  <c r="D895" i="4"/>
  <c r="E895" i="4" s="1"/>
  <c r="D896" i="4"/>
  <c r="E896" i="4" s="1"/>
  <c r="D897" i="4"/>
  <c r="E897" i="4" s="1"/>
  <c r="D898" i="4"/>
  <c r="E898" i="4" s="1"/>
  <c r="D899" i="4"/>
  <c r="E899" i="4" s="1"/>
  <c r="D900" i="4"/>
  <c r="E900" i="4" s="1"/>
  <c r="D901" i="4"/>
  <c r="E901" i="4" s="1"/>
  <c r="D902" i="4"/>
  <c r="E902" i="4" s="1"/>
  <c r="D903" i="4"/>
  <c r="E903" i="4" s="1"/>
  <c r="D904" i="4"/>
  <c r="E904" i="4" s="1"/>
  <c r="D905" i="4"/>
  <c r="E905" i="4" s="1"/>
  <c r="D906" i="4"/>
  <c r="E906" i="4" s="1"/>
  <c r="D907" i="4"/>
  <c r="E907" i="4" s="1"/>
  <c r="D908" i="4"/>
  <c r="E908" i="4" s="1"/>
  <c r="D909" i="4"/>
  <c r="E909" i="4" s="1"/>
  <c r="D910" i="4"/>
  <c r="E910" i="4" s="1"/>
  <c r="I734" i="4"/>
  <c r="D885" i="4"/>
  <c r="E885" i="4" s="1"/>
  <c r="D873" i="4"/>
  <c r="E873" i="4" s="1"/>
  <c r="D874" i="4"/>
  <c r="E874" i="4" s="1"/>
  <c r="D875" i="4"/>
  <c r="E875" i="4" s="1"/>
  <c r="D876" i="4"/>
  <c r="E876" i="4" s="1"/>
  <c r="D877" i="4"/>
  <c r="E877" i="4" s="1"/>
  <c r="D878" i="4"/>
  <c r="E878" i="4" s="1"/>
  <c r="D879" i="4"/>
  <c r="E879" i="4" s="1"/>
  <c r="D880" i="4"/>
  <c r="E880" i="4" s="1"/>
  <c r="D881" i="4"/>
  <c r="E881" i="4" s="1"/>
  <c r="D882" i="4"/>
  <c r="E882" i="4" s="1"/>
  <c r="D883" i="4"/>
  <c r="E883" i="4" s="1"/>
  <c r="D884" i="4"/>
  <c r="E884" i="4" s="1"/>
  <c r="D871" i="4"/>
  <c r="D872" i="4"/>
  <c r="D870" i="4"/>
  <c r="D869" i="4"/>
  <c r="D865" i="4"/>
  <c r="D866" i="4"/>
  <c r="D867" i="4"/>
  <c r="D868" i="4"/>
  <c r="D863" i="4"/>
  <c r="D864" i="4"/>
  <c r="D862" i="4"/>
  <c r="D860" i="4"/>
  <c r="D861" i="4"/>
  <c r="D858" i="4"/>
  <c r="D859" i="4"/>
  <c r="D854" i="4"/>
  <c r="D855" i="4"/>
  <c r="D856" i="4"/>
  <c r="D857" i="4"/>
  <c r="D853" i="4"/>
  <c r="I845" i="4"/>
  <c r="I846" i="4"/>
  <c r="I847" i="4"/>
  <c r="I848" i="4"/>
  <c r="I849" i="4"/>
  <c r="I850" i="4"/>
  <c r="I851" i="4"/>
  <c r="I852" i="4"/>
  <c r="D845" i="4"/>
  <c r="D846" i="4"/>
  <c r="D847" i="4"/>
  <c r="E847" i="4" s="1"/>
  <c r="D848" i="4"/>
  <c r="E848" i="4" s="1"/>
  <c r="D849" i="4"/>
  <c r="E849" i="4" s="1"/>
  <c r="D850" i="4"/>
  <c r="D851" i="4"/>
  <c r="D852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I733" i="4"/>
  <c r="E912" i="4" l="1"/>
  <c r="E913" i="4"/>
  <c r="E914" i="4"/>
  <c r="E915" i="4"/>
  <c r="E916" i="4"/>
  <c r="E917" i="4"/>
  <c r="E918" i="4"/>
  <c r="E919" i="4"/>
  <c r="E920" i="4"/>
  <c r="E921" i="4"/>
  <c r="E922" i="4"/>
  <c r="E923" i="4"/>
  <c r="E924" i="4"/>
  <c r="E911" i="4"/>
  <c r="E872" i="4"/>
  <c r="E863" i="4"/>
  <c r="E853" i="4"/>
  <c r="E862" i="4"/>
  <c r="E858" i="4"/>
  <c r="E871" i="4"/>
  <c r="E864" i="4"/>
  <c r="E859" i="4"/>
  <c r="E854" i="4"/>
  <c r="E855" i="4"/>
  <c r="E833" i="4"/>
  <c r="E834" i="4"/>
  <c r="E865" i="4"/>
  <c r="E866" i="4"/>
  <c r="E867" i="4"/>
  <c r="E868" i="4"/>
  <c r="E869" i="4"/>
  <c r="E870" i="4"/>
  <c r="E856" i="4"/>
  <c r="E857" i="4"/>
  <c r="E824" i="4"/>
  <c r="E825" i="4"/>
  <c r="E826" i="4"/>
  <c r="E827" i="4"/>
  <c r="E828" i="4"/>
  <c r="E829" i="4"/>
  <c r="E830" i="4"/>
  <c r="E831" i="4"/>
  <c r="E832" i="4"/>
  <c r="E860" i="4"/>
  <c r="E861" i="4"/>
  <c r="E845" i="4"/>
  <c r="E846" i="4"/>
  <c r="E850" i="4"/>
  <c r="E851" i="4"/>
  <c r="E852" i="4"/>
  <c r="E835" i="4"/>
  <c r="E836" i="4"/>
  <c r="E837" i="4"/>
  <c r="E838" i="4"/>
  <c r="E839" i="4"/>
  <c r="E840" i="4"/>
  <c r="E841" i="4"/>
  <c r="E842" i="4"/>
  <c r="E843" i="4"/>
  <c r="E844" i="4"/>
  <c r="I820" i="4"/>
  <c r="I821" i="4"/>
  <c r="I822" i="4"/>
  <c r="I823" i="4"/>
  <c r="I804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D804" i="4"/>
  <c r="E804" i="4" s="1"/>
  <c r="D805" i="4"/>
  <c r="E805" i="4" s="1"/>
  <c r="D806" i="4"/>
  <c r="E806" i="4" s="1"/>
  <c r="D807" i="4"/>
  <c r="E807" i="4" s="1"/>
  <c r="D808" i="4"/>
  <c r="E808" i="4" s="1"/>
  <c r="D809" i="4"/>
  <c r="E809" i="4" s="1"/>
  <c r="D810" i="4"/>
  <c r="E810" i="4" s="1"/>
  <c r="D811" i="4"/>
  <c r="E811" i="4" s="1"/>
  <c r="D812" i="4"/>
  <c r="E812" i="4" s="1"/>
  <c r="D813" i="4"/>
  <c r="E813" i="4" s="1"/>
  <c r="D814" i="4"/>
  <c r="E814" i="4" s="1"/>
  <c r="D815" i="4"/>
  <c r="E815" i="4" s="1"/>
  <c r="D816" i="4"/>
  <c r="E816" i="4" s="1"/>
  <c r="D817" i="4"/>
  <c r="E817" i="4" s="1"/>
  <c r="D818" i="4"/>
  <c r="E818" i="4" s="1"/>
  <c r="D819" i="4"/>
  <c r="E819" i="4" s="1"/>
  <c r="D820" i="4"/>
  <c r="E820" i="4" s="1"/>
  <c r="D821" i="4"/>
  <c r="E821" i="4" s="1"/>
  <c r="D822" i="4"/>
  <c r="E822" i="4" s="1"/>
  <c r="D823" i="4"/>
  <c r="E823" i="4" s="1"/>
  <c r="H81" i="4"/>
  <c r="I778" i="4" l="1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D778" i="4"/>
  <c r="E778" i="4" s="1"/>
  <c r="D779" i="4"/>
  <c r="E779" i="4" s="1"/>
  <c r="D780" i="4"/>
  <c r="E780" i="4" s="1"/>
  <c r="D781" i="4"/>
  <c r="E781" i="4" s="1"/>
  <c r="D782" i="4"/>
  <c r="E782" i="4" s="1"/>
  <c r="D783" i="4"/>
  <c r="E783" i="4" s="1"/>
  <c r="D784" i="4"/>
  <c r="E784" i="4" s="1"/>
  <c r="D785" i="4"/>
  <c r="E785" i="4" s="1"/>
  <c r="D786" i="4"/>
  <c r="E786" i="4" s="1"/>
  <c r="D787" i="4"/>
  <c r="E787" i="4" s="1"/>
  <c r="D788" i="4"/>
  <c r="E788" i="4" s="1"/>
  <c r="D789" i="4"/>
  <c r="E789" i="4" s="1"/>
  <c r="D790" i="4"/>
  <c r="E790" i="4" s="1"/>
  <c r="D791" i="4"/>
  <c r="E791" i="4" s="1"/>
  <c r="D792" i="4"/>
  <c r="E792" i="4" s="1"/>
  <c r="D793" i="4"/>
  <c r="E793" i="4" s="1"/>
  <c r="D794" i="4"/>
  <c r="E794" i="4" s="1"/>
  <c r="D795" i="4"/>
  <c r="E795" i="4" s="1"/>
  <c r="D796" i="4"/>
  <c r="E796" i="4" s="1"/>
  <c r="D797" i="4"/>
  <c r="E797" i="4" s="1"/>
  <c r="D798" i="4"/>
  <c r="E798" i="4" s="1"/>
  <c r="D799" i="4"/>
  <c r="E799" i="4" s="1"/>
  <c r="D800" i="4"/>
  <c r="E800" i="4" s="1"/>
  <c r="D801" i="4"/>
  <c r="E801" i="4" s="1"/>
  <c r="D802" i="4"/>
  <c r="E802" i="4" s="1"/>
  <c r="D803" i="4"/>
  <c r="E803" i="4" s="1"/>
  <c r="I746" i="4"/>
  <c r="D746" i="4"/>
  <c r="E746" i="4" s="1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D753" i="4"/>
  <c r="E753" i="4" s="1"/>
  <c r="D754" i="4"/>
  <c r="D755" i="4"/>
  <c r="D756" i="4"/>
  <c r="E756" i="4" s="1"/>
  <c r="D757" i="4"/>
  <c r="E757" i="4" s="1"/>
  <c r="D758" i="4"/>
  <c r="E758" i="4" s="1"/>
  <c r="D759" i="4"/>
  <c r="E759" i="4" s="1"/>
  <c r="D760" i="4"/>
  <c r="E760" i="4" s="1"/>
  <c r="D761" i="4"/>
  <c r="E761" i="4" s="1"/>
  <c r="D762" i="4"/>
  <c r="E762" i="4" s="1"/>
  <c r="D763" i="4"/>
  <c r="E763" i="4" s="1"/>
  <c r="D764" i="4"/>
  <c r="E764" i="4" s="1"/>
  <c r="D765" i="4"/>
  <c r="E765" i="4" s="1"/>
  <c r="D766" i="4"/>
  <c r="E766" i="4" s="1"/>
  <c r="D767" i="4"/>
  <c r="E767" i="4" s="1"/>
  <c r="D768" i="4"/>
  <c r="E768" i="4" s="1"/>
  <c r="D769" i="4"/>
  <c r="E769" i="4" s="1"/>
  <c r="D770" i="4"/>
  <c r="E770" i="4" s="1"/>
  <c r="D771" i="4"/>
  <c r="E771" i="4" s="1"/>
  <c r="D772" i="4"/>
  <c r="E772" i="4" s="1"/>
  <c r="D773" i="4"/>
  <c r="E773" i="4" s="1"/>
  <c r="D774" i="4"/>
  <c r="E774" i="4" s="1"/>
  <c r="D775" i="4"/>
  <c r="E775" i="4" s="1"/>
  <c r="D776" i="4"/>
  <c r="E776" i="4" s="1"/>
  <c r="D777" i="4"/>
  <c r="E777" i="4" s="1"/>
  <c r="I753" i="4"/>
  <c r="I754" i="4"/>
  <c r="I755" i="4"/>
  <c r="I756" i="4"/>
  <c r="I757" i="4"/>
  <c r="I758" i="4"/>
  <c r="I759" i="4"/>
  <c r="I760" i="4"/>
  <c r="I761" i="4"/>
  <c r="I762" i="4"/>
  <c r="I763" i="4"/>
  <c r="I764" i="4"/>
  <c r="E754" i="4"/>
  <c r="E755" i="4"/>
  <c r="D752" i="4"/>
  <c r="I752" i="4"/>
  <c r="E752" i="4"/>
  <c r="I726" i="4"/>
  <c r="I727" i="4"/>
  <c r="I728" i="4"/>
  <c r="I729" i="4"/>
  <c r="I730" i="4"/>
  <c r="I731" i="4"/>
  <c r="I732" i="4"/>
  <c r="I735" i="4"/>
  <c r="I736" i="4"/>
  <c r="I737" i="4"/>
  <c r="I738" i="4"/>
  <c r="I739" i="4"/>
  <c r="I740" i="4"/>
  <c r="I741" i="4"/>
  <c r="I742" i="4"/>
  <c r="I743" i="4"/>
  <c r="I744" i="4"/>
  <c r="I745" i="4"/>
  <c r="I747" i="4"/>
  <c r="I748" i="4"/>
  <c r="I749" i="4"/>
  <c r="I750" i="4"/>
  <c r="I751" i="4"/>
  <c r="D726" i="4"/>
  <c r="D727" i="4"/>
  <c r="E727" i="4" s="1"/>
  <c r="D728" i="4"/>
  <c r="E728" i="4" s="1"/>
  <c r="D729" i="4"/>
  <c r="D730" i="4"/>
  <c r="D731" i="4"/>
  <c r="E731" i="4"/>
  <c r="D732" i="4"/>
  <c r="E732" i="4" s="1"/>
  <c r="D733" i="4"/>
  <c r="E733" i="4" s="1"/>
  <c r="D734" i="4"/>
  <c r="E734" i="4" s="1"/>
  <c r="D735" i="4"/>
  <c r="E735" i="4" s="1"/>
  <c r="D736" i="4"/>
  <c r="E736" i="4" s="1"/>
  <c r="D737" i="4"/>
  <c r="E737" i="4" s="1"/>
  <c r="D738" i="4"/>
  <c r="D739" i="4"/>
  <c r="E739" i="4"/>
  <c r="D740" i="4"/>
  <c r="D741" i="4"/>
  <c r="D742" i="4"/>
  <c r="D743" i="4"/>
  <c r="E743" i="4" s="1"/>
  <c r="D744" i="4"/>
  <c r="D745" i="4"/>
  <c r="D747" i="4"/>
  <c r="D748" i="4"/>
  <c r="E748" i="4"/>
  <c r="D749" i="4"/>
  <c r="E749" i="4"/>
  <c r="D750" i="4"/>
  <c r="E750" i="4"/>
  <c r="D751" i="4"/>
  <c r="E751" i="4"/>
  <c r="H90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5" i="4"/>
  <c r="I706" i="4"/>
  <c r="D683" i="4"/>
  <c r="E683" i="4" s="1"/>
  <c r="D684" i="4"/>
  <c r="D685" i="4"/>
  <c r="D686" i="4"/>
  <c r="E686" i="4" s="1"/>
  <c r="D687" i="4"/>
  <c r="E687" i="4" s="1"/>
  <c r="D688" i="4"/>
  <c r="D689" i="4"/>
  <c r="D690" i="4"/>
  <c r="D691" i="4"/>
  <c r="E691" i="4" s="1"/>
  <c r="D692" i="4"/>
  <c r="D693" i="4"/>
  <c r="D694" i="4"/>
  <c r="E694" i="4" s="1"/>
  <c r="D695" i="4"/>
  <c r="E695" i="4" s="1"/>
  <c r="D696" i="4"/>
  <c r="D697" i="4"/>
  <c r="D698" i="4"/>
  <c r="D699" i="4"/>
  <c r="D700" i="4"/>
  <c r="D701" i="4"/>
  <c r="D702" i="4"/>
  <c r="E702" i="4" s="1"/>
  <c r="D703" i="4"/>
  <c r="E703" i="4" s="1"/>
  <c r="D704" i="4"/>
  <c r="D705" i="4"/>
  <c r="D706" i="4"/>
  <c r="E706" i="4" s="1"/>
  <c r="D707" i="4"/>
  <c r="E707" i="4" s="1"/>
  <c r="D708" i="4"/>
  <c r="E708" i="4" s="1"/>
  <c r="D709" i="4"/>
  <c r="E709" i="4" s="1"/>
  <c r="D710" i="4"/>
  <c r="E710" i="4" s="1"/>
  <c r="D711" i="4"/>
  <c r="E711" i="4" s="1"/>
  <c r="D712" i="4"/>
  <c r="E712" i="4" s="1"/>
  <c r="D713" i="4"/>
  <c r="E713" i="4" s="1"/>
  <c r="D714" i="4"/>
  <c r="E714" i="4" s="1"/>
  <c r="D715" i="4"/>
  <c r="E715" i="4" s="1"/>
  <c r="D716" i="4"/>
  <c r="E716" i="4" s="1"/>
  <c r="D717" i="4"/>
  <c r="E717" i="4" s="1"/>
  <c r="D718" i="4"/>
  <c r="E718" i="4" s="1"/>
  <c r="D719" i="4"/>
  <c r="E719" i="4" s="1"/>
  <c r="D720" i="4"/>
  <c r="E720" i="4" s="1"/>
  <c r="D721" i="4"/>
  <c r="E721" i="4" s="1"/>
  <c r="D722" i="4"/>
  <c r="E722" i="4" s="1"/>
  <c r="D723" i="4"/>
  <c r="E723" i="4" s="1"/>
  <c r="D724" i="4"/>
  <c r="D725" i="4"/>
  <c r="E725" i="4" s="1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686" i="4"/>
  <c r="E688" i="4"/>
  <c r="E690" i="4"/>
  <c r="E698" i="4"/>
  <c r="E700" i="4"/>
  <c r="E705" i="4"/>
  <c r="I684" i="4"/>
  <c r="I685" i="4"/>
  <c r="E684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D672" i="4"/>
  <c r="E672" i="4" s="1"/>
  <c r="D673" i="4"/>
  <c r="E673" i="4" s="1"/>
  <c r="D674" i="4"/>
  <c r="E674" i="4" s="1"/>
  <c r="D675" i="4"/>
  <c r="E675" i="4" s="1"/>
  <c r="D676" i="4"/>
  <c r="E676" i="4" s="1"/>
  <c r="D677" i="4"/>
  <c r="E677" i="4" s="1"/>
  <c r="D678" i="4"/>
  <c r="E678" i="4" s="1"/>
  <c r="D679" i="4"/>
  <c r="E679" i="4" s="1"/>
  <c r="D680" i="4"/>
  <c r="E680" i="4" s="1"/>
  <c r="D681" i="4"/>
  <c r="E681" i="4" s="1"/>
  <c r="D682" i="4"/>
  <c r="E682" i="4" s="1"/>
  <c r="H167" i="4"/>
  <c r="H107" i="4"/>
  <c r="I665" i="4"/>
  <c r="I666" i="4"/>
  <c r="I667" i="4"/>
  <c r="I668" i="4"/>
  <c r="I669" i="4"/>
  <c r="I670" i="4"/>
  <c r="I671" i="4"/>
  <c r="I664" i="4"/>
  <c r="D664" i="4"/>
  <c r="E664" i="4" s="1"/>
  <c r="D665" i="4"/>
  <c r="E665" i="4" s="1"/>
  <c r="D666" i="4"/>
  <c r="E666" i="4" s="1"/>
  <c r="D667" i="4"/>
  <c r="E667" i="4" s="1"/>
  <c r="D668" i="4"/>
  <c r="E668" i="4" s="1"/>
  <c r="D669" i="4"/>
  <c r="E669" i="4" s="1"/>
  <c r="D670" i="4"/>
  <c r="E670" i="4" s="1"/>
  <c r="D671" i="4"/>
  <c r="E671" i="4" s="1"/>
  <c r="H51" i="4"/>
  <c r="I654" i="4"/>
  <c r="I655" i="4"/>
  <c r="I656" i="4"/>
  <c r="I657" i="4"/>
  <c r="I659" i="4"/>
  <c r="I660" i="4"/>
  <c r="I661" i="4"/>
  <c r="I662" i="4"/>
  <c r="I663" i="4"/>
  <c r="D654" i="4"/>
  <c r="E654" i="4" s="1"/>
  <c r="D655" i="4"/>
  <c r="E655" i="4" s="1"/>
  <c r="D656" i="4"/>
  <c r="E656" i="4" s="1"/>
  <c r="D657" i="4"/>
  <c r="E657" i="4" s="1"/>
  <c r="D658" i="4"/>
  <c r="E658" i="4" s="1"/>
  <c r="D659" i="4"/>
  <c r="E659" i="4" s="1"/>
  <c r="D660" i="4"/>
  <c r="E660" i="4" s="1"/>
  <c r="D661" i="4"/>
  <c r="E661" i="4" s="1"/>
  <c r="D662" i="4"/>
  <c r="E662" i="4" s="1"/>
  <c r="D663" i="4"/>
  <c r="E663" i="4" s="1"/>
  <c r="I653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D625" i="4"/>
  <c r="E625" i="4" s="1"/>
  <c r="D626" i="4"/>
  <c r="E626" i="4" s="1"/>
  <c r="D627" i="4"/>
  <c r="E627" i="4" s="1"/>
  <c r="D628" i="4"/>
  <c r="E628" i="4" s="1"/>
  <c r="D629" i="4"/>
  <c r="E629" i="4" s="1"/>
  <c r="D630" i="4"/>
  <c r="E630" i="4" s="1"/>
  <c r="D631" i="4"/>
  <c r="E631" i="4" s="1"/>
  <c r="D632" i="4"/>
  <c r="E632" i="4" s="1"/>
  <c r="D633" i="4"/>
  <c r="E633" i="4" s="1"/>
  <c r="D634" i="4"/>
  <c r="E634" i="4" s="1"/>
  <c r="D635" i="4"/>
  <c r="E635" i="4" s="1"/>
  <c r="D636" i="4"/>
  <c r="E636" i="4" s="1"/>
  <c r="D637" i="4"/>
  <c r="E637" i="4" s="1"/>
  <c r="D638" i="4"/>
  <c r="E638" i="4" s="1"/>
  <c r="D639" i="4"/>
  <c r="E639" i="4" s="1"/>
  <c r="D640" i="4"/>
  <c r="E640" i="4" s="1"/>
  <c r="D641" i="4"/>
  <c r="E641" i="4" s="1"/>
  <c r="D642" i="4"/>
  <c r="E642" i="4" s="1"/>
  <c r="D643" i="4"/>
  <c r="E643" i="4" s="1"/>
  <c r="D644" i="4"/>
  <c r="E644" i="4" s="1"/>
  <c r="D645" i="4"/>
  <c r="E645" i="4" s="1"/>
  <c r="D646" i="4"/>
  <c r="E646" i="4" s="1"/>
  <c r="D647" i="4"/>
  <c r="E647" i="4" s="1"/>
  <c r="D648" i="4"/>
  <c r="E648" i="4" s="1"/>
  <c r="D649" i="4"/>
  <c r="E649" i="4" s="1"/>
  <c r="D650" i="4"/>
  <c r="E650" i="4" s="1"/>
  <c r="D651" i="4"/>
  <c r="E651" i="4" s="1"/>
  <c r="D652" i="4"/>
  <c r="E652" i="4" s="1"/>
  <c r="D653" i="4"/>
  <c r="E653" i="4" s="1"/>
  <c r="I652" i="4"/>
  <c r="D617" i="4"/>
  <c r="E617" i="4" s="1"/>
  <c r="I617" i="4"/>
  <c r="D618" i="4"/>
  <c r="E618" i="4" s="1"/>
  <c r="I618" i="4"/>
  <c r="D560" i="4"/>
  <c r="E560" i="4" s="1"/>
  <c r="I560" i="4"/>
  <c r="D562" i="4"/>
  <c r="E562" i="4" s="1"/>
  <c r="I562" i="4"/>
  <c r="D564" i="4"/>
  <c r="E564" i="4" s="1"/>
  <c r="I564" i="4"/>
  <c r="D565" i="4"/>
  <c r="E565" i="4" s="1"/>
  <c r="I565" i="4"/>
  <c r="D566" i="4"/>
  <c r="E566" i="4" s="1"/>
  <c r="I566" i="4"/>
  <c r="D568" i="4"/>
  <c r="E568" i="4" s="1"/>
  <c r="I568" i="4"/>
  <c r="D570" i="4"/>
  <c r="E570" i="4" s="1"/>
  <c r="I570" i="4"/>
  <c r="I556" i="4"/>
  <c r="I557" i="4"/>
  <c r="I558" i="4"/>
  <c r="D556" i="4"/>
  <c r="E556" i="4" s="1"/>
  <c r="D557" i="4"/>
  <c r="E557" i="4" s="1"/>
  <c r="D558" i="4"/>
  <c r="E558" i="4" s="1"/>
  <c r="D554" i="4"/>
  <c r="E554" i="4" s="1"/>
  <c r="I554" i="4"/>
  <c r="D552" i="4"/>
  <c r="E552" i="4" s="1"/>
  <c r="I552" i="4"/>
  <c r="I619" i="4"/>
  <c r="I620" i="4"/>
  <c r="I621" i="4"/>
  <c r="I622" i="4"/>
  <c r="I623" i="4"/>
  <c r="I624" i="4"/>
  <c r="I625" i="4"/>
  <c r="D619" i="4"/>
  <c r="E619" i="4" s="1"/>
  <c r="D620" i="4"/>
  <c r="E620" i="4" s="1"/>
  <c r="D621" i="4"/>
  <c r="E621" i="4" s="1"/>
  <c r="D622" i="4"/>
  <c r="E622" i="4" s="1"/>
  <c r="D623" i="4"/>
  <c r="E623" i="4" s="1"/>
  <c r="D624" i="4"/>
  <c r="E624" i="4" s="1"/>
  <c r="H57" i="4"/>
  <c r="H10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01" i="4"/>
  <c r="D601" i="4"/>
  <c r="E601" i="4" s="1"/>
  <c r="D602" i="4"/>
  <c r="E602" i="4" s="1"/>
  <c r="D603" i="4"/>
  <c r="E603" i="4" s="1"/>
  <c r="D604" i="4"/>
  <c r="E604" i="4" s="1"/>
  <c r="D605" i="4"/>
  <c r="E605" i="4" s="1"/>
  <c r="D606" i="4"/>
  <c r="E606" i="4" s="1"/>
  <c r="D607" i="4"/>
  <c r="E607" i="4" s="1"/>
  <c r="D608" i="4"/>
  <c r="E608" i="4" s="1"/>
  <c r="D609" i="4"/>
  <c r="E609" i="4" s="1"/>
  <c r="D610" i="4"/>
  <c r="E610" i="4" s="1"/>
  <c r="D611" i="4"/>
  <c r="E611" i="4" s="1"/>
  <c r="D612" i="4"/>
  <c r="E612" i="4" s="1"/>
  <c r="D613" i="4"/>
  <c r="E613" i="4" s="1"/>
  <c r="D614" i="4"/>
  <c r="E614" i="4" s="1"/>
  <c r="D615" i="4"/>
  <c r="E615" i="4" s="1"/>
  <c r="D616" i="4"/>
  <c r="E616" i="4" s="1"/>
  <c r="I53" i="4"/>
  <c r="I159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D583" i="4"/>
  <c r="E583" i="4" s="1"/>
  <c r="D584" i="4"/>
  <c r="D585" i="4"/>
  <c r="E585" i="4" s="1"/>
  <c r="D586" i="4"/>
  <c r="E586" i="4" s="1"/>
  <c r="D587" i="4"/>
  <c r="E587" i="4" s="1"/>
  <c r="D588" i="4"/>
  <c r="E588" i="4" s="1"/>
  <c r="D589" i="4"/>
  <c r="E589" i="4" s="1"/>
  <c r="D590" i="4"/>
  <c r="E590" i="4" s="1"/>
  <c r="D591" i="4"/>
  <c r="E591" i="4" s="1"/>
  <c r="D592" i="4"/>
  <c r="E592" i="4" s="1"/>
  <c r="D593" i="4"/>
  <c r="E593" i="4" s="1"/>
  <c r="D594" i="4"/>
  <c r="E594" i="4" s="1"/>
  <c r="D595" i="4"/>
  <c r="E595" i="4" s="1"/>
  <c r="D596" i="4"/>
  <c r="E596" i="4" s="1"/>
  <c r="D597" i="4"/>
  <c r="E597" i="4" s="1"/>
  <c r="D598" i="4"/>
  <c r="E598" i="4" s="1"/>
  <c r="D599" i="4"/>
  <c r="E599" i="4" s="1"/>
  <c r="D600" i="4"/>
  <c r="E600" i="4" s="1"/>
  <c r="E337" i="4"/>
  <c r="H45" i="4"/>
  <c r="I551" i="4"/>
  <c r="I553" i="4"/>
  <c r="I555" i="4"/>
  <c r="I559" i="4"/>
  <c r="I561" i="4"/>
  <c r="I563" i="4"/>
  <c r="I567" i="4"/>
  <c r="I569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42" i="4"/>
  <c r="I543" i="4"/>
  <c r="I544" i="4"/>
  <c r="I545" i="4"/>
  <c r="I546" i="4"/>
  <c r="I547" i="4"/>
  <c r="I548" i="4"/>
  <c r="I549" i="4"/>
  <c r="I550" i="4"/>
  <c r="D551" i="4"/>
  <c r="E551" i="4" s="1"/>
  <c r="D553" i="4"/>
  <c r="E553" i="4" s="1"/>
  <c r="D555" i="4"/>
  <c r="E555" i="4" s="1"/>
  <c r="D559" i="4"/>
  <c r="E559" i="4" s="1"/>
  <c r="D561" i="4"/>
  <c r="E561" i="4" s="1"/>
  <c r="D563" i="4"/>
  <c r="E563" i="4" s="1"/>
  <c r="D567" i="4"/>
  <c r="E567" i="4" s="1"/>
  <c r="D569" i="4"/>
  <c r="E569" i="4" s="1"/>
  <c r="D571" i="4"/>
  <c r="E571" i="4" s="1"/>
  <c r="D572" i="4"/>
  <c r="E572" i="4" s="1"/>
  <c r="D573" i="4"/>
  <c r="E573" i="4" s="1"/>
  <c r="D574" i="4"/>
  <c r="E574" i="4" s="1"/>
  <c r="D575" i="4"/>
  <c r="E575" i="4" s="1"/>
  <c r="D576" i="4"/>
  <c r="E576" i="4" s="1"/>
  <c r="D577" i="4"/>
  <c r="E577" i="4"/>
  <c r="D578" i="4"/>
  <c r="E578" i="4" s="1"/>
  <c r="D579" i="4"/>
  <c r="E579" i="4" s="1"/>
  <c r="D580" i="4"/>
  <c r="E580" i="4" s="1"/>
  <c r="D581" i="4"/>
  <c r="E581" i="4" s="1"/>
  <c r="D582" i="4"/>
  <c r="E582" i="4" s="1"/>
  <c r="D233" i="4"/>
  <c r="E233" i="4" s="1"/>
  <c r="E159" i="4"/>
  <c r="E275" i="4"/>
  <c r="E449" i="4"/>
  <c r="I4" i="4"/>
  <c r="I539" i="4"/>
  <c r="I540" i="4"/>
  <c r="I541" i="4"/>
  <c r="D539" i="4"/>
  <c r="E539" i="4" s="1"/>
  <c r="D540" i="4"/>
  <c r="E540" i="4" s="1"/>
  <c r="D541" i="4"/>
  <c r="E541" i="4" s="1"/>
  <c r="D542" i="4"/>
  <c r="E542" i="4" s="1"/>
  <c r="D543" i="4"/>
  <c r="E543" i="4" s="1"/>
  <c r="D544" i="4"/>
  <c r="E544" i="4" s="1"/>
  <c r="D545" i="4"/>
  <c r="E545" i="4" s="1"/>
  <c r="D546" i="4"/>
  <c r="E546" i="4" s="1"/>
  <c r="D547" i="4"/>
  <c r="E547" i="4" s="1"/>
  <c r="D548" i="4"/>
  <c r="E548" i="4" s="1"/>
  <c r="D549" i="4"/>
  <c r="E549" i="4" s="1"/>
  <c r="D550" i="4"/>
  <c r="E550" i="4" s="1"/>
  <c r="D538" i="4"/>
  <c r="E538" i="4" s="1"/>
  <c r="I538" i="4"/>
  <c r="H67" i="4"/>
  <c r="E96" i="4"/>
  <c r="E2" i="4"/>
  <c r="H2" i="4"/>
  <c r="I2" i="4"/>
  <c r="D3" i="4"/>
  <c r="E3" i="4"/>
  <c r="H3" i="4"/>
  <c r="I3" i="4"/>
  <c r="D4" i="4"/>
  <c r="E4" i="4"/>
  <c r="D5" i="4"/>
  <c r="E5" i="4"/>
  <c r="I5" i="4"/>
  <c r="D6" i="4"/>
  <c r="E6" i="4"/>
  <c r="I6" i="4"/>
  <c r="E7" i="4"/>
  <c r="I7" i="4"/>
  <c r="D8" i="4"/>
  <c r="E8" i="4"/>
  <c r="I8" i="4"/>
  <c r="D9" i="4"/>
  <c r="E9" i="4"/>
  <c r="H9" i="4"/>
  <c r="I9" i="4"/>
  <c r="D10" i="4"/>
  <c r="E10" i="4" s="1"/>
  <c r="I10" i="4"/>
  <c r="D11" i="4"/>
  <c r="E11" i="4"/>
  <c r="I11" i="4"/>
  <c r="D12" i="4"/>
  <c r="E12" i="4"/>
  <c r="H12" i="4"/>
  <c r="I12" i="4"/>
  <c r="D13" i="4"/>
  <c r="E13" i="4"/>
  <c r="I13" i="4"/>
  <c r="D14" i="4"/>
  <c r="E14" i="4"/>
  <c r="H14" i="4"/>
  <c r="I14" i="4"/>
  <c r="D15" i="4"/>
  <c r="E15" i="4"/>
  <c r="H15" i="4"/>
  <c r="I15" i="4"/>
  <c r="D16" i="4"/>
  <c r="E16" i="4"/>
  <c r="I16" i="4"/>
  <c r="D17" i="4"/>
  <c r="E17" i="4"/>
  <c r="I17" i="4"/>
  <c r="D18" i="4"/>
  <c r="E18" i="4"/>
  <c r="H18" i="4"/>
  <c r="I18" i="4"/>
  <c r="D19" i="4"/>
  <c r="E19" i="4"/>
  <c r="I19" i="4"/>
  <c r="D20" i="4"/>
  <c r="E20" i="4"/>
  <c r="I20" i="4"/>
  <c r="D21" i="4"/>
  <c r="E21" i="4"/>
  <c r="H21" i="4"/>
  <c r="I21" i="4"/>
  <c r="D22" i="4"/>
  <c r="E22" i="4"/>
  <c r="H22" i="4"/>
  <c r="I22" i="4"/>
  <c r="D23" i="4"/>
  <c r="E23" i="4"/>
  <c r="H23" i="4"/>
  <c r="I23" i="4"/>
  <c r="D24" i="4"/>
  <c r="E24" i="4"/>
  <c r="I24" i="4"/>
  <c r="D25" i="4"/>
  <c r="E25" i="4"/>
  <c r="I25" i="4"/>
  <c r="D26" i="4"/>
  <c r="E26" i="4"/>
  <c r="I26" i="4"/>
  <c r="D27" i="4"/>
  <c r="E27" i="4"/>
  <c r="I27" i="4"/>
  <c r="D28" i="4"/>
  <c r="E28" i="4"/>
  <c r="H28" i="4"/>
  <c r="I28" i="4"/>
  <c r="D29" i="4"/>
  <c r="E29" i="4" s="1"/>
  <c r="I29" i="4"/>
  <c r="D30" i="4"/>
  <c r="E30" i="4"/>
  <c r="H30" i="4"/>
  <c r="I30" i="4"/>
  <c r="D31" i="4"/>
  <c r="E31" i="4"/>
  <c r="H31" i="4"/>
  <c r="I31" i="4"/>
  <c r="D32" i="4"/>
  <c r="E32" i="4"/>
  <c r="H32" i="4"/>
  <c r="I32" i="4"/>
  <c r="D33" i="4"/>
  <c r="E33" i="4"/>
  <c r="H33" i="4"/>
  <c r="I33" i="4"/>
  <c r="D34" i="4"/>
  <c r="E34" i="4"/>
  <c r="I34" i="4"/>
  <c r="D35" i="4"/>
  <c r="E35" i="4" s="1"/>
  <c r="I35" i="4"/>
  <c r="D36" i="4"/>
  <c r="E36" i="4"/>
  <c r="I36" i="4"/>
  <c r="D37" i="4"/>
  <c r="E37" i="4"/>
  <c r="I37" i="4"/>
  <c r="D38" i="4"/>
  <c r="E38" i="4"/>
  <c r="I38" i="4"/>
  <c r="D39" i="4"/>
  <c r="E39" i="4" s="1"/>
  <c r="I39" i="4"/>
  <c r="D40" i="4"/>
  <c r="E40" i="4"/>
  <c r="I40" i="4"/>
  <c r="D41" i="4"/>
  <c r="E41" i="4"/>
  <c r="I41" i="4"/>
  <c r="D42" i="4"/>
  <c r="E42" i="4"/>
  <c r="I42" i="4"/>
  <c r="D43" i="4"/>
  <c r="E43" i="4"/>
  <c r="H43" i="4"/>
  <c r="I43" i="4"/>
  <c r="D44" i="4"/>
  <c r="E44" i="4"/>
  <c r="I44" i="4"/>
  <c r="D45" i="4"/>
  <c r="E45" i="4" s="1"/>
  <c r="I45" i="4"/>
  <c r="D46" i="4"/>
  <c r="E46" i="4"/>
  <c r="H46" i="4"/>
  <c r="I46" i="4"/>
  <c r="D47" i="4"/>
  <c r="E47" i="4"/>
  <c r="I47" i="4"/>
  <c r="D48" i="4"/>
  <c r="E48" i="4"/>
  <c r="I48" i="4"/>
  <c r="D49" i="4"/>
  <c r="E49" i="4"/>
  <c r="I49" i="4"/>
  <c r="D50" i="4"/>
  <c r="E50" i="4"/>
  <c r="H50" i="4"/>
  <c r="I50" i="4"/>
  <c r="D51" i="4"/>
  <c r="E51" i="4" s="1"/>
  <c r="I51" i="4"/>
  <c r="D52" i="4"/>
  <c r="E52" i="4"/>
  <c r="H52" i="4"/>
  <c r="I52" i="4"/>
  <c r="D53" i="4"/>
  <c r="E53" i="4" s="1"/>
  <c r="D54" i="4"/>
  <c r="E54" i="4"/>
  <c r="H54" i="4"/>
  <c r="I54" i="4"/>
  <c r="D55" i="4"/>
  <c r="E55" i="4"/>
  <c r="H55" i="4"/>
  <c r="I55" i="4"/>
  <c r="D56" i="4"/>
  <c r="E56" i="4"/>
  <c r="H56" i="4"/>
  <c r="I56" i="4"/>
  <c r="D57" i="4"/>
  <c r="E57" i="4" s="1"/>
  <c r="I57" i="4"/>
  <c r="D58" i="4"/>
  <c r="E58" i="4"/>
  <c r="H58" i="4"/>
  <c r="I58" i="4"/>
  <c r="D59" i="4"/>
  <c r="E59" i="4"/>
  <c r="I59" i="4"/>
  <c r="D60" i="4"/>
  <c r="E60" i="4"/>
  <c r="I60" i="4"/>
  <c r="D61" i="4"/>
  <c r="E61" i="4"/>
  <c r="H61" i="4"/>
  <c r="I61" i="4"/>
  <c r="D62" i="4"/>
  <c r="E62" i="4"/>
  <c r="I62" i="4"/>
  <c r="D63" i="4"/>
  <c r="E63" i="4"/>
  <c r="I63" i="4"/>
  <c r="D64" i="4"/>
  <c r="E64" i="4"/>
  <c r="I64" i="4"/>
  <c r="D65" i="4"/>
  <c r="E65" i="4"/>
  <c r="H65" i="4"/>
  <c r="I65" i="4"/>
  <c r="D66" i="4"/>
  <c r="E66" i="4"/>
  <c r="H66" i="4"/>
  <c r="I66" i="4"/>
  <c r="D67" i="4"/>
  <c r="E67" i="4" s="1"/>
  <c r="I67" i="4"/>
  <c r="D68" i="4"/>
  <c r="E68" i="4"/>
  <c r="I68" i="4"/>
  <c r="D69" i="4"/>
  <c r="E69" i="4"/>
  <c r="I69" i="4"/>
  <c r="D70" i="4"/>
  <c r="E70" i="4"/>
  <c r="H70" i="4"/>
  <c r="I70" i="4"/>
  <c r="D71" i="4"/>
  <c r="E71" i="4"/>
  <c r="H71" i="4"/>
  <c r="I71" i="4"/>
  <c r="D72" i="4"/>
  <c r="E72" i="4"/>
  <c r="I72" i="4"/>
  <c r="D73" i="4"/>
  <c r="E73" i="4"/>
  <c r="I73" i="4"/>
  <c r="D74" i="4"/>
  <c r="E74" i="4"/>
  <c r="I74" i="4"/>
  <c r="D75" i="4"/>
  <c r="E75" i="4"/>
  <c r="I75" i="4"/>
  <c r="D76" i="4"/>
  <c r="E76" i="4"/>
  <c r="I76" i="4"/>
  <c r="D77" i="4"/>
  <c r="E77" i="4"/>
  <c r="I77" i="4"/>
  <c r="D78" i="4"/>
  <c r="E78" i="4"/>
  <c r="I78" i="4"/>
  <c r="D79" i="4"/>
  <c r="E79" i="4"/>
  <c r="I79" i="4"/>
  <c r="D518" i="4"/>
  <c r="E518" i="4" s="1"/>
  <c r="I518" i="4"/>
  <c r="D80" i="4"/>
  <c r="E80" i="4"/>
  <c r="H80" i="4"/>
  <c r="I80" i="4"/>
  <c r="D81" i="4"/>
  <c r="E81" i="4" s="1"/>
  <c r="I81" i="4"/>
  <c r="D82" i="4"/>
  <c r="E82" i="4"/>
  <c r="H82" i="4"/>
  <c r="I82" i="4"/>
  <c r="D83" i="4"/>
  <c r="E83" i="4"/>
  <c r="I83" i="4"/>
  <c r="D84" i="4"/>
  <c r="E84" i="4"/>
  <c r="I84" i="4"/>
  <c r="D85" i="4"/>
  <c r="E85" i="4"/>
  <c r="H85" i="4"/>
  <c r="I85" i="4"/>
  <c r="D86" i="4"/>
  <c r="E86" i="4"/>
  <c r="I86" i="4"/>
  <c r="D87" i="4"/>
  <c r="E87" i="4"/>
  <c r="H87" i="4"/>
  <c r="I87" i="4"/>
  <c r="D88" i="4"/>
  <c r="E88" i="4"/>
  <c r="I88" i="4"/>
  <c r="D89" i="4"/>
  <c r="E89" i="4"/>
  <c r="H89" i="4"/>
  <c r="I89" i="4"/>
  <c r="D90" i="4"/>
  <c r="E90" i="4" s="1"/>
  <c r="I90" i="4"/>
  <c r="D91" i="4"/>
  <c r="E91" i="4"/>
  <c r="H91" i="4"/>
  <c r="I91" i="4"/>
  <c r="D92" i="4"/>
  <c r="E92" i="4" s="1"/>
  <c r="I92" i="4"/>
  <c r="D93" i="4"/>
  <c r="E93" i="4"/>
  <c r="I93" i="4"/>
  <c r="D94" i="4"/>
  <c r="E94" i="4"/>
  <c r="H94" i="4"/>
  <c r="I94" i="4"/>
  <c r="D95" i="4"/>
  <c r="E95" i="4"/>
  <c r="H95" i="4"/>
  <c r="I95" i="4"/>
  <c r="D96" i="4"/>
  <c r="H96" i="4"/>
  <c r="I96" i="4"/>
  <c r="D97" i="4"/>
  <c r="E97" i="4"/>
  <c r="H97" i="4"/>
  <c r="I97" i="4"/>
  <c r="D98" i="4"/>
  <c r="E98" i="4"/>
  <c r="H98" i="4"/>
  <c r="I98" i="4"/>
  <c r="D99" i="4"/>
  <c r="E99" i="4"/>
  <c r="H99" i="4"/>
  <c r="I99" i="4"/>
  <c r="D100" i="4"/>
  <c r="E100" i="4"/>
  <c r="H100" i="4"/>
  <c r="I100" i="4"/>
  <c r="D101" i="4"/>
  <c r="E101" i="4"/>
  <c r="I101" i="4"/>
  <c r="D102" i="4"/>
  <c r="E102" i="4" s="1"/>
  <c r="I102" i="4"/>
  <c r="D103" i="4"/>
  <c r="E103" i="4"/>
  <c r="I103" i="4"/>
  <c r="D104" i="4"/>
  <c r="E104" i="4"/>
  <c r="H104" i="4"/>
  <c r="I104" i="4"/>
  <c r="D105" i="4"/>
  <c r="E105" i="4"/>
  <c r="H105" i="4"/>
  <c r="I105" i="4"/>
  <c r="D106" i="4"/>
  <c r="E106" i="4"/>
  <c r="H106" i="4"/>
  <c r="I106" i="4"/>
  <c r="D107" i="4"/>
  <c r="E107" i="4" s="1"/>
  <c r="I107" i="4"/>
  <c r="D108" i="4"/>
  <c r="E108" i="4"/>
  <c r="H108" i="4"/>
  <c r="I108" i="4"/>
  <c r="D109" i="4"/>
  <c r="E109" i="4"/>
  <c r="I109" i="4"/>
  <c r="D110" i="4"/>
  <c r="E110" i="4"/>
  <c r="H110" i="4"/>
  <c r="I110" i="4"/>
  <c r="D111" i="4"/>
  <c r="E111" i="4"/>
  <c r="I111" i="4"/>
  <c r="D112" i="4"/>
  <c r="E112" i="4"/>
  <c r="H112" i="4"/>
  <c r="I112" i="4"/>
  <c r="D113" i="4"/>
  <c r="E113" i="4"/>
  <c r="I113" i="4"/>
  <c r="D114" i="4"/>
  <c r="E114" i="4"/>
  <c r="H114" i="4"/>
  <c r="I114" i="4"/>
  <c r="D115" i="4"/>
  <c r="E115" i="4"/>
  <c r="I115" i="4"/>
  <c r="D116" i="4"/>
  <c r="E116" i="4"/>
  <c r="I116" i="4"/>
  <c r="D117" i="4"/>
  <c r="E117" i="4"/>
  <c r="I117" i="4"/>
  <c r="D118" i="4"/>
  <c r="E118" i="4"/>
  <c r="I118" i="4"/>
  <c r="D119" i="4"/>
  <c r="E119" i="4"/>
  <c r="H119" i="4"/>
  <c r="I119" i="4"/>
  <c r="D120" i="4"/>
  <c r="E120" i="4"/>
  <c r="I120" i="4"/>
  <c r="D121" i="4"/>
  <c r="E121" i="4" s="1"/>
  <c r="I121" i="4"/>
  <c r="D122" i="4"/>
  <c r="E122" i="4"/>
  <c r="I122" i="4"/>
  <c r="D123" i="4"/>
  <c r="E123" i="4"/>
  <c r="I123" i="4"/>
  <c r="D124" i="4"/>
  <c r="E124" i="4"/>
  <c r="I124" i="4"/>
  <c r="D125" i="4"/>
  <c r="E125" i="4"/>
  <c r="H125" i="4"/>
  <c r="I125" i="4"/>
  <c r="D126" i="4"/>
  <c r="E126" i="4"/>
  <c r="H126" i="4"/>
  <c r="I126" i="4"/>
  <c r="D127" i="4"/>
  <c r="E127" i="4"/>
  <c r="I127" i="4"/>
  <c r="D128" i="4"/>
  <c r="E128" i="4"/>
  <c r="H128" i="4"/>
  <c r="I128" i="4"/>
  <c r="D129" i="4"/>
  <c r="E129" i="4"/>
  <c r="I129" i="4"/>
  <c r="D130" i="4"/>
  <c r="E130" i="4"/>
  <c r="H130" i="4"/>
  <c r="I130" i="4"/>
  <c r="D131" i="4"/>
  <c r="E131" i="4"/>
  <c r="H131" i="4"/>
  <c r="I131" i="4"/>
  <c r="D132" i="4"/>
  <c r="E132" i="4"/>
  <c r="I132" i="4"/>
  <c r="D133" i="4"/>
  <c r="E133" i="4"/>
  <c r="I133" i="4"/>
  <c r="D134" i="4"/>
  <c r="E134" i="4"/>
  <c r="I134" i="4"/>
  <c r="D135" i="4"/>
  <c r="E135" i="4" s="1"/>
  <c r="I135" i="4"/>
  <c r="D136" i="4"/>
  <c r="E136" i="4"/>
  <c r="I136" i="4"/>
  <c r="D137" i="4"/>
  <c r="E137" i="4"/>
  <c r="I137" i="4"/>
  <c r="D138" i="4"/>
  <c r="E138" i="4"/>
  <c r="I138" i="4"/>
  <c r="D139" i="4"/>
  <c r="E139" i="4"/>
  <c r="I139" i="4"/>
  <c r="D140" i="4"/>
  <c r="E140" i="4"/>
  <c r="I140" i="4"/>
  <c r="D141" i="4"/>
  <c r="E141" i="4" s="1"/>
  <c r="I141" i="4"/>
  <c r="D142" i="4"/>
  <c r="E142" i="4"/>
  <c r="H142" i="4"/>
  <c r="I142" i="4"/>
  <c r="D143" i="4"/>
  <c r="E143" i="4"/>
  <c r="H143" i="4"/>
  <c r="I143" i="4"/>
  <c r="D144" i="4"/>
  <c r="E144" i="4"/>
  <c r="H144" i="4"/>
  <c r="I144" i="4"/>
  <c r="D145" i="4"/>
  <c r="E145" i="4" s="1"/>
  <c r="I145" i="4"/>
  <c r="D146" i="4"/>
  <c r="E146" i="4"/>
  <c r="I146" i="4"/>
  <c r="D147" i="4"/>
  <c r="E147" i="4"/>
  <c r="I147" i="4"/>
  <c r="D148" i="4"/>
  <c r="E148" i="4"/>
  <c r="I148" i="4"/>
  <c r="D149" i="4"/>
  <c r="E149" i="4"/>
  <c r="I149" i="4"/>
  <c r="D150" i="4"/>
  <c r="E150" i="4"/>
  <c r="I150" i="4"/>
  <c r="D151" i="4"/>
  <c r="E151" i="4"/>
  <c r="I151" i="4"/>
  <c r="D152" i="4"/>
  <c r="E152" i="4" s="1"/>
  <c r="I152" i="4"/>
  <c r="D153" i="4"/>
  <c r="E153" i="4"/>
  <c r="H153" i="4"/>
  <c r="I153" i="4"/>
  <c r="D154" i="4"/>
  <c r="E154" i="4"/>
  <c r="I154" i="4"/>
  <c r="D155" i="4"/>
  <c r="E155" i="4"/>
  <c r="H155" i="4"/>
  <c r="I155" i="4"/>
  <c r="D156" i="4"/>
  <c r="E156" i="4"/>
  <c r="I156" i="4"/>
  <c r="D157" i="4"/>
  <c r="E157" i="4"/>
  <c r="H157" i="4"/>
  <c r="I157" i="4"/>
  <c r="D158" i="4"/>
  <c r="E158" i="4"/>
  <c r="H158" i="4"/>
  <c r="I158" i="4"/>
  <c r="D159" i="4"/>
  <c r="D160" i="4"/>
  <c r="E160" i="4"/>
  <c r="H160" i="4"/>
  <c r="I160" i="4"/>
  <c r="D161" i="4"/>
  <c r="E161" i="4"/>
  <c r="H161" i="4"/>
  <c r="I161" i="4"/>
  <c r="D162" i="4"/>
  <c r="E162" i="4"/>
  <c r="H162" i="4"/>
  <c r="I162" i="4"/>
  <c r="D163" i="4"/>
  <c r="E163" i="4"/>
  <c r="I163" i="4"/>
  <c r="D164" i="4"/>
  <c r="E164" i="4"/>
  <c r="I164" i="4"/>
  <c r="D165" i="4"/>
  <c r="E165" i="4"/>
  <c r="H165" i="4"/>
  <c r="I165" i="4"/>
  <c r="D166" i="4"/>
  <c r="E166" i="4"/>
  <c r="I166" i="4"/>
  <c r="D167" i="4"/>
  <c r="E167" i="4" s="1"/>
  <c r="I167" i="4"/>
  <c r="D168" i="4"/>
  <c r="E168" i="4"/>
  <c r="H168" i="4"/>
  <c r="I168" i="4"/>
  <c r="D169" i="4"/>
  <c r="E169" i="4"/>
  <c r="H169" i="4"/>
  <c r="I169" i="4"/>
  <c r="D170" i="4"/>
  <c r="E170" i="4"/>
  <c r="H170" i="4"/>
  <c r="I170" i="4"/>
  <c r="D171" i="4"/>
  <c r="E171" i="4"/>
  <c r="H171" i="4"/>
  <c r="I171" i="4"/>
  <c r="D172" i="4"/>
  <c r="E172" i="4"/>
  <c r="H172" i="4"/>
  <c r="I172" i="4"/>
  <c r="D173" i="4"/>
  <c r="E173" i="4"/>
  <c r="H173" i="4"/>
  <c r="I173" i="4"/>
  <c r="D174" i="4"/>
  <c r="E174" i="4" s="1"/>
  <c r="I174" i="4"/>
  <c r="D175" i="4"/>
  <c r="E175" i="4"/>
  <c r="H175" i="4"/>
  <c r="I175" i="4"/>
  <c r="D176" i="4"/>
  <c r="E176" i="4"/>
  <c r="H176" i="4"/>
  <c r="I176" i="4"/>
  <c r="D177" i="4"/>
  <c r="E177" i="4" s="1"/>
  <c r="I177" i="4"/>
  <c r="D178" i="4"/>
  <c r="E178" i="4"/>
  <c r="H178" i="4"/>
  <c r="I178" i="4"/>
  <c r="D179" i="4"/>
  <c r="E179" i="4" s="1"/>
  <c r="I179" i="4"/>
  <c r="D180" i="4"/>
  <c r="E180" i="4"/>
  <c r="H180" i="4"/>
  <c r="I180" i="4"/>
  <c r="D181" i="4"/>
  <c r="E181" i="4"/>
  <c r="I181" i="4"/>
  <c r="D182" i="4"/>
  <c r="E182" i="4"/>
  <c r="I182" i="4"/>
  <c r="D183" i="4"/>
  <c r="E183" i="4"/>
  <c r="I183" i="4"/>
  <c r="D184" i="4"/>
  <c r="E184" i="4" s="1"/>
  <c r="I184" i="4"/>
  <c r="D185" i="4"/>
  <c r="E185" i="4"/>
  <c r="H185" i="4"/>
  <c r="I185" i="4"/>
  <c r="D186" i="4"/>
  <c r="E186" i="4"/>
  <c r="I186" i="4"/>
  <c r="D187" i="4"/>
  <c r="E187" i="4"/>
  <c r="H187" i="4"/>
  <c r="I187" i="4"/>
  <c r="D188" i="4"/>
  <c r="E188" i="4"/>
  <c r="I188" i="4"/>
  <c r="D189" i="4"/>
  <c r="E189" i="4"/>
  <c r="I189" i="4"/>
  <c r="D190" i="4"/>
  <c r="E190" i="4"/>
  <c r="I190" i="4"/>
  <c r="D191" i="4"/>
  <c r="E191" i="4"/>
  <c r="I191" i="4"/>
  <c r="D192" i="4"/>
  <c r="E192" i="4"/>
  <c r="I192" i="4"/>
  <c r="D193" i="4"/>
  <c r="E193" i="4"/>
  <c r="I193" i="4"/>
  <c r="D194" i="4"/>
  <c r="E194" i="4"/>
  <c r="I194" i="4"/>
  <c r="D195" i="4"/>
  <c r="E195" i="4"/>
  <c r="I195" i="4"/>
  <c r="D196" i="4"/>
  <c r="E196" i="4"/>
  <c r="I196" i="4"/>
  <c r="D197" i="4"/>
  <c r="E197" i="4"/>
  <c r="I197" i="4"/>
  <c r="D198" i="4"/>
  <c r="E198" i="4"/>
  <c r="I198" i="4"/>
  <c r="D199" i="4"/>
  <c r="E199" i="4"/>
  <c r="I199" i="4"/>
  <c r="D200" i="4"/>
  <c r="E200" i="4"/>
  <c r="I200" i="4"/>
  <c r="D201" i="4"/>
  <c r="E201" i="4"/>
  <c r="I201" i="4"/>
  <c r="D202" i="4"/>
  <c r="E202" i="4"/>
  <c r="I202" i="4"/>
  <c r="D203" i="4"/>
  <c r="E203" i="4"/>
  <c r="I203" i="4"/>
  <c r="D204" i="4"/>
  <c r="E204" i="4"/>
  <c r="I204" i="4"/>
  <c r="D205" i="4"/>
  <c r="E205" i="4"/>
  <c r="I205" i="4"/>
  <c r="D206" i="4"/>
  <c r="E206" i="4" s="1"/>
  <c r="I206" i="4"/>
  <c r="D207" i="4"/>
  <c r="E207" i="4"/>
  <c r="I207" i="4"/>
  <c r="D208" i="4"/>
  <c r="E208" i="4"/>
  <c r="I208" i="4"/>
  <c r="D209" i="4"/>
  <c r="E209" i="4"/>
  <c r="I209" i="4"/>
  <c r="D210" i="4"/>
  <c r="E210" i="4" s="1"/>
  <c r="I210" i="4"/>
  <c r="D211" i="4"/>
  <c r="E211" i="4"/>
  <c r="I211" i="4"/>
  <c r="D212" i="4"/>
  <c r="E212" i="4"/>
  <c r="I212" i="4"/>
  <c r="D213" i="4"/>
  <c r="E213" i="4"/>
  <c r="I213" i="4"/>
  <c r="D214" i="4"/>
  <c r="E214" i="4"/>
  <c r="I214" i="4"/>
  <c r="D215" i="4"/>
  <c r="E215" i="4" s="1"/>
  <c r="I215" i="4"/>
  <c r="D216" i="4"/>
  <c r="E216" i="4"/>
  <c r="I216" i="4"/>
  <c r="D217" i="4"/>
  <c r="E217" i="4"/>
  <c r="I217" i="4"/>
  <c r="D218" i="4"/>
  <c r="E218" i="4"/>
  <c r="I218" i="4"/>
  <c r="D219" i="4"/>
  <c r="E219" i="4" s="1"/>
  <c r="I219" i="4"/>
  <c r="D220" i="4"/>
  <c r="E220" i="4" s="1"/>
  <c r="I220" i="4"/>
  <c r="D221" i="4"/>
  <c r="E221" i="4"/>
  <c r="I221" i="4"/>
  <c r="D222" i="4"/>
  <c r="E222" i="4"/>
  <c r="I222" i="4"/>
  <c r="D223" i="4"/>
  <c r="E223" i="4"/>
  <c r="I223" i="4"/>
  <c r="D224" i="4"/>
  <c r="E224" i="4" s="1"/>
  <c r="I224" i="4"/>
  <c r="D225" i="4"/>
  <c r="E225" i="4"/>
  <c r="I225" i="4"/>
  <c r="D226" i="4"/>
  <c r="E226" i="4"/>
  <c r="I226" i="4"/>
  <c r="D227" i="4"/>
  <c r="E227" i="4"/>
  <c r="I227" i="4"/>
  <c r="D228" i="4"/>
  <c r="E228" i="4"/>
  <c r="I228" i="4"/>
  <c r="D229" i="4"/>
  <c r="E229" i="4"/>
  <c r="I229" i="4"/>
  <c r="D230" i="4"/>
  <c r="E230" i="4"/>
  <c r="I230" i="4"/>
  <c r="D231" i="4"/>
  <c r="E231" i="4"/>
  <c r="I231" i="4"/>
  <c r="D232" i="4"/>
  <c r="E232" i="4"/>
  <c r="I232" i="4"/>
  <c r="I233" i="4"/>
  <c r="D234" i="4"/>
  <c r="E234" i="4"/>
  <c r="I234" i="4"/>
  <c r="D235" i="4"/>
  <c r="E235" i="4" s="1"/>
  <c r="I235" i="4"/>
  <c r="D236" i="4"/>
  <c r="E236" i="4"/>
  <c r="I236" i="4"/>
  <c r="D237" i="4"/>
  <c r="E237" i="4" s="1"/>
  <c r="I237" i="4"/>
  <c r="D238" i="4"/>
  <c r="E238" i="4"/>
  <c r="I238" i="4"/>
  <c r="D239" i="4"/>
  <c r="E239" i="4"/>
  <c r="I239" i="4"/>
  <c r="D240" i="4"/>
  <c r="E240" i="4"/>
  <c r="I240" i="4"/>
  <c r="D241" i="4"/>
  <c r="E241" i="4"/>
  <c r="I241" i="4"/>
  <c r="D242" i="4"/>
  <c r="E242" i="4" s="1"/>
  <c r="I242" i="4"/>
  <c r="D243" i="4"/>
  <c r="E243" i="4"/>
  <c r="I243" i="4"/>
  <c r="D244" i="4"/>
  <c r="E244" i="4"/>
  <c r="I244" i="4"/>
  <c r="D245" i="4"/>
  <c r="E245" i="4" s="1"/>
  <c r="I245" i="4"/>
  <c r="D246" i="4"/>
  <c r="E246" i="4" s="1"/>
  <c r="D247" i="4"/>
  <c r="E247" i="4"/>
  <c r="I247" i="4"/>
  <c r="D248" i="4"/>
  <c r="E248" i="4" s="1"/>
  <c r="I248" i="4"/>
  <c r="D249" i="4"/>
  <c r="E249" i="4"/>
  <c r="I249" i="4"/>
  <c r="D250" i="4"/>
  <c r="E250" i="4" s="1"/>
  <c r="I250" i="4"/>
  <c r="D251" i="4"/>
  <c r="E251" i="4" s="1"/>
  <c r="I251" i="4"/>
  <c r="D252" i="4"/>
  <c r="E252" i="4"/>
  <c r="I252" i="4"/>
  <c r="D253" i="4"/>
  <c r="E253" i="4" s="1"/>
  <c r="I253" i="4"/>
  <c r="D254" i="4"/>
  <c r="E254" i="4"/>
  <c r="I254" i="4"/>
  <c r="D255" i="4"/>
  <c r="E255" i="4"/>
  <c r="I255" i="4"/>
  <c r="D256" i="4"/>
  <c r="E256" i="4"/>
  <c r="I256" i="4"/>
  <c r="D257" i="4"/>
  <c r="E257" i="4"/>
  <c r="I257" i="4"/>
  <c r="D258" i="4"/>
  <c r="E258" i="4"/>
  <c r="I258" i="4"/>
  <c r="D259" i="4"/>
  <c r="E259" i="4"/>
  <c r="I259" i="4"/>
  <c r="D260" i="4"/>
  <c r="E260" i="4"/>
  <c r="I260" i="4"/>
  <c r="D261" i="4"/>
  <c r="E261" i="4"/>
  <c r="I261" i="4"/>
  <c r="D262" i="4"/>
  <c r="E262" i="4"/>
  <c r="I262" i="4"/>
  <c r="D263" i="4"/>
  <c r="E263" i="4"/>
  <c r="I263" i="4"/>
  <c r="D264" i="4"/>
  <c r="E264" i="4"/>
  <c r="I264" i="4"/>
  <c r="D265" i="4"/>
  <c r="E265" i="4" s="1"/>
  <c r="I265" i="4"/>
  <c r="D266" i="4"/>
  <c r="E266" i="4" s="1"/>
  <c r="I266" i="4"/>
  <c r="D267" i="4"/>
  <c r="E267" i="4"/>
  <c r="I267" i="4"/>
  <c r="D268" i="4"/>
  <c r="E268" i="4"/>
  <c r="I268" i="4"/>
  <c r="D269" i="4"/>
  <c r="E269" i="4"/>
  <c r="I269" i="4"/>
  <c r="D270" i="4"/>
  <c r="E270" i="4" s="1"/>
  <c r="I270" i="4"/>
  <c r="D271" i="4"/>
  <c r="E271" i="4"/>
  <c r="I271" i="4"/>
  <c r="D272" i="4"/>
  <c r="E272" i="4" s="1"/>
  <c r="I272" i="4"/>
  <c r="D273" i="4"/>
  <c r="E273" i="4"/>
  <c r="H273" i="4"/>
  <c r="I273" i="4"/>
  <c r="D274" i="4"/>
  <c r="E274" i="4"/>
  <c r="I274" i="4"/>
  <c r="D275" i="4"/>
  <c r="I275" i="4"/>
  <c r="D276" i="4"/>
  <c r="E276" i="4"/>
  <c r="I276" i="4"/>
  <c r="D277" i="4"/>
  <c r="E277" i="4"/>
  <c r="I277" i="4"/>
  <c r="D278" i="4"/>
  <c r="E278" i="4"/>
  <c r="I278" i="4"/>
  <c r="D279" i="4"/>
  <c r="E279" i="4"/>
  <c r="H279" i="4"/>
  <c r="I279" i="4"/>
  <c r="D280" i="4"/>
  <c r="E280" i="4"/>
  <c r="I280" i="4"/>
  <c r="D281" i="4"/>
  <c r="E281" i="4"/>
  <c r="I281" i="4"/>
  <c r="D282" i="4"/>
  <c r="E282" i="4" s="1"/>
  <c r="I282" i="4"/>
  <c r="D283" i="4"/>
  <c r="E283" i="4"/>
  <c r="H283" i="4"/>
  <c r="I283" i="4"/>
  <c r="D284" i="4"/>
  <c r="E284" i="4"/>
  <c r="H284" i="4"/>
  <c r="I284" i="4"/>
  <c r="D285" i="4"/>
  <c r="E285" i="4"/>
  <c r="H285" i="4"/>
  <c r="I285" i="4"/>
  <c r="D286" i="4"/>
  <c r="E286" i="4"/>
  <c r="H286" i="4"/>
  <c r="I286" i="4"/>
  <c r="D287" i="4"/>
  <c r="E287" i="4" s="1"/>
  <c r="I287" i="4"/>
  <c r="D288" i="4"/>
  <c r="E288" i="4" s="1"/>
  <c r="I288" i="4"/>
  <c r="D289" i="4"/>
  <c r="E289" i="4"/>
  <c r="I289" i="4"/>
  <c r="D290" i="4"/>
  <c r="E290" i="4" s="1"/>
  <c r="I290" i="4"/>
  <c r="D291" i="4"/>
  <c r="E291" i="4" s="1"/>
  <c r="I291" i="4"/>
  <c r="D292" i="4"/>
  <c r="E292" i="4"/>
  <c r="I292" i="4"/>
  <c r="D293" i="4"/>
  <c r="E293" i="4"/>
  <c r="I293" i="4"/>
  <c r="D294" i="4"/>
  <c r="E294" i="4"/>
  <c r="I294" i="4"/>
  <c r="D295" i="4"/>
  <c r="E295" i="4"/>
  <c r="I295" i="4"/>
  <c r="D296" i="4"/>
  <c r="E296" i="4" s="1"/>
  <c r="I296" i="4"/>
  <c r="D297" i="4"/>
  <c r="E297" i="4" s="1"/>
  <c r="I297" i="4"/>
  <c r="D298" i="4"/>
  <c r="E298" i="4" s="1"/>
  <c r="I298" i="4"/>
  <c r="D299" i="4"/>
  <c r="E299" i="4" s="1"/>
  <c r="I299" i="4"/>
  <c r="D300" i="4"/>
  <c r="E300" i="4" s="1"/>
  <c r="I300" i="4"/>
  <c r="D301" i="4"/>
  <c r="E301" i="4"/>
  <c r="I301" i="4"/>
  <c r="D302" i="4"/>
  <c r="E302" i="4"/>
  <c r="I302" i="4"/>
  <c r="D303" i="4"/>
  <c r="E303" i="4"/>
  <c r="I303" i="4"/>
  <c r="D304" i="4"/>
  <c r="E304" i="4" s="1"/>
  <c r="D305" i="4"/>
  <c r="E305" i="4" s="1"/>
  <c r="I305" i="4"/>
  <c r="D306" i="4"/>
  <c r="E306" i="4"/>
  <c r="I306" i="4"/>
  <c r="D307" i="4"/>
  <c r="E307" i="4" s="1"/>
  <c r="I307" i="4"/>
  <c r="D308" i="4"/>
  <c r="E308" i="4" s="1"/>
  <c r="I308" i="4"/>
  <c r="D309" i="4"/>
  <c r="E309" i="4"/>
  <c r="I309" i="4"/>
  <c r="D310" i="4"/>
  <c r="E310" i="4" s="1"/>
  <c r="I310" i="4"/>
  <c r="D311" i="4"/>
  <c r="E311" i="4"/>
  <c r="I311" i="4"/>
  <c r="D312" i="4"/>
  <c r="E312" i="4"/>
  <c r="I312" i="4"/>
  <c r="D313" i="4"/>
  <c r="E313" i="4" s="1"/>
  <c r="I313" i="4"/>
  <c r="D314" i="4"/>
  <c r="E314" i="4"/>
  <c r="I314" i="4"/>
  <c r="D315" i="4"/>
  <c r="E315" i="4" s="1"/>
  <c r="I315" i="4"/>
  <c r="D316" i="4"/>
  <c r="E316" i="4"/>
  <c r="I316" i="4"/>
  <c r="D317" i="4"/>
  <c r="E317" i="4"/>
  <c r="I317" i="4"/>
  <c r="D318" i="4"/>
  <c r="E318" i="4"/>
  <c r="H318" i="4"/>
  <c r="I318" i="4"/>
  <c r="D319" i="4"/>
  <c r="E319" i="4"/>
  <c r="H319" i="4"/>
  <c r="I319" i="4"/>
  <c r="D320" i="4"/>
  <c r="E320" i="4"/>
  <c r="H320" i="4"/>
  <c r="I320" i="4"/>
  <c r="D321" i="4"/>
  <c r="E321" i="4"/>
  <c r="H321" i="4"/>
  <c r="I321" i="4"/>
  <c r="D322" i="4"/>
  <c r="E322" i="4" s="1"/>
  <c r="I322" i="4"/>
  <c r="D323" i="4"/>
  <c r="E323" i="4"/>
  <c r="I323" i="4"/>
  <c r="D324" i="4"/>
  <c r="E324" i="4"/>
  <c r="I324" i="4"/>
  <c r="D325" i="4"/>
  <c r="E325" i="4"/>
  <c r="I325" i="4"/>
  <c r="D326" i="4"/>
  <c r="E326" i="4" s="1"/>
  <c r="I326" i="4"/>
  <c r="D327" i="4"/>
  <c r="E327" i="4" s="1"/>
  <c r="I327" i="4"/>
  <c r="D328" i="4"/>
  <c r="E328" i="4"/>
  <c r="I328" i="4"/>
  <c r="D329" i="4"/>
  <c r="E329" i="4"/>
  <c r="I329" i="4"/>
  <c r="D330" i="4"/>
  <c r="E330" i="4" s="1"/>
  <c r="I330" i="4"/>
  <c r="D331" i="4"/>
  <c r="E331" i="4"/>
  <c r="I331" i="4"/>
  <c r="D332" i="4"/>
  <c r="E332" i="4" s="1"/>
  <c r="I332" i="4"/>
  <c r="D333" i="4"/>
  <c r="E333" i="4" s="1"/>
  <c r="I333" i="4"/>
  <c r="D334" i="4"/>
  <c r="E334" i="4"/>
  <c r="I334" i="4"/>
  <c r="D335" i="4"/>
  <c r="E335" i="4"/>
  <c r="I335" i="4"/>
  <c r="D336" i="4"/>
  <c r="E336" i="4"/>
  <c r="I336" i="4"/>
  <c r="D337" i="4"/>
  <c r="I337" i="4"/>
  <c r="D338" i="4"/>
  <c r="E338" i="4" s="1"/>
  <c r="I338" i="4"/>
  <c r="D339" i="4"/>
  <c r="E339" i="4"/>
  <c r="I339" i="4"/>
  <c r="D340" i="4"/>
  <c r="E340" i="4" s="1"/>
  <c r="I340" i="4"/>
  <c r="D341" i="4"/>
  <c r="E341" i="4"/>
  <c r="I341" i="4"/>
  <c r="D342" i="4"/>
  <c r="E342" i="4"/>
  <c r="I342" i="4"/>
  <c r="D343" i="4"/>
  <c r="E343" i="4"/>
  <c r="I343" i="4"/>
  <c r="D344" i="4"/>
  <c r="E344" i="4"/>
  <c r="I344" i="4"/>
  <c r="D345" i="4"/>
  <c r="E345" i="4" s="1"/>
  <c r="I345" i="4"/>
  <c r="D346" i="4"/>
  <c r="E346" i="4"/>
  <c r="I346" i="4"/>
  <c r="D347" i="4"/>
  <c r="E347" i="4"/>
  <c r="I347" i="4"/>
  <c r="D348" i="4"/>
  <c r="E348" i="4"/>
  <c r="I348" i="4"/>
  <c r="D349" i="4"/>
  <c r="E349" i="4"/>
  <c r="I349" i="4"/>
  <c r="D350" i="4"/>
  <c r="E350" i="4"/>
  <c r="I350" i="4"/>
  <c r="D351" i="4"/>
  <c r="E351" i="4"/>
  <c r="I351" i="4"/>
  <c r="D352" i="4"/>
  <c r="E352" i="4" s="1"/>
  <c r="I352" i="4"/>
  <c r="D353" i="4"/>
  <c r="E353" i="4" s="1"/>
  <c r="I353" i="4"/>
  <c r="D354" i="4"/>
  <c r="E354" i="4" s="1"/>
  <c r="I354" i="4"/>
  <c r="D355" i="4"/>
  <c r="E355" i="4" s="1"/>
  <c r="I355" i="4"/>
  <c r="D356" i="4"/>
  <c r="E356" i="4" s="1"/>
  <c r="I356" i="4"/>
  <c r="D357" i="4"/>
  <c r="E357" i="4"/>
  <c r="I357" i="4"/>
  <c r="D358" i="4"/>
  <c r="E358" i="4"/>
  <c r="I358" i="4"/>
  <c r="D359" i="4"/>
  <c r="E359" i="4"/>
  <c r="I359" i="4"/>
  <c r="D360" i="4"/>
  <c r="E360" i="4"/>
  <c r="I360" i="4"/>
  <c r="D361" i="4"/>
  <c r="E361" i="4" s="1"/>
  <c r="I361" i="4"/>
  <c r="D362" i="4"/>
  <c r="E362" i="4" s="1"/>
  <c r="I362" i="4"/>
  <c r="D363" i="4"/>
  <c r="E363" i="4"/>
  <c r="I363" i="4"/>
  <c r="D364" i="4"/>
  <c r="E364" i="4"/>
  <c r="I364" i="4"/>
  <c r="D365" i="4"/>
  <c r="E365" i="4"/>
  <c r="I365" i="4"/>
  <c r="D366" i="4"/>
  <c r="E366" i="4" s="1"/>
  <c r="I366" i="4"/>
  <c r="D367" i="4"/>
  <c r="E367" i="4" s="1"/>
  <c r="I367" i="4"/>
  <c r="D368" i="4"/>
  <c r="E368" i="4" s="1"/>
  <c r="I368" i="4"/>
  <c r="D369" i="4"/>
  <c r="E369" i="4" s="1"/>
  <c r="I369" i="4"/>
  <c r="D370" i="4"/>
  <c r="E370" i="4"/>
  <c r="I370" i="4"/>
  <c r="D371" i="4"/>
  <c r="E371" i="4"/>
  <c r="I371" i="4"/>
  <c r="D372" i="4"/>
  <c r="E372" i="4"/>
  <c r="I372" i="4"/>
  <c r="D373" i="4"/>
  <c r="E373" i="4"/>
  <c r="I373" i="4"/>
  <c r="D374" i="4"/>
  <c r="E374" i="4" s="1"/>
  <c r="I374" i="4"/>
  <c r="D375" i="4"/>
  <c r="E375" i="4"/>
  <c r="I375" i="4"/>
  <c r="D376" i="4"/>
  <c r="E376" i="4" s="1"/>
  <c r="I376" i="4"/>
  <c r="D377" i="4"/>
  <c r="E377" i="4" s="1"/>
  <c r="I377" i="4"/>
  <c r="D378" i="4"/>
  <c r="E378" i="4" s="1"/>
  <c r="D379" i="4"/>
  <c r="E379" i="4"/>
  <c r="I379" i="4"/>
  <c r="D380" i="4"/>
  <c r="E380" i="4" s="1"/>
  <c r="I380" i="4"/>
  <c r="D381" i="4"/>
  <c r="E381" i="4" s="1"/>
  <c r="I381" i="4"/>
  <c r="D382" i="4"/>
  <c r="E382" i="4" s="1"/>
  <c r="I382" i="4"/>
  <c r="D383" i="4"/>
  <c r="E383" i="4"/>
  <c r="I383" i="4"/>
  <c r="D384" i="4"/>
  <c r="E384" i="4" s="1"/>
  <c r="I384" i="4"/>
  <c r="D385" i="4"/>
  <c r="E385" i="4"/>
  <c r="I385" i="4"/>
  <c r="D386" i="4"/>
  <c r="E386" i="4" s="1"/>
  <c r="I386" i="4"/>
  <c r="D387" i="4"/>
  <c r="E387" i="4" s="1"/>
  <c r="I387" i="4"/>
  <c r="D388" i="4"/>
  <c r="E388" i="4"/>
  <c r="I388" i="4"/>
  <c r="D389" i="4"/>
  <c r="E389" i="4" s="1"/>
  <c r="I389" i="4"/>
  <c r="D390" i="4"/>
  <c r="E390" i="4"/>
  <c r="I390" i="4"/>
  <c r="D391" i="4"/>
  <c r="E391" i="4" s="1"/>
  <c r="I391" i="4"/>
  <c r="D392" i="4"/>
  <c r="E392" i="4" s="1"/>
  <c r="I392" i="4"/>
  <c r="D393" i="4"/>
  <c r="E393" i="4"/>
  <c r="I393" i="4"/>
  <c r="D394" i="4"/>
  <c r="E394" i="4" s="1"/>
  <c r="I394" i="4"/>
  <c r="D395" i="4"/>
  <c r="E395" i="4" s="1"/>
  <c r="I395" i="4"/>
  <c r="D396" i="4"/>
  <c r="E396" i="4" s="1"/>
  <c r="I396" i="4"/>
  <c r="D397" i="4"/>
  <c r="E397" i="4" s="1"/>
  <c r="I397" i="4"/>
  <c r="D398" i="4"/>
  <c r="E398" i="4" s="1"/>
  <c r="I398" i="4"/>
  <c r="D399" i="4"/>
  <c r="E399" i="4" s="1"/>
  <c r="I399" i="4"/>
  <c r="D400" i="4"/>
  <c r="E400" i="4" s="1"/>
  <c r="I400" i="4"/>
  <c r="D401" i="4"/>
  <c r="E401" i="4"/>
  <c r="I401" i="4"/>
  <c r="D402" i="4"/>
  <c r="E402" i="4"/>
  <c r="I402" i="4"/>
  <c r="D403" i="4"/>
  <c r="E403" i="4"/>
  <c r="I403" i="4"/>
  <c r="D404" i="4"/>
  <c r="E404" i="4"/>
  <c r="I404" i="4"/>
  <c r="D405" i="4"/>
  <c r="E405" i="4" s="1"/>
  <c r="I405" i="4"/>
  <c r="D406" i="4"/>
  <c r="E406" i="4"/>
  <c r="I406" i="4"/>
  <c r="D407" i="4"/>
  <c r="E407" i="4" s="1"/>
  <c r="I407" i="4"/>
  <c r="D408" i="4"/>
  <c r="E408" i="4"/>
  <c r="I408" i="4"/>
  <c r="D409" i="4"/>
  <c r="E409" i="4"/>
  <c r="I409" i="4"/>
  <c r="D410" i="4"/>
  <c r="E410" i="4" s="1"/>
  <c r="I410" i="4"/>
  <c r="D411" i="4"/>
  <c r="E411" i="4" s="1"/>
  <c r="I411" i="4"/>
  <c r="D412" i="4"/>
  <c r="E412" i="4"/>
  <c r="I412" i="4"/>
  <c r="D413" i="4"/>
  <c r="E413" i="4" s="1"/>
  <c r="I413" i="4"/>
  <c r="D414" i="4"/>
  <c r="E414" i="4" s="1"/>
  <c r="I414" i="4"/>
  <c r="D415" i="4"/>
  <c r="E415" i="4"/>
  <c r="I415" i="4"/>
  <c r="D416" i="4"/>
  <c r="E416" i="4" s="1"/>
  <c r="I416" i="4"/>
  <c r="D417" i="4"/>
  <c r="E417" i="4"/>
  <c r="I417" i="4"/>
  <c r="D418" i="4"/>
  <c r="E418" i="4" s="1"/>
  <c r="I418" i="4"/>
  <c r="D419" i="4"/>
  <c r="E419" i="4" s="1"/>
  <c r="I419" i="4"/>
  <c r="D420" i="4"/>
  <c r="E420" i="4" s="1"/>
  <c r="I420" i="4"/>
  <c r="D421" i="4"/>
  <c r="E421" i="4" s="1"/>
  <c r="I421" i="4"/>
  <c r="D422" i="4"/>
  <c r="E422" i="4"/>
  <c r="I422" i="4"/>
  <c r="D423" i="4"/>
  <c r="E423" i="4"/>
  <c r="I423" i="4"/>
  <c r="D424" i="4"/>
  <c r="E424" i="4"/>
  <c r="I424" i="4"/>
  <c r="D425" i="4"/>
  <c r="E425" i="4"/>
  <c r="I425" i="4"/>
  <c r="D426" i="4"/>
  <c r="E426" i="4" s="1"/>
  <c r="I426" i="4"/>
  <c r="D427" i="4"/>
  <c r="E427" i="4"/>
  <c r="I427" i="4"/>
  <c r="D428" i="4"/>
  <c r="E428" i="4" s="1"/>
  <c r="I428" i="4"/>
  <c r="D429" i="4"/>
  <c r="E429" i="4" s="1"/>
  <c r="I429" i="4"/>
  <c r="D430" i="4"/>
  <c r="E430" i="4"/>
  <c r="I430" i="4"/>
  <c r="D431" i="4"/>
  <c r="E431" i="4" s="1"/>
  <c r="I431" i="4"/>
  <c r="D432" i="4"/>
  <c r="E432" i="4" s="1"/>
  <c r="I432" i="4"/>
  <c r="D433" i="4"/>
  <c r="E433" i="4"/>
  <c r="I433" i="4"/>
  <c r="D434" i="4"/>
  <c r="E434" i="4" s="1"/>
  <c r="I434" i="4"/>
  <c r="D435" i="4"/>
  <c r="E435" i="4"/>
  <c r="I435" i="4"/>
  <c r="D436" i="4"/>
  <c r="E436" i="4" s="1"/>
  <c r="I436" i="4"/>
  <c r="D437" i="4"/>
  <c r="E437" i="4"/>
  <c r="I437" i="4"/>
  <c r="D438" i="4"/>
  <c r="E438" i="4" s="1"/>
  <c r="I438" i="4"/>
  <c r="D439" i="4"/>
  <c r="E439" i="4"/>
  <c r="I439" i="4"/>
  <c r="D440" i="4"/>
  <c r="E440" i="4"/>
  <c r="I440" i="4"/>
  <c r="D441" i="4"/>
  <c r="E441" i="4"/>
  <c r="I441" i="4"/>
  <c r="D442" i="4"/>
  <c r="E442" i="4" s="1"/>
  <c r="I442" i="4"/>
  <c r="D443" i="4"/>
  <c r="E443" i="4" s="1"/>
  <c r="I443" i="4"/>
  <c r="D444" i="4"/>
  <c r="E444" i="4" s="1"/>
  <c r="I444" i="4"/>
  <c r="D445" i="4"/>
  <c r="E445" i="4" s="1"/>
  <c r="I445" i="4"/>
  <c r="D446" i="4"/>
  <c r="E446" i="4" s="1"/>
  <c r="I446" i="4"/>
  <c r="D447" i="4"/>
  <c r="E447" i="4" s="1"/>
  <c r="I447" i="4"/>
  <c r="D448" i="4"/>
  <c r="E448" i="4"/>
  <c r="I448" i="4"/>
  <c r="D449" i="4"/>
  <c r="I449" i="4"/>
  <c r="D450" i="4"/>
  <c r="E450" i="4" s="1"/>
  <c r="I450" i="4"/>
  <c r="D451" i="4"/>
  <c r="E451" i="4" s="1"/>
  <c r="I451" i="4"/>
  <c r="D452" i="4"/>
  <c r="E452" i="4" s="1"/>
  <c r="I452" i="4"/>
  <c r="D453" i="4"/>
  <c r="E453" i="4" s="1"/>
  <c r="I453" i="4"/>
  <c r="D454" i="4"/>
  <c r="E454" i="4" s="1"/>
  <c r="I454" i="4"/>
  <c r="D455" i="4"/>
  <c r="E455" i="4" s="1"/>
  <c r="I455" i="4"/>
  <c r="D456" i="4"/>
  <c r="E456" i="4" s="1"/>
  <c r="I456" i="4"/>
  <c r="D457" i="4"/>
  <c r="E457" i="4" s="1"/>
  <c r="I457" i="4"/>
  <c r="D458" i="4"/>
  <c r="E458" i="4" s="1"/>
  <c r="I458" i="4"/>
  <c r="D459" i="4"/>
  <c r="E459" i="4" s="1"/>
  <c r="I459" i="4"/>
  <c r="D460" i="4"/>
  <c r="E460" i="4"/>
  <c r="I460" i="4"/>
  <c r="D461" i="4"/>
  <c r="E461" i="4" s="1"/>
  <c r="I461" i="4"/>
  <c r="D462" i="4"/>
  <c r="E462" i="4" s="1"/>
  <c r="I462" i="4"/>
  <c r="D463" i="4"/>
  <c r="E463" i="4" s="1"/>
  <c r="I463" i="4"/>
  <c r="D464" i="4"/>
  <c r="E464" i="4" s="1"/>
  <c r="I464" i="4"/>
  <c r="D465" i="4"/>
  <c r="E465" i="4" s="1"/>
  <c r="I465" i="4"/>
  <c r="D466" i="4"/>
  <c r="E466" i="4" s="1"/>
  <c r="I466" i="4"/>
  <c r="D467" i="4"/>
  <c r="E467" i="4" s="1"/>
  <c r="I467" i="4"/>
  <c r="D468" i="4"/>
  <c r="E468" i="4" s="1"/>
  <c r="I468" i="4"/>
  <c r="D469" i="4"/>
  <c r="E469" i="4" s="1"/>
  <c r="I469" i="4"/>
  <c r="D470" i="4"/>
  <c r="E470" i="4" s="1"/>
  <c r="I470" i="4"/>
  <c r="D471" i="4"/>
  <c r="E471" i="4" s="1"/>
  <c r="I471" i="4"/>
  <c r="D472" i="4"/>
  <c r="E472" i="4" s="1"/>
  <c r="I472" i="4"/>
  <c r="D473" i="4"/>
  <c r="E473" i="4" s="1"/>
  <c r="I473" i="4"/>
  <c r="D474" i="4"/>
  <c r="E474" i="4" s="1"/>
  <c r="I474" i="4"/>
  <c r="D475" i="4"/>
  <c r="E475" i="4" s="1"/>
  <c r="I475" i="4"/>
  <c r="D476" i="4"/>
  <c r="E476" i="4" s="1"/>
  <c r="I476" i="4"/>
  <c r="D477" i="4"/>
  <c r="E477" i="4"/>
  <c r="I477" i="4"/>
  <c r="D478" i="4"/>
  <c r="E478" i="4" s="1"/>
  <c r="I478" i="4"/>
  <c r="D479" i="4"/>
  <c r="E479" i="4" s="1"/>
  <c r="I479" i="4"/>
  <c r="D480" i="4"/>
  <c r="E480" i="4" s="1"/>
  <c r="I480" i="4"/>
  <c r="D481" i="4"/>
  <c r="E481" i="4" s="1"/>
  <c r="I481" i="4"/>
  <c r="D482" i="4"/>
  <c r="E482" i="4" s="1"/>
  <c r="I482" i="4"/>
  <c r="D483" i="4"/>
  <c r="E483" i="4"/>
  <c r="I483" i="4"/>
  <c r="D484" i="4"/>
  <c r="E484" i="4" s="1"/>
  <c r="I484" i="4"/>
  <c r="D485" i="4"/>
  <c r="E485" i="4" s="1"/>
  <c r="I485" i="4"/>
  <c r="D486" i="4"/>
  <c r="E486" i="4" s="1"/>
  <c r="I486" i="4"/>
  <c r="D487" i="4"/>
  <c r="E487" i="4" s="1"/>
  <c r="I487" i="4"/>
  <c r="D488" i="4"/>
  <c r="E488" i="4" s="1"/>
  <c r="I488" i="4"/>
  <c r="D489" i="4"/>
  <c r="E489" i="4" s="1"/>
  <c r="I489" i="4"/>
  <c r="D490" i="4"/>
  <c r="E490" i="4" s="1"/>
  <c r="I490" i="4"/>
  <c r="D491" i="4"/>
  <c r="E491" i="4" s="1"/>
  <c r="I491" i="4"/>
  <c r="D492" i="4"/>
  <c r="E492" i="4" s="1"/>
  <c r="I492" i="4"/>
  <c r="D493" i="4"/>
  <c r="E493" i="4" s="1"/>
  <c r="I493" i="4"/>
  <c r="D494" i="4"/>
  <c r="E494" i="4" s="1"/>
  <c r="I494" i="4"/>
  <c r="D495" i="4"/>
  <c r="E495" i="4" s="1"/>
  <c r="I495" i="4"/>
  <c r="D496" i="4"/>
  <c r="E496" i="4" s="1"/>
  <c r="I496" i="4"/>
  <c r="D497" i="4"/>
  <c r="E497" i="4"/>
  <c r="I497" i="4"/>
  <c r="D498" i="4"/>
  <c r="E498" i="4" s="1"/>
  <c r="I498" i="4"/>
  <c r="D499" i="4"/>
  <c r="E499" i="4" s="1"/>
  <c r="I499" i="4"/>
  <c r="D500" i="4"/>
  <c r="E500" i="4" s="1"/>
  <c r="I500" i="4"/>
  <c r="D501" i="4"/>
  <c r="E501" i="4" s="1"/>
  <c r="I501" i="4"/>
  <c r="D502" i="4"/>
  <c r="E502" i="4" s="1"/>
  <c r="I502" i="4"/>
  <c r="D503" i="4"/>
  <c r="E503" i="4" s="1"/>
  <c r="I503" i="4"/>
  <c r="D504" i="4"/>
  <c r="E504" i="4" s="1"/>
  <c r="I504" i="4"/>
  <c r="D505" i="4"/>
  <c r="E505" i="4" s="1"/>
  <c r="I505" i="4"/>
  <c r="D506" i="4"/>
  <c r="E506" i="4" s="1"/>
  <c r="I506" i="4"/>
  <c r="D507" i="4"/>
  <c r="E507" i="4" s="1"/>
  <c r="I507" i="4"/>
  <c r="D508" i="4"/>
  <c r="E508" i="4" s="1"/>
  <c r="I508" i="4"/>
  <c r="D509" i="4"/>
  <c r="E509" i="4" s="1"/>
  <c r="I509" i="4"/>
  <c r="D510" i="4"/>
  <c r="E510" i="4" s="1"/>
  <c r="I510" i="4"/>
  <c r="D511" i="4"/>
  <c r="E511" i="4" s="1"/>
  <c r="I511" i="4"/>
  <c r="D512" i="4"/>
  <c r="E512" i="4" s="1"/>
  <c r="I512" i="4"/>
  <c r="D513" i="4"/>
  <c r="E513" i="4" s="1"/>
  <c r="I513" i="4"/>
  <c r="D514" i="4"/>
  <c r="E514" i="4" s="1"/>
  <c r="I514" i="4"/>
  <c r="D515" i="4"/>
  <c r="E515" i="4" s="1"/>
  <c r="I515" i="4"/>
  <c r="D516" i="4"/>
  <c r="E516" i="4" s="1"/>
  <c r="I516" i="4"/>
  <c r="D517" i="4"/>
  <c r="E517" i="4" s="1"/>
  <c r="I517" i="4"/>
  <c r="D519" i="4"/>
  <c r="E519" i="4" s="1"/>
  <c r="I519" i="4"/>
  <c r="D520" i="4"/>
  <c r="E520" i="4" s="1"/>
  <c r="I520" i="4"/>
  <c r="D521" i="4"/>
  <c r="E521" i="4" s="1"/>
  <c r="I521" i="4"/>
  <c r="D522" i="4"/>
  <c r="E522" i="4" s="1"/>
  <c r="I522" i="4"/>
  <c r="D523" i="4"/>
  <c r="E523" i="4" s="1"/>
  <c r="I523" i="4"/>
  <c r="D524" i="4"/>
  <c r="E524" i="4" s="1"/>
  <c r="I524" i="4"/>
  <c r="D525" i="4"/>
  <c r="E525" i="4" s="1"/>
  <c r="I525" i="4"/>
  <c r="D526" i="4"/>
  <c r="E526" i="4" s="1"/>
  <c r="I526" i="4"/>
  <c r="D527" i="4"/>
  <c r="E527" i="4" s="1"/>
  <c r="I527" i="4"/>
  <c r="D528" i="4"/>
  <c r="E528" i="4" s="1"/>
  <c r="I528" i="4"/>
  <c r="D529" i="4"/>
  <c r="E529" i="4" s="1"/>
  <c r="I529" i="4"/>
  <c r="D530" i="4"/>
  <c r="E530" i="4" s="1"/>
  <c r="I530" i="4"/>
  <c r="D531" i="4"/>
  <c r="E531" i="4" s="1"/>
  <c r="I531" i="4"/>
  <c r="D532" i="4"/>
  <c r="E532" i="4" s="1"/>
  <c r="I532" i="4"/>
  <c r="D533" i="4"/>
  <c r="E533" i="4" s="1"/>
  <c r="I533" i="4"/>
  <c r="D534" i="4"/>
  <c r="E534" i="4" s="1"/>
  <c r="I534" i="4"/>
  <c r="D535" i="4"/>
  <c r="E535" i="4" s="1"/>
  <c r="I535" i="4"/>
  <c r="D536" i="4"/>
  <c r="E536" i="4" s="1"/>
  <c r="I536" i="4"/>
  <c r="D537" i="4"/>
  <c r="E537" i="4" s="1"/>
  <c r="I537" i="4"/>
  <c r="I535" i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H55" i="1"/>
  <c r="H3" i="1"/>
  <c r="I538" i="1"/>
  <c r="I537" i="1"/>
  <c r="I536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E478" i="1"/>
  <c r="E449" i="1"/>
  <c r="E441" i="1"/>
  <c r="E440" i="1"/>
  <c r="E436" i="1"/>
  <c r="E434" i="1"/>
  <c r="E431" i="1"/>
  <c r="E426" i="1"/>
  <c r="E425" i="1"/>
  <c r="E424" i="1"/>
  <c r="E423" i="1"/>
  <c r="E418" i="1"/>
  <c r="E416" i="1"/>
  <c r="E413" i="1"/>
  <c r="E410" i="1"/>
  <c r="E409" i="1"/>
  <c r="E407" i="1"/>
  <c r="E405" i="1"/>
  <c r="E404" i="1"/>
  <c r="E403" i="1"/>
  <c r="E402" i="1"/>
  <c r="E394" i="1"/>
  <c r="E389" i="1"/>
  <c r="E386" i="1"/>
  <c r="E384" i="1"/>
  <c r="E380" i="1"/>
  <c r="E376" i="1"/>
  <c r="E373" i="1"/>
  <c r="E372" i="1"/>
  <c r="E371" i="1"/>
  <c r="E369" i="1"/>
  <c r="E366" i="1"/>
  <c r="E365" i="1"/>
  <c r="E364" i="1"/>
  <c r="E361" i="1"/>
  <c r="E360" i="1"/>
  <c r="E359" i="1"/>
  <c r="E358" i="1"/>
  <c r="E352" i="1"/>
  <c r="E351" i="1"/>
  <c r="E350" i="1"/>
  <c r="E349" i="1"/>
  <c r="E348" i="1"/>
  <c r="E347" i="1"/>
  <c r="E345" i="1"/>
  <c r="E344" i="1"/>
  <c r="E343" i="1"/>
  <c r="E342" i="1"/>
  <c r="E340" i="1"/>
  <c r="E337" i="1"/>
  <c r="E336" i="1"/>
  <c r="E335" i="1"/>
  <c r="E332" i="1"/>
  <c r="E330" i="1"/>
  <c r="E329" i="1"/>
  <c r="E326" i="1"/>
  <c r="E324" i="1"/>
  <c r="E322" i="1"/>
  <c r="E321" i="1"/>
  <c r="E320" i="1"/>
  <c r="E319" i="1"/>
  <c r="E318" i="1"/>
  <c r="E317" i="1"/>
  <c r="E315" i="1"/>
  <c r="E313" i="1"/>
  <c r="E312" i="1"/>
  <c r="E310" i="1"/>
  <c r="E307" i="1"/>
  <c r="E306" i="1"/>
  <c r="E304" i="1"/>
  <c r="E303" i="1"/>
  <c r="E302" i="1"/>
  <c r="E295" i="1"/>
  <c r="E294" i="1"/>
  <c r="E290" i="1"/>
  <c r="E287" i="1"/>
  <c r="E286" i="1"/>
  <c r="E285" i="1"/>
  <c r="E284" i="1"/>
  <c r="E282" i="1"/>
  <c r="E281" i="1"/>
  <c r="E280" i="1"/>
  <c r="E279" i="1"/>
  <c r="E278" i="1"/>
  <c r="E277" i="1"/>
  <c r="E275" i="1"/>
  <c r="E274" i="1"/>
  <c r="E272" i="1"/>
  <c r="E270" i="1"/>
  <c r="E269" i="1"/>
  <c r="E268" i="1"/>
  <c r="E265" i="1"/>
  <c r="E264" i="1"/>
  <c r="E263" i="1"/>
  <c r="E262" i="1"/>
  <c r="E261" i="1"/>
  <c r="E260" i="1"/>
  <c r="E259" i="1"/>
  <c r="E258" i="1"/>
  <c r="E257" i="1"/>
  <c r="E256" i="1"/>
  <c r="E255" i="1"/>
  <c r="E253" i="1"/>
  <c r="E250" i="1"/>
  <c r="E248" i="1"/>
  <c r="E245" i="1"/>
  <c r="E244" i="1"/>
  <c r="E242" i="1"/>
  <c r="E241" i="1"/>
  <c r="E240" i="1"/>
  <c r="E239" i="1"/>
  <c r="E237" i="1"/>
  <c r="E235" i="1"/>
  <c r="E233" i="1"/>
  <c r="E232" i="1"/>
  <c r="E231" i="1"/>
  <c r="E230" i="1"/>
  <c r="E229" i="1"/>
  <c r="E228" i="1"/>
  <c r="E227" i="1"/>
  <c r="E226" i="1"/>
  <c r="E224" i="1"/>
  <c r="E223" i="1"/>
  <c r="E222" i="1"/>
  <c r="E219" i="1"/>
  <c r="E218" i="1"/>
  <c r="E217" i="1"/>
  <c r="E215" i="1"/>
  <c r="E214" i="1"/>
  <c r="E213" i="1"/>
  <c r="E212" i="1"/>
  <c r="E210" i="1"/>
  <c r="E209" i="1"/>
  <c r="E208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4" i="1"/>
  <c r="E183" i="1"/>
  <c r="E182" i="1"/>
  <c r="E181" i="1"/>
  <c r="E179" i="1"/>
  <c r="E177" i="1"/>
  <c r="E176" i="1"/>
  <c r="E174" i="1"/>
  <c r="E173" i="1"/>
  <c r="E172" i="1"/>
  <c r="E171" i="1"/>
  <c r="E170" i="1"/>
  <c r="E169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2" i="1"/>
  <c r="E151" i="1"/>
  <c r="E150" i="1"/>
  <c r="E149" i="1"/>
  <c r="E148" i="1"/>
  <c r="E147" i="1"/>
  <c r="E145" i="1"/>
  <c r="E144" i="1"/>
  <c r="E143" i="1"/>
  <c r="E141" i="1"/>
  <c r="E140" i="1"/>
  <c r="E139" i="1"/>
  <c r="E138" i="1"/>
  <c r="E137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7" i="1"/>
  <c r="E106" i="1"/>
  <c r="E105" i="1"/>
  <c r="E104" i="1"/>
  <c r="E101" i="1"/>
  <c r="E100" i="1"/>
  <c r="E99" i="1"/>
  <c r="E98" i="1"/>
  <c r="E97" i="1"/>
  <c r="E96" i="1"/>
  <c r="E95" i="1"/>
  <c r="E94" i="1"/>
  <c r="E92" i="1"/>
  <c r="E90" i="1"/>
  <c r="E89" i="1"/>
  <c r="E88" i="1"/>
  <c r="E87" i="1"/>
  <c r="E86" i="1"/>
  <c r="E85" i="1"/>
  <c r="E84" i="1"/>
  <c r="E83" i="1"/>
  <c r="E81" i="1"/>
  <c r="E79" i="1"/>
  <c r="E78" i="1"/>
  <c r="E76" i="1"/>
  <c r="E75" i="1"/>
  <c r="E74" i="1"/>
  <c r="E73" i="1"/>
  <c r="E72" i="1"/>
  <c r="E71" i="1"/>
  <c r="E70" i="1"/>
  <c r="E69" i="1"/>
  <c r="E68" i="1"/>
  <c r="E66" i="1"/>
  <c r="E65" i="1"/>
  <c r="E64" i="1"/>
  <c r="E63" i="1"/>
  <c r="E62" i="1"/>
  <c r="E61" i="1"/>
  <c r="E60" i="1"/>
  <c r="E58" i="1"/>
  <c r="E56" i="1"/>
  <c r="E55" i="1"/>
  <c r="E54" i="1"/>
  <c r="E52" i="1"/>
  <c r="E50" i="1"/>
  <c r="E49" i="1"/>
  <c r="E48" i="1"/>
  <c r="E47" i="1"/>
  <c r="E46" i="1"/>
  <c r="E44" i="1"/>
  <c r="E43" i="1"/>
  <c r="E42" i="1"/>
  <c r="E41" i="1"/>
  <c r="E40" i="1"/>
  <c r="E38" i="1"/>
  <c r="E37" i="1"/>
  <c r="E36" i="1"/>
  <c r="E34" i="1"/>
  <c r="E33" i="1"/>
  <c r="E32" i="1"/>
  <c r="E31" i="1"/>
  <c r="E30" i="1"/>
  <c r="E28" i="1"/>
  <c r="E27" i="1"/>
  <c r="E26" i="1"/>
  <c r="E25" i="1"/>
  <c r="E24" i="1"/>
  <c r="E23" i="1"/>
  <c r="E22" i="1"/>
  <c r="E21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E5" i="1"/>
  <c r="E4" i="1"/>
  <c r="E3" i="1"/>
  <c r="E2" i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2" i="1"/>
  <c r="H286" i="1"/>
  <c r="D177" i="1"/>
  <c r="H177" i="1"/>
  <c r="D19" i="1"/>
  <c r="H92" i="1"/>
  <c r="H320" i="1"/>
  <c r="H171" i="1"/>
  <c r="H170" i="1"/>
  <c r="H169" i="1"/>
  <c r="H166" i="1"/>
  <c r="H109" i="1"/>
  <c r="H18" i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H12" i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H179" i="1"/>
  <c r="H127" i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D441" i="1"/>
  <c r="D41" i="1"/>
  <c r="H2" i="1"/>
  <c r="H145" i="1"/>
  <c r="H321" i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25" i="1"/>
  <c r="D428" i="1"/>
  <c r="E428" i="1" s="1"/>
  <c r="D429" i="1"/>
  <c r="E429" i="1" s="1"/>
  <c r="D430" i="1"/>
  <c r="E430" i="1" s="1"/>
  <c r="D431" i="1"/>
  <c r="D432" i="1"/>
  <c r="E432" i="1" s="1"/>
  <c r="D433" i="1"/>
  <c r="E433" i="1" s="1"/>
  <c r="D434" i="1"/>
  <c r="D435" i="1"/>
  <c r="E435" i="1" s="1"/>
  <c r="D436" i="1"/>
  <c r="D437" i="1"/>
  <c r="E437" i="1" s="1"/>
  <c r="D438" i="1"/>
  <c r="E438" i="1" s="1"/>
  <c r="D439" i="1"/>
  <c r="E439" i="1" s="1"/>
  <c r="D440" i="1"/>
  <c r="H173" i="1"/>
  <c r="H96" i="1"/>
  <c r="H70" i="1"/>
  <c r="H71" i="1"/>
  <c r="D413" i="1"/>
  <c r="D414" i="1"/>
  <c r="E414" i="1" s="1"/>
  <c r="D415" i="1"/>
  <c r="E415" i="1" s="1"/>
  <c r="D417" i="1"/>
  <c r="E417" i="1" s="1"/>
  <c r="D418" i="1"/>
  <c r="D419" i="1"/>
  <c r="E419" i="1" s="1"/>
  <c r="D420" i="1"/>
  <c r="E420" i="1" s="1"/>
  <c r="D421" i="1"/>
  <c r="E421" i="1" s="1"/>
  <c r="D422" i="1"/>
  <c r="E422" i="1" s="1"/>
  <c r="D423" i="1"/>
  <c r="D424" i="1"/>
  <c r="D425" i="1"/>
  <c r="D426" i="1"/>
  <c r="D427" i="1"/>
  <c r="E427" i="1" s="1"/>
  <c r="H33" i="1"/>
  <c r="E724" i="4" l="1"/>
  <c r="E738" i="4"/>
  <c r="E740" i="4"/>
  <c r="E692" i="4"/>
  <c r="E742" i="4"/>
  <c r="E689" i="4"/>
  <c r="E704" i="4"/>
  <c r="E741" i="4"/>
  <c r="E693" i="4"/>
  <c r="E744" i="4"/>
  <c r="E747" i="4"/>
  <c r="E685" i="4"/>
  <c r="E745" i="4"/>
  <c r="E697" i="4"/>
  <c r="E699" i="4"/>
  <c r="E696" i="4"/>
  <c r="E729" i="4"/>
  <c r="E726" i="4"/>
  <c r="E730" i="4"/>
  <c r="E701" i="4"/>
  <c r="H322" i="1"/>
  <c r="H287" i="1"/>
  <c r="H285" i="1"/>
  <c r="H181" i="1"/>
  <c r="H176" i="1"/>
  <c r="D388" i="1"/>
  <c r="E388" i="1" s="1"/>
  <c r="D389" i="1"/>
  <c r="D390" i="1"/>
  <c r="E390" i="1" s="1"/>
  <c r="D391" i="1"/>
  <c r="E391" i="1" s="1"/>
  <c r="D392" i="1"/>
  <c r="E392" i="1" s="1"/>
  <c r="D393" i="1"/>
  <c r="E393" i="1" s="1"/>
  <c r="D394" i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D403" i="1"/>
  <c r="D404" i="1"/>
  <c r="D405" i="1"/>
  <c r="D406" i="1"/>
  <c r="E406" i="1" s="1"/>
  <c r="D407" i="1"/>
  <c r="D408" i="1"/>
  <c r="E408" i="1" s="1"/>
  <c r="D409" i="1"/>
  <c r="D410" i="1"/>
  <c r="D411" i="1"/>
  <c r="E411" i="1" s="1"/>
  <c r="D412" i="1"/>
  <c r="E412" i="1" s="1"/>
  <c r="D387" i="1"/>
  <c r="E387" i="1" s="1"/>
  <c r="D366" i="1"/>
  <c r="D367" i="1"/>
  <c r="E367" i="1" s="1"/>
  <c r="D368" i="1"/>
  <c r="E368" i="1" s="1"/>
  <c r="D369" i="1"/>
  <c r="D370" i="1"/>
  <c r="E370" i="1" s="1"/>
  <c r="D371" i="1"/>
  <c r="D372" i="1"/>
  <c r="D416" i="1"/>
  <c r="D373" i="1"/>
  <c r="D374" i="1"/>
  <c r="E374" i="1" s="1"/>
  <c r="D375" i="1"/>
  <c r="E375" i="1" s="1"/>
  <c r="D376" i="1"/>
  <c r="D377" i="1"/>
  <c r="E377" i="1" s="1"/>
  <c r="D378" i="1"/>
  <c r="E378" i="1" s="1"/>
  <c r="D379" i="1"/>
  <c r="E379" i="1" s="1"/>
  <c r="D380" i="1"/>
  <c r="D381" i="1"/>
  <c r="E381" i="1" s="1"/>
  <c r="D382" i="1"/>
  <c r="E382" i="1" s="1"/>
  <c r="D383" i="1"/>
  <c r="E383" i="1" s="1"/>
  <c r="D384" i="1"/>
  <c r="D385" i="1"/>
  <c r="E385" i="1" s="1"/>
  <c r="D386" i="1"/>
  <c r="D365" i="1"/>
  <c r="H186" i="1"/>
  <c r="D351" i="1"/>
  <c r="D352" i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D359" i="1"/>
  <c r="D360" i="1"/>
  <c r="D361" i="1"/>
  <c r="D362" i="1"/>
  <c r="E362" i="1" s="1"/>
  <c r="D363" i="1"/>
  <c r="E363" i="1" s="1"/>
  <c r="D364" i="1"/>
  <c r="H319" i="1"/>
  <c r="H284" i="1"/>
  <c r="H66" i="1"/>
  <c r="H46" i="1"/>
  <c r="H188" i="1"/>
  <c r="H174" i="1"/>
  <c r="H161" i="1"/>
  <c r="H162" i="1"/>
  <c r="H163" i="1"/>
  <c r="H159" i="1"/>
  <c r="H30" i="1"/>
  <c r="H31" i="1"/>
  <c r="H32" i="1"/>
  <c r="H21" i="1"/>
  <c r="H22" i="1"/>
  <c r="H23" i="1"/>
  <c r="H52" i="1"/>
  <c r="D321" i="1"/>
  <c r="D322" i="1"/>
  <c r="D323" i="1"/>
  <c r="E323" i="1" s="1"/>
  <c r="D324" i="1"/>
  <c r="D325" i="1"/>
  <c r="E325" i="1" s="1"/>
  <c r="D326" i="1"/>
  <c r="D327" i="1"/>
  <c r="E327" i="1" s="1"/>
  <c r="D328" i="1"/>
  <c r="E328" i="1" s="1"/>
  <c r="D329" i="1"/>
  <c r="D330" i="1"/>
  <c r="D331" i="1"/>
  <c r="E331" i="1" s="1"/>
  <c r="D332" i="1"/>
  <c r="D333" i="1"/>
  <c r="E333" i="1" s="1"/>
  <c r="D334" i="1"/>
  <c r="E334" i="1" s="1"/>
  <c r="D335" i="1"/>
  <c r="D336" i="1"/>
  <c r="D337" i="1"/>
  <c r="D338" i="1"/>
  <c r="E338" i="1" s="1"/>
  <c r="D339" i="1"/>
  <c r="E339" i="1" s="1"/>
  <c r="D340" i="1"/>
  <c r="D341" i="1"/>
  <c r="E341" i="1" s="1"/>
  <c r="D342" i="1"/>
  <c r="D343" i="1"/>
  <c r="D344" i="1"/>
  <c r="D345" i="1"/>
  <c r="D346" i="1"/>
  <c r="E346" i="1" s="1"/>
  <c r="D347" i="1"/>
  <c r="D348" i="1"/>
  <c r="D349" i="1"/>
  <c r="D350" i="1"/>
  <c r="D320" i="1"/>
  <c r="D317" i="1"/>
  <c r="D318" i="1"/>
  <c r="D319" i="1"/>
  <c r="D305" i="1"/>
  <c r="E305" i="1" s="1"/>
  <c r="D306" i="1"/>
  <c r="D307" i="1"/>
  <c r="D308" i="1"/>
  <c r="E308" i="1" s="1"/>
  <c r="D309" i="1"/>
  <c r="E309" i="1" s="1"/>
  <c r="D310" i="1"/>
  <c r="D311" i="1"/>
  <c r="E311" i="1" s="1"/>
  <c r="D312" i="1"/>
  <c r="D313" i="1"/>
  <c r="D314" i="1"/>
  <c r="E314" i="1" s="1"/>
  <c r="D315" i="1"/>
  <c r="D316" i="1"/>
  <c r="E316" i="1" s="1"/>
  <c r="H280" i="1"/>
  <c r="H274" i="1"/>
  <c r="H132" i="1"/>
  <c r="H120" i="1"/>
  <c r="H111" i="1"/>
  <c r="H95" i="1"/>
  <c r="H54" i="1"/>
  <c r="H15" i="1"/>
  <c r="D170" i="1"/>
  <c r="H58" i="1"/>
  <c r="H99" i="1"/>
  <c r="H100" i="1"/>
  <c r="H65" i="1"/>
  <c r="H56" i="1"/>
  <c r="H43" i="1"/>
  <c r="D286" i="1"/>
  <c r="D287" i="1"/>
  <c r="D288" i="1"/>
  <c r="E288" i="1" s="1"/>
  <c r="D289" i="1"/>
  <c r="E289" i="1" s="1"/>
  <c r="D290" i="1"/>
  <c r="D291" i="1"/>
  <c r="E291" i="1" s="1"/>
  <c r="D292" i="1"/>
  <c r="E292" i="1" s="1"/>
  <c r="D293" i="1"/>
  <c r="E293" i="1" s="1"/>
  <c r="D294" i="1"/>
  <c r="D295" i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D303" i="1"/>
  <c r="D304" i="1"/>
  <c r="D77" i="1"/>
  <c r="E77" i="1" s="1"/>
  <c r="D54" i="1"/>
  <c r="D266" i="1"/>
  <c r="E266" i="1" s="1"/>
  <c r="D267" i="1"/>
  <c r="E267" i="1" s="1"/>
  <c r="D268" i="1"/>
  <c r="D269" i="1"/>
  <c r="D270" i="1"/>
  <c r="D271" i="1"/>
  <c r="E271" i="1" s="1"/>
  <c r="D272" i="1"/>
  <c r="D273" i="1"/>
  <c r="E273" i="1" s="1"/>
  <c r="D274" i="1"/>
  <c r="D275" i="1"/>
  <c r="D276" i="1"/>
  <c r="E276" i="1" s="1"/>
  <c r="D277" i="1"/>
  <c r="D278" i="1"/>
  <c r="D279" i="1"/>
  <c r="D280" i="1"/>
  <c r="D281" i="1"/>
  <c r="D282" i="1"/>
  <c r="D283" i="1"/>
  <c r="E283" i="1" s="1"/>
  <c r="D284" i="1"/>
  <c r="D285" i="1"/>
  <c r="H158" i="1"/>
  <c r="H156" i="1"/>
  <c r="H129" i="1"/>
  <c r="H88" i="1"/>
  <c r="H86" i="1"/>
  <c r="H83" i="1"/>
  <c r="H154" i="1" l="1"/>
  <c r="H105" i="1"/>
  <c r="D264" i="1"/>
  <c r="D265" i="1"/>
  <c r="H50" i="1"/>
  <c r="D199" i="1"/>
  <c r="H28" i="1"/>
  <c r="H9" i="1"/>
  <c r="D243" i="1"/>
  <c r="E243" i="1" s="1"/>
  <c r="D244" i="1"/>
  <c r="D245" i="1"/>
  <c r="D246" i="1"/>
  <c r="E246" i="1" s="1"/>
  <c r="D247" i="1"/>
  <c r="E247" i="1" s="1"/>
  <c r="D248" i="1"/>
  <c r="D249" i="1"/>
  <c r="E249" i="1" s="1"/>
  <c r="D250" i="1"/>
  <c r="D251" i="1"/>
  <c r="E251" i="1" s="1"/>
  <c r="D252" i="1"/>
  <c r="E252" i="1" s="1"/>
  <c r="D253" i="1"/>
  <c r="D254" i="1"/>
  <c r="E254" i="1" s="1"/>
  <c r="D255" i="1"/>
  <c r="D256" i="1"/>
  <c r="D257" i="1"/>
  <c r="D258" i="1"/>
  <c r="D259" i="1"/>
  <c r="D260" i="1"/>
  <c r="D261" i="1"/>
  <c r="D262" i="1"/>
  <c r="D263" i="1"/>
  <c r="H98" i="1"/>
  <c r="H172" i="1"/>
  <c r="H143" i="1"/>
  <c r="H144" i="1"/>
  <c r="H131" i="1"/>
  <c r="H126" i="1"/>
  <c r="H115" i="1"/>
  <c r="H113" i="1"/>
  <c r="H106" i="1"/>
  <c r="H107" i="1"/>
  <c r="H101" i="1"/>
  <c r="H97" i="1"/>
  <c r="H90" i="1"/>
  <c r="H81" i="1"/>
  <c r="H61" i="1"/>
  <c r="H14" i="1"/>
  <c r="D3" i="1"/>
  <c r="D4" i="1"/>
  <c r="D5" i="1"/>
  <c r="D6" i="1"/>
  <c r="D7" i="1"/>
  <c r="D8" i="1"/>
  <c r="D9" i="1"/>
  <c r="D10" i="1"/>
  <c r="E10" i="1" s="1"/>
  <c r="D11" i="1"/>
  <c r="D12" i="1"/>
  <c r="D13" i="1"/>
  <c r="D14" i="1"/>
  <c r="D15" i="1"/>
  <c r="D16" i="1"/>
  <c r="D17" i="1"/>
  <c r="D18" i="1"/>
  <c r="D20" i="1"/>
  <c r="E20" i="1" s="1"/>
  <c r="D21" i="1"/>
  <c r="D22" i="1"/>
  <c r="D23" i="1"/>
  <c r="D24" i="1"/>
  <c r="D26" i="1"/>
  <c r="D27" i="1"/>
  <c r="D28" i="1"/>
  <c r="D29" i="1"/>
  <c r="E29" i="1" s="1"/>
  <c r="D30" i="1"/>
  <c r="D31" i="1"/>
  <c r="D32" i="1"/>
  <c r="D33" i="1"/>
  <c r="D34" i="1"/>
  <c r="D35" i="1"/>
  <c r="E35" i="1" s="1"/>
  <c r="D36" i="1"/>
  <c r="D37" i="1"/>
  <c r="D38" i="1"/>
  <c r="D39" i="1"/>
  <c r="E39" i="1" s="1"/>
  <c r="D40" i="1"/>
  <c r="D42" i="1"/>
  <c r="D43" i="1"/>
  <c r="D44" i="1"/>
  <c r="D45" i="1"/>
  <c r="E45" i="1" s="1"/>
  <c r="D46" i="1"/>
  <c r="D47" i="1"/>
  <c r="D48" i="1"/>
  <c r="D49" i="1"/>
  <c r="D50" i="1"/>
  <c r="D51" i="1"/>
  <c r="E51" i="1" s="1"/>
  <c r="D52" i="1"/>
  <c r="D53" i="1"/>
  <c r="E53" i="1" s="1"/>
  <c r="D55" i="1"/>
  <c r="D56" i="1"/>
  <c r="D57" i="1"/>
  <c r="E57" i="1" s="1"/>
  <c r="D58" i="1"/>
  <c r="D59" i="1"/>
  <c r="E59" i="1" s="1"/>
  <c r="D60" i="1"/>
  <c r="D61" i="1"/>
  <c r="D62" i="1"/>
  <c r="D63" i="1"/>
  <c r="D64" i="1"/>
  <c r="D65" i="1"/>
  <c r="D66" i="1"/>
  <c r="D67" i="1"/>
  <c r="E67" i="1" s="1"/>
  <c r="D68" i="1"/>
  <c r="D69" i="1"/>
  <c r="D70" i="1"/>
  <c r="D71" i="1"/>
  <c r="D72" i="1"/>
  <c r="D73" i="1"/>
  <c r="D74" i="1"/>
  <c r="D75" i="1"/>
  <c r="D76" i="1"/>
  <c r="D78" i="1"/>
  <c r="D79" i="1"/>
  <c r="D80" i="1"/>
  <c r="E80" i="1" s="1"/>
  <c r="D81" i="1"/>
  <c r="D82" i="1"/>
  <c r="E82" i="1" s="1"/>
  <c r="D104" i="1"/>
  <c r="D83" i="1"/>
  <c r="D84" i="1"/>
  <c r="D85" i="1"/>
  <c r="D86" i="1"/>
  <c r="D87" i="1"/>
  <c r="D88" i="1"/>
  <c r="D89" i="1"/>
  <c r="D90" i="1"/>
  <c r="D91" i="1"/>
  <c r="E91" i="1" s="1"/>
  <c r="D92" i="1"/>
  <c r="D93" i="1"/>
  <c r="E93" i="1" s="1"/>
  <c r="D94" i="1"/>
  <c r="D95" i="1"/>
  <c r="D96" i="1"/>
  <c r="D97" i="1"/>
  <c r="D98" i="1"/>
  <c r="D99" i="1"/>
  <c r="D100" i="1"/>
  <c r="D101" i="1"/>
  <c r="D102" i="1"/>
  <c r="E102" i="1" s="1"/>
  <c r="D103" i="1"/>
  <c r="E103" i="1" s="1"/>
  <c r="D105" i="1"/>
  <c r="D106" i="1"/>
  <c r="D107" i="1"/>
  <c r="D108" i="1"/>
  <c r="E108" i="1" s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E122" i="1" s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E136" i="1" s="1"/>
  <c r="D137" i="1"/>
  <c r="D138" i="1"/>
  <c r="D139" i="1"/>
  <c r="D140" i="1"/>
  <c r="D141" i="1"/>
  <c r="D142" i="1"/>
  <c r="E142" i="1" s="1"/>
  <c r="D143" i="1"/>
  <c r="D144" i="1"/>
  <c r="D145" i="1"/>
  <c r="D146" i="1"/>
  <c r="E146" i="1" s="1"/>
  <c r="D147" i="1"/>
  <c r="D148" i="1"/>
  <c r="D149" i="1"/>
  <c r="D150" i="1"/>
  <c r="D151" i="1"/>
  <c r="D152" i="1"/>
  <c r="D153" i="1"/>
  <c r="E153" i="1" s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E168" i="1" s="1"/>
  <c r="D169" i="1"/>
  <c r="D171" i="1"/>
  <c r="D172" i="1"/>
  <c r="D173" i="1"/>
  <c r="D174" i="1"/>
  <c r="D175" i="1"/>
  <c r="E175" i="1" s="1"/>
  <c r="D176" i="1"/>
  <c r="D178" i="1"/>
  <c r="E178" i="1" s="1"/>
  <c r="D179" i="1"/>
  <c r="D180" i="1"/>
  <c r="E180" i="1" s="1"/>
  <c r="D181" i="1"/>
  <c r="D182" i="1"/>
  <c r="D183" i="1"/>
  <c r="D184" i="1"/>
  <c r="D185" i="1"/>
  <c r="E185" i="1" s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200" i="1"/>
  <c r="D201" i="1"/>
  <c r="D202" i="1"/>
  <c r="D203" i="1"/>
  <c r="D204" i="1"/>
  <c r="D205" i="1"/>
  <c r="D206" i="1"/>
  <c r="D207" i="1"/>
  <c r="E207" i="1" s="1"/>
  <c r="D208" i="1"/>
  <c r="D209" i="1"/>
  <c r="D210" i="1"/>
  <c r="D211" i="1"/>
  <c r="E211" i="1" s="1"/>
  <c r="D212" i="1"/>
  <c r="D213" i="1"/>
  <c r="D214" i="1"/>
  <c r="D215" i="1"/>
  <c r="D216" i="1"/>
  <c r="E216" i="1" s="1"/>
  <c r="D217" i="1"/>
  <c r="D218" i="1"/>
  <c r="D219" i="1"/>
  <c r="D220" i="1"/>
  <c r="E220" i="1" s="1"/>
  <c r="D222" i="1"/>
  <c r="D223" i="1"/>
  <c r="D224" i="1"/>
  <c r="D225" i="1"/>
  <c r="E225" i="1" s="1"/>
  <c r="D226" i="1"/>
  <c r="D227" i="1"/>
  <c r="D228" i="1"/>
  <c r="D229" i="1"/>
  <c r="D230" i="1"/>
  <c r="D231" i="1"/>
  <c r="D232" i="1"/>
  <c r="D233" i="1"/>
  <c r="D234" i="1"/>
  <c r="E234" i="1" s="1"/>
  <c r="D235" i="1"/>
  <c r="D236" i="1"/>
  <c r="E236" i="1" s="1"/>
  <c r="D237" i="1"/>
  <c r="D238" i="1"/>
  <c r="E238" i="1" s="1"/>
  <c r="D239" i="1"/>
  <c r="D240" i="1"/>
  <c r="D241" i="1"/>
  <c r="D242" i="1"/>
  <c r="D221" i="1"/>
  <c r="E2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tc={2ED84664-CD80-4491-9B02-E8A11422AF81}</author>
  </authors>
  <commentList>
    <comment ref="L787" authorId="0" shapeId="0" xr:uid="{2ED84664-CD80-4491-9B02-E8A11422AF81}">
      <text>
        <t>[Threaded comment]
Your version of Excel allows you to read this threaded comment; however, any edits to it will get removed if the file is opened in a newer version of Excel. Learn more: https://go.microsoft.com/fwlink/?linkid=870924
Comment:
    EITEUAIDI SISTEM</t>
      </text>
    </comment>
  </commentList>
</comments>
</file>

<file path=xl/sharedStrings.xml><?xml version="1.0" encoding="utf-8"?>
<sst xmlns="http://schemas.openxmlformats.org/spreadsheetml/2006/main" count="29339" uniqueCount="3436">
  <si>
    <t xml:space="preserve">COD </t>
  </si>
  <si>
    <t>VAGAS</t>
  </si>
  <si>
    <t>DATA DE ABERTURA DA VAGA</t>
  </si>
  <si>
    <t>DIAS ABERTA</t>
  </si>
  <si>
    <t>CRITICIDADE</t>
  </si>
  <si>
    <t>SERVIÇO</t>
  </si>
  <si>
    <t>RECRUTADOR</t>
  </si>
  <si>
    <t>STATUS RECRUTADOR</t>
  </si>
  <si>
    <t>STATUS GERAL</t>
  </si>
  <si>
    <t>CARGO</t>
  </si>
  <si>
    <t>SUPERVISÃO</t>
  </si>
  <si>
    <t>CLIENTE</t>
  </si>
  <si>
    <t>LOCALIDADE</t>
  </si>
  <si>
    <t>TURNO</t>
  </si>
  <si>
    <t>ESCALA</t>
  </si>
  <si>
    <t>JORNADA</t>
  </si>
  <si>
    <t>COMENTÁRIOS RECRUTADOR</t>
  </si>
  <si>
    <t>FONTE DE CAPTAÇÃO</t>
  </si>
  <si>
    <t>TELFONE</t>
  </si>
  <si>
    <t>RESPONSÁVEL</t>
  </si>
  <si>
    <t>DATA DE RECEBIMENTO</t>
  </si>
  <si>
    <t xml:space="preserve">NOME DO CANDIDATO </t>
  </si>
  <si>
    <t>STATUS DOCUMENTAÇÃO</t>
  </si>
  <si>
    <t>INTEGRAÇÃO</t>
  </si>
  <si>
    <t>ADMISSÃO</t>
  </si>
  <si>
    <t>RE</t>
  </si>
  <si>
    <t>COMENTÁRIOS E OBSERVAÇÕES</t>
  </si>
  <si>
    <t>DESISTÊNCIAS</t>
  </si>
  <si>
    <t>SEGURANÇA</t>
  </si>
  <si>
    <t>ELONY</t>
  </si>
  <si>
    <t>VIGIA 6</t>
  </si>
  <si>
    <t>MARCELO RODRIGUES CARUNCHO CARNAVAL</t>
  </si>
  <si>
    <t>CAMPINAS3 - RESERVA TECNICA - SEGURANCA</t>
  </si>
  <si>
    <t>RESERVAS</t>
  </si>
  <si>
    <t>DIURNO</t>
  </si>
  <si>
    <t>12X36</t>
  </si>
  <si>
    <t>12H - 06:00 - 18:00 C/ 1H INTERV</t>
  </si>
  <si>
    <t>Vaga da Bruna / Houveram 2 desistências - passada Elony dia 20/04</t>
  </si>
  <si>
    <t>ANA</t>
  </si>
  <si>
    <t xml:space="preserve">WAGNER BENEDITO DA SILVA </t>
  </si>
  <si>
    <t>ADMITIDO</t>
  </si>
  <si>
    <t>Candidato - JULIO CEZAR DE OLIVEIRA CAMISA desistiu no dia 28/04</t>
  </si>
  <si>
    <t>FACILITIES</t>
  </si>
  <si>
    <t>FREITAS</t>
  </si>
  <si>
    <t>AUXILIAR DE SERVIÇOS GERAIS</t>
  </si>
  <si>
    <t>KELLY ROBERTA FRATUCCI</t>
  </si>
  <si>
    <t>PROMAX BARDAHL</t>
  </si>
  <si>
    <t>CAJAMAR</t>
  </si>
  <si>
    <t>5X2 FOLGA SÁB/DOM/FER</t>
  </si>
  <si>
    <t>09:48H - 06:00 - 15:48 C/ 1H INTERV</t>
  </si>
  <si>
    <t>ROSI</t>
  </si>
  <si>
    <t>Paulo Henrique</t>
  </si>
  <si>
    <t>CANCELADA</t>
  </si>
  <si>
    <t>AUXILIAR DE LIMPEZA</t>
  </si>
  <si>
    <t>ELIANA MARIA MOREIRA BRANSANI</t>
  </si>
  <si>
    <t>CAMPINAS5 - RESERVA TECNICA - FACILITIES</t>
  </si>
  <si>
    <t>NOTURNO</t>
  </si>
  <si>
    <t>6X1 FOLGA DOM/FER</t>
  </si>
  <si>
    <t>08:20H - 22:00 - 06:20 C/ 1H INTERV</t>
  </si>
  <si>
    <t>Enviado email 20/04 - Eliana para confirmar cancelamento, confirmado cancelamento email 22/04</t>
  </si>
  <si>
    <t>NATHALYA</t>
  </si>
  <si>
    <t>MAIARA RODRIGUES DE ANDRADE COSTA</t>
  </si>
  <si>
    <t>THE ONE OFFICE</t>
  </si>
  <si>
    <t>JUNDIAÍ</t>
  </si>
  <si>
    <t>09H - 12:00-21:00 C/ INT SEG-SEX/04H SAB</t>
  </si>
  <si>
    <t>WHATSAPP</t>
  </si>
  <si>
    <t>11 97375-0776</t>
  </si>
  <si>
    <t>PATRICIA</t>
  </si>
  <si>
    <t>RAISSA APARECIDA JESUS</t>
  </si>
  <si>
    <t>GIOVANNA</t>
  </si>
  <si>
    <t>MIGUEL GIOSA PIVA</t>
  </si>
  <si>
    <t>FACILITIES2 - RESERVA TECNICA</t>
  </si>
  <si>
    <t>6X1 TROCA SÁB/DOM FOLGA FER</t>
  </si>
  <si>
    <t>09H - 07:00-16:00 C/INT SEG- SEX/04H S/D</t>
  </si>
  <si>
    <t>+55 11 95146-6912</t>
  </si>
  <si>
    <t>SARA PASSOS GARCIA</t>
  </si>
  <si>
    <t>RITA</t>
  </si>
  <si>
    <t>PATRICIA APARECIDA DE CARVALHO</t>
  </si>
  <si>
    <t>MAESTRAL COML.</t>
  </si>
  <si>
    <t>09:48H - 08:00 - 17:48 C/ 1H INTERV</t>
  </si>
  <si>
    <t xml:space="preserve">Desistência de candidatos </t>
  </si>
  <si>
    <t>PAT JUNDIAI</t>
  </si>
  <si>
    <t>11 97390-5487</t>
  </si>
  <si>
    <t>MARCOS ALBERTO FERNANDES</t>
  </si>
  <si>
    <t xml:space="preserve">JOSÉ LUEDSON VIEIRA DA SILVA - Integração foi agendada mas não compareceu e não retornou </t>
  </si>
  <si>
    <t>VIGIA 22</t>
  </si>
  <si>
    <t>THAIS FERNANDA TOZZI</t>
  </si>
  <si>
    <t>CANON MEDICAL SYSTEMS DO BRASIL LTDA - CAMPINAS</t>
  </si>
  <si>
    <t>CAMPINAS</t>
  </si>
  <si>
    <t>10H - 09:00 - 18:00 C/ 1H INTERV</t>
  </si>
  <si>
    <t>ANA PAULA GONÇALVES TIGRE</t>
  </si>
  <si>
    <t>TRIAGEM 1</t>
  </si>
  <si>
    <t>NEO RODAS - VINHEDO</t>
  </si>
  <si>
    <t>VINHEDO</t>
  </si>
  <si>
    <t>08:20H - 13:40 - 22:00 C/ 1H INTERV</t>
  </si>
  <si>
    <t>19 99536 9183</t>
  </si>
  <si>
    <t>URBAN PACAEMBU</t>
  </si>
  <si>
    <t>SÃO PAULO</t>
  </si>
  <si>
    <t>09H - 07:00-16:00 C/INT SEG- SEX/04H SAB</t>
  </si>
  <si>
    <t>27/04 - Cristian não compareceu na integração por 2x</t>
  </si>
  <si>
    <t>RICHARD THIAGO ARNAIS DA SILVA</t>
  </si>
  <si>
    <t>Vai comparecer amanhã (07/05)</t>
  </si>
  <si>
    <t>WILLIAM</t>
  </si>
  <si>
    <t>CRISTIANE APARECIDA VIANA DA SILVA</t>
  </si>
  <si>
    <t>FACILITIES3 - RESERVA TECNICA</t>
  </si>
  <si>
    <t>08:00H - 14:00 - 22:00 C/ 1H INTERV</t>
  </si>
  <si>
    <t>Cand Jhoni desistiu/ Cbadidata Maria desistiu/ cand. Reginaldo em documentação, desisitiu dia 08/05| Pedro aprovado 11/05|</t>
  </si>
  <si>
    <t>RECEPTIVO NO WHATSAPP</t>
  </si>
  <si>
    <t>11 94385-3802</t>
  </si>
  <si>
    <t>LUANA</t>
  </si>
  <si>
    <t>PEDRO AUGUSTO DA SILVA COSTA</t>
  </si>
  <si>
    <t>MARIA APARECIDA MENDES DE SOUZA Exame agendado para o dia 29/04, porém ela não compareceu. Solicitou reagendamento e também não compareceu. Tentativas de contato sem sucesso. REGINALDO RODRIGUES DE LIMA Recebido dia 06/05 declinou por não quer mais a vaga dia 08/05, não realizou ASO</t>
  </si>
  <si>
    <t>PASARGADA</t>
  </si>
  <si>
    <t>09H -07:00-16:00 C/INT SEG- SEX/04H S/D.</t>
  </si>
  <si>
    <t>CANDIDATA SIMONE APROVADA 30/03 (Desistiu da vaga) - CANDIDATA LUCIANA APROVADA 09/04 (Declinada por falta de documentos) CNAD MARIANA DO WILLIAM 29/04</t>
  </si>
  <si>
    <t>MARIANA GOMES: Declinou 30/04</t>
  </si>
  <si>
    <t>JARDINEIRO 2</t>
  </si>
  <si>
    <t>LINDBERG TUMOLO</t>
  </si>
  <si>
    <t>VOLANTES - SERVICO EXTRA</t>
  </si>
  <si>
    <t>ADM</t>
  </si>
  <si>
    <t>09:48H - 07:00 - 16:48 C/ 1H INTERV</t>
  </si>
  <si>
    <t xml:space="preserve">CANDIDATO CLEBEERTON APROVADO 08/04 (Declinado por ser ex-funcionário, não informou durante a entrevista e não foi autorizado seu retorno) - CANDIDATO CHRISTOFER APROVADO 16/04 </t>
  </si>
  <si>
    <t>11 93280-6857</t>
  </si>
  <si>
    <t>CHRISTOFER BARBOSA ROCHA</t>
  </si>
  <si>
    <t xml:space="preserve">Problema com documentos </t>
  </si>
  <si>
    <t>11 92173-6036</t>
  </si>
  <si>
    <t xml:space="preserve">CLEBERTON APARECIDO </t>
  </si>
  <si>
    <t>INTEGRAÇÃO DO DIA 27/04 FOI REMANEJADA A PEDIDO DO CANDIDATO PARA O DIA 28/04</t>
  </si>
  <si>
    <t>CAMINHOS DA SERRA 3</t>
  </si>
  <si>
    <t xml:space="preserve">A colaboradora VÂNIA foi remanejada para outro contrato </t>
  </si>
  <si>
    <t>HORIBA</t>
  </si>
  <si>
    <t>09:48H - 07:00 - 16:48 C/ INTERV</t>
  </si>
  <si>
    <t>BEATRIZ</t>
  </si>
  <si>
    <t>ANDREIA DO CARMO DE JESUS</t>
  </si>
  <si>
    <t>Candidata Claudinéia declinou da vaga em 28/04 - vaga reabera / LUCIANA FERREIRA: Declinamos por falta de retorno 04.05</t>
  </si>
  <si>
    <t>CANDIDATA MARIA APARECIDA APROVADA DESISTIU / IGOR aprovado 06/05 não deu mais retorno| CANDIDATO LUCAS APROVADO 08/05 FECHADO PELA NATHALYA</t>
  </si>
  <si>
    <t>119 7521-3162</t>
  </si>
  <si>
    <t xml:space="preserve">LUCAS VINICIUS MENDES DOS SANTOS </t>
  </si>
  <si>
    <t>IGOR SANTOS - Atraso para subir , devido falta de documentos . Feito cadastro desistiu da vaga</t>
  </si>
  <si>
    <t>FACILITIES7 - RESERVA DELPHOS</t>
  </si>
  <si>
    <t>CANDIDATA ALYCIA EM PESQUISA 08/05 - CANDIDATA ALYCIA APROVADA 11/05</t>
  </si>
  <si>
    <t>INDIQUE UM AMIGO</t>
  </si>
  <si>
    <t>11 95585-2637</t>
  </si>
  <si>
    <t>FRANCISCO PELE DE MOURA</t>
  </si>
  <si>
    <t>ALYCIA CRISTINA VILELA</t>
  </si>
  <si>
    <t xml:space="preserve">ANDREIA </t>
  </si>
  <si>
    <t>VIGIA</t>
  </si>
  <si>
    <t>VILLA DAS ARTES</t>
  </si>
  <si>
    <t>SALTO</t>
  </si>
  <si>
    <t xml:space="preserve">STEPHANE BEATRIZ DA SILVA </t>
  </si>
  <si>
    <t>SPAZIO BONFIGLIOLI</t>
  </si>
  <si>
    <t>09H - 08:00-17:00 C/INT SEG- SEX/04H SAB</t>
  </si>
  <si>
    <t>CANDIDATA REGINA APROVADA 20/03 (Parou de responder) - CANDIDATA ELIANA APROVADA 24/03 (Parou de responder) - CANDIDATA LUCIMAR APROVADA 13/04</t>
  </si>
  <si>
    <t xml:space="preserve"> 11 95244-1563</t>
  </si>
  <si>
    <t>LUCIMAR DA SILVA PEREIRA</t>
  </si>
  <si>
    <t>Inicio acordado com a recrutadora</t>
  </si>
  <si>
    <t>ADP BRASIL - MATRIZ SP</t>
  </si>
  <si>
    <t xml:space="preserve">LIGIA CLAUDIA DA SILVA </t>
  </si>
  <si>
    <t>THAIS ALVES DE SOUZA</t>
  </si>
  <si>
    <t>GRANI AMICI</t>
  </si>
  <si>
    <t>Vaga Cancelada por Souza via email 20/04</t>
  </si>
  <si>
    <t>FACILITIES7 - RESERVA TECNICA</t>
  </si>
  <si>
    <t>KAYAN VICTOR WESCESLAU MARTINS</t>
  </si>
  <si>
    <t>LÍDER DE LIMPEZA 13</t>
  </si>
  <si>
    <t>FACULDADE SAO LEOPOLDO MANDIC - MATRIZ</t>
  </si>
  <si>
    <t>08H - 22:00 - 06:00 C/ 1H INTERV</t>
  </si>
  <si>
    <t>Haverá promoção Interna - Supervisora Eliana - 20/04 - aguardar Elony, aporvado o cancelamento Eliana via whats</t>
  </si>
  <si>
    <t>ANDREIA</t>
  </si>
  <si>
    <t>ASSISTENTE OPERACIONAL 3</t>
  </si>
  <si>
    <t>MARCOS TOLEDO</t>
  </si>
  <si>
    <t>PCO - PLANEJAMENTO E CONTROLE OPERACIONAL</t>
  </si>
  <si>
    <t>VIGILANCIA</t>
  </si>
  <si>
    <t>VIGILANTE</t>
  </si>
  <si>
    <t>EVALDO ALMEIDA SANTOS</t>
  </si>
  <si>
    <t>CROWN EMBALAGENS</t>
  </si>
  <si>
    <t>CABREÚVA</t>
  </si>
  <si>
    <t>12H - 18:00 - 06:00 C/ 1H INTERV</t>
  </si>
  <si>
    <t>INDICAÇÃO SUP. EVALDO</t>
  </si>
  <si>
    <t>+55 15 99143-0502</t>
  </si>
  <si>
    <t>14/4</t>
  </si>
  <si>
    <t xml:space="preserve">PABLO HENRIQUE PORFIRIO GUSMÃO </t>
  </si>
  <si>
    <t>EM DOCUMENTAÇÃO 1</t>
  </si>
  <si>
    <t>OPERADOR DE EMPILHADEIRA 8</t>
  </si>
  <si>
    <t>FITESA NAO TECIDOS S/A</t>
  </si>
  <si>
    <t>COSMÓPOLIS</t>
  </si>
  <si>
    <t>3X3 TRABALHA FERIADO</t>
  </si>
  <si>
    <t>Funcionário aguadando Liberação do Cliente /Enviado email Nejos dia 23/04 cobrando data de inicio</t>
  </si>
  <si>
    <t>LUCAS HENRIQUE COLASANTO</t>
  </si>
  <si>
    <t>INTEGRAÇÃO PROGRAMADA</t>
  </si>
  <si>
    <t>MARICLEIA CARDOSO SOARES</t>
  </si>
  <si>
    <t>ITW CHEMICAL</t>
  </si>
  <si>
    <t>EMBU</t>
  </si>
  <si>
    <t>JAENIA GRACIELA SANTOS BRITO</t>
  </si>
  <si>
    <t>AUXILIAR DE MANUTENÇÃO 6</t>
  </si>
  <si>
    <t>VISTA PARK</t>
  </si>
  <si>
    <t>CANDIDATO NA NATHALIA</t>
  </si>
  <si>
    <t>11 99298-7428</t>
  </si>
  <si>
    <t>STIVE CARDOSO DA LUZ</t>
  </si>
  <si>
    <t>ENCARREGADO DE LIMPEZA 5</t>
  </si>
  <si>
    <t>Indicada pelo cliente</t>
  </si>
  <si>
    <t>19 98830 1725</t>
  </si>
  <si>
    <t xml:space="preserve">FATIMA DOS REIS LEÃO </t>
  </si>
  <si>
    <t>VIGIA CONDUTOR</t>
  </si>
  <si>
    <t>JOSIMAR ALVES DE LIMA</t>
  </si>
  <si>
    <t>JARDIM DOS LAGOS</t>
  </si>
  <si>
    <t>INDAIATUBA</t>
  </si>
  <si>
    <t>19 99805 1068</t>
  </si>
  <si>
    <t xml:space="preserve">LARISSA CRISTINA DE MELO SANTOS </t>
  </si>
  <si>
    <t>NEO PARTS</t>
  </si>
  <si>
    <t>TATUÍ</t>
  </si>
  <si>
    <t>6X1 TROCA SAB FOL DOM/FER</t>
  </si>
  <si>
    <t>RE 141366 - JACIRA</t>
  </si>
  <si>
    <t>CLAUDIA APARECIDA PAES CAMARGO</t>
  </si>
  <si>
    <t>Patricia, atualizar</t>
  </si>
  <si>
    <t>TRIAGEM 3</t>
  </si>
  <si>
    <t>SENSIENT</t>
  </si>
  <si>
    <t>08H - 14:00 - 22:00 C/ 1 INTERV</t>
  </si>
  <si>
    <t>Desistência de candidatos, Reteve JERONIMO SANTOS DE ALMEIDA</t>
  </si>
  <si>
    <t>URBAN LIVING PACAEMBU</t>
  </si>
  <si>
    <t>6X1 TROCA SÁB/DOM</t>
  </si>
  <si>
    <t>08:20H - 11:00 - 19:20 C/ 1H INTERV</t>
  </si>
  <si>
    <t>Candidato Jose Luiz declinou da vaga dia 17/04</t>
  </si>
  <si>
    <t>ELITON JAIRMILE DOS SANTOS</t>
  </si>
  <si>
    <t>09H - 08:00-17:00 C/INT - 12H-16H S/D</t>
  </si>
  <si>
    <t>CANDIDATA GINEUSA APROVADA</t>
  </si>
  <si>
    <t>14/04</t>
  </si>
  <si>
    <t>GINEUSA SILVA</t>
  </si>
  <si>
    <t>AUXILIAR DE LIMPEZA 23</t>
  </si>
  <si>
    <t>GISLENE BESSA DOS SANTOS LOPES</t>
  </si>
  <si>
    <t>CAEP</t>
  </si>
  <si>
    <t>6X1 FOLGA SEXTA</t>
  </si>
  <si>
    <t>08:20H - 06:00 - 14:20 C/ 1H INTERV*</t>
  </si>
  <si>
    <t>YELEZITA  MARIA</t>
  </si>
  <si>
    <t>Indicação de supervisão - aguardou termono do aviso</t>
  </si>
  <si>
    <t>CAMPINAS5 - FERISTA - FACILITIES</t>
  </si>
  <si>
    <t>Vaga de ferista regisão de Indaiatuba</t>
  </si>
  <si>
    <t>Candidata - BRUNA CUSTÓDIA DE SOUSA NEVES desistiu no dia 17/04</t>
  </si>
  <si>
    <t>MORADA DA SERRA</t>
  </si>
  <si>
    <t>09H - 08:00-17:00 C/INT SEG- SEX/04H SD</t>
  </si>
  <si>
    <t xml:space="preserve">Remanejamento interno </t>
  </si>
  <si>
    <t>AMANDA</t>
  </si>
  <si>
    <t>FLAVIA BATISTA DE LIMA</t>
  </si>
  <si>
    <t>A AZEVEDO</t>
  </si>
  <si>
    <t>ITUPEVA</t>
  </si>
  <si>
    <t>09H - 0600-1500 C/INT SEG-SEX/04H S/D</t>
  </si>
  <si>
    <t>RAQUEL DE CAMPOS</t>
  </si>
  <si>
    <t>DUO RESERVA DO JAPI</t>
  </si>
  <si>
    <t>09H - 08:00-17:00 C/INT SEG- SEX/04H SDF</t>
  </si>
  <si>
    <t xml:space="preserve">Colaboradora Cristiana não compareceu no posto no qual foi remanejada </t>
  </si>
  <si>
    <t>(11) 91777-7803.</t>
  </si>
  <si>
    <t>SANDRA REGINA BORGES DA SILVA</t>
  </si>
  <si>
    <t>ROSELEI ALVES DA ROCHA - declinou do processo 04.05</t>
  </si>
  <si>
    <t>Candidata desistiu da vaga por causa dos filhos</t>
  </si>
  <si>
    <t>+55 11 94377-6921</t>
  </si>
  <si>
    <t>GIZELE SILVA DE JESUS</t>
  </si>
  <si>
    <t>RESORT SANTA ANGELA</t>
  </si>
  <si>
    <t>CANDIDATA ELAINE APROVADA 09/04 (Desistiu da vaga por motivos particulares) - CANDIDATA BRUNA EM DVC 30/04</t>
  </si>
  <si>
    <t>11 97565-7952</t>
  </si>
  <si>
    <t>CANDIDATA ELAINE APROVADA 09-04 (desistencia por motivos de saúde) - CANDIDATA ELAINE RETORNOU PARA O  PROCESSO 23-04 (parou de responder) DECLINANDO A VAGA</t>
  </si>
  <si>
    <t>TRIAGEM 2</t>
  </si>
  <si>
    <t>CANDIDATA NANCI EM ANALISE DE HISTORICO 30/04 (REPROVADA NA ANALISE) - CANDIDATA FERNANDA EM PESQUISA 04/05 - CANDIDATA FERNANDA RECEBEU UMA PROPOSTA MELHOR 05/05 - CANDIDATA MARIA EM PESQUISA 05/05 - CANDIDATA MARIA APROVADA 06/05 - CANDIDATA MARIA DECLINOU POR PROPOSTA MELHOR 07/05</t>
  </si>
  <si>
    <t>MARIA APARECIDA BORGES DOS SANTOS - Declinou pois encontrou emprego mais próximo 07.05</t>
  </si>
  <si>
    <t>CANDIDATA ARIANE BARROS APROVADA</t>
  </si>
  <si>
    <t>1199 5884-8773</t>
  </si>
  <si>
    <t xml:space="preserve">ARIANE BARROS </t>
  </si>
  <si>
    <t>23.04 sem retorno do candidato. aguardando resposta da mensagem . declinamos a candidata sônia, pois ela não tem RG</t>
  </si>
  <si>
    <t>12H - 09:00 - 21:00 C/ 1H INTERV</t>
  </si>
  <si>
    <t xml:space="preserve">KAYKY FREITAS GONZAGA DOS SANTOS </t>
  </si>
  <si>
    <t>VIGIA 9</t>
  </si>
  <si>
    <t xml:space="preserve">ALINE NASCIMENTO MOTA </t>
  </si>
  <si>
    <t>CANTO DA NATUREZA</t>
  </si>
  <si>
    <t xml:space="preserve">28/04 - Vaga fechada pelo William </t>
  </si>
  <si>
    <t>em 04.05 Silvana declinou do processo, pois arrumou outro trabalho</t>
  </si>
  <si>
    <t>M CASSAB - JARINU</t>
  </si>
  <si>
    <t>JARINU</t>
  </si>
  <si>
    <t>09:48H - 08:00 - 17:48 C/INT - 08:48 SEX</t>
  </si>
  <si>
    <t>CANDIDATA ROSELI APROVADA</t>
  </si>
  <si>
    <t>15/04</t>
  </si>
  <si>
    <t>Roseli Ribeiro</t>
  </si>
  <si>
    <t>EM DOCUMENTAÇÃO 3</t>
  </si>
  <si>
    <t>AMADEUS DANTAS SILVA FELIX</t>
  </si>
  <si>
    <t>MUTIRAO - JUNDIAI - DIURNO</t>
  </si>
  <si>
    <t>JHONATAN ( Fechado por Giovana)|</t>
  </si>
  <si>
    <t xml:space="preserve">JONATHAN ANNIBAL DOS SANTOS </t>
  </si>
  <si>
    <t>EM ASO</t>
  </si>
  <si>
    <t>AUDO MOREIRA DOS SANTOS</t>
  </si>
  <si>
    <t>SP2 - FERISTA - SEGURANCA</t>
  </si>
  <si>
    <t>12H - 07:00 - 19:00 C/ 01H INTERV</t>
  </si>
  <si>
    <t>GABRIEL FIGUEIREDO DE LIMA MENDONÇA</t>
  </si>
  <si>
    <t>SP7 - RESERVA TECNICA - FULWOOD SÃO ROQUE</t>
  </si>
  <si>
    <t>10H - 07:00 - 17:00 C/ 1HR12 MIN INTERV</t>
  </si>
  <si>
    <t>24/04- Eunice desistiu da vaga - 05/05 - Maria Antonia desistiu da vaga</t>
  </si>
  <si>
    <t>ELITANIA EVANGELISTA DOS SANTOS</t>
  </si>
  <si>
    <t>18/5</t>
  </si>
  <si>
    <t>ELISEU ENZO</t>
  </si>
  <si>
    <t>19 99429 2749</t>
  </si>
  <si>
    <t xml:space="preserve">MARTILIA OLIVEIRA DUTRA </t>
  </si>
  <si>
    <t>FACILITIES3 - FERISTA</t>
  </si>
  <si>
    <t>CANDIDATA DANIELA RODRIGUES</t>
  </si>
  <si>
    <t>Daniela rodrigues</t>
  </si>
  <si>
    <t>FACILITIES4 - RESERVA TECNICA</t>
  </si>
  <si>
    <t>Candidato desistiu da vaga dia 23/04</t>
  </si>
  <si>
    <t>+55 11 96659-2179</t>
  </si>
  <si>
    <t>CRISTIANE SANTOS DOS SANTOS</t>
  </si>
  <si>
    <t>ASO OK aguardando documentos</t>
  </si>
  <si>
    <t xml:space="preserve">CLARISSE MARIA DA SILVA </t>
  </si>
  <si>
    <t>Márcia Godois informou no dia 11/05 que declinou da vaga por motivos pessoais</t>
  </si>
  <si>
    <t>FAREVA</t>
  </si>
  <si>
    <t>08:20H - 05:00 - 14:20 C/ 1H INTERV</t>
  </si>
  <si>
    <t>08:20H - 05:00 - 13:20 C/ 1H INTERV</t>
  </si>
  <si>
    <t>11 93082-7211</t>
  </si>
  <si>
    <t>STEPHANY CARVALHO DE SOUZA</t>
  </si>
  <si>
    <t>PLASTAMP SUDESTE - CORPAK</t>
  </si>
  <si>
    <t>08:35H-14:00 - 22:35 C/ INT 04 HR SAB</t>
  </si>
  <si>
    <t>Candidata conseguiu outra oportunidade</t>
  </si>
  <si>
    <t xml:space="preserve"> 11 99771-7031</t>
  </si>
  <si>
    <t>CAMILA CONTUGNO DOS SANTOS</t>
  </si>
  <si>
    <t>23.04 -Ana Paulda declinou da vaga, pois arrumou outro trabalho</t>
  </si>
  <si>
    <t>HERNANE DE OLIVEIRA</t>
  </si>
  <si>
    <t>SUPERVISOR1 - RESERVA TECNICA - SEGURANCA</t>
  </si>
  <si>
    <t>CANDIDATA KETLYN EM PESQUISA 05/05 - CANDIDATA KETLYN APROVADA 07/05</t>
  </si>
  <si>
    <t xml:space="preserve"> 11 91752-9475</t>
  </si>
  <si>
    <t xml:space="preserve">KETLYN CRISTINA GODOI </t>
  </si>
  <si>
    <t>CANDIDATO JANDERSON EM PESQUISA 08/05 - CANDIDATO JANDERSON APROVADO 11/05</t>
  </si>
  <si>
    <t>11 96852-6626</t>
  </si>
  <si>
    <t>JANDERSON DA SILVA CONCEIÇÃO</t>
  </si>
  <si>
    <t>ALISSON DEIVID SILVA MACHADO</t>
  </si>
  <si>
    <t>SUPERVISOR4 - FERISTA - SEGURANCA</t>
  </si>
  <si>
    <t>CANDIDATO MATHEUS SOBRINHO</t>
  </si>
  <si>
    <t>Matheus Sobrinho</t>
  </si>
  <si>
    <t>EMERSON AMORIM MACEDO</t>
  </si>
  <si>
    <t>SUPERVISOR5 - FERISTA - SEGURANCA</t>
  </si>
  <si>
    <t>11 93447-3004</t>
  </si>
  <si>
    <t>ERIKA NUNES DE BRITO BARBOSA</t>
  </si>
  <si>
    <t>EM DOCUMENTAÇÃO 2</t>
  </si>
  <si>
    <t>MARCOS DE MENEZES SANTOS</t>
  </si>
  <si>
    <t>TIVOLI PARK</t>
  </si>
  <si>
    <t>SOROCABA</t>
  </si>
  <si>
    <t>Candidato Mateus Henrique declinou da vaga dia 16/04</t>
  </si>
  <si>
    <t>DANILO DA SILVA DOMINGUES</t>
  </si>
  <si>
    <t>16/5</t>
  </si>
  <si>
    <t>16/05</t>
  </si>
  <si>
    <t xml:space="preserve">Sorocaba </t>
  </si>
  <si>
    <t>ATMOSPHERA</t>
  </si>
  <si>
    <t xml:space="preserve">JESSICA BATISTA VIEIRA </t>
  </si>
  <si>
    <t>30.04 declinamos com a candidata Laudicèia, pois não fez o exame e pediu um posto, mais próiximo. Porém, já tivemos problemas com ela em outro proceso que ela não compareceu na integração, sendo que pagamos a passagem pra ela</t>
  </si>
  <si>
    <t>AGENTE DE HIGIENIZACAO</t>
  </si>
  <si>
    <t>ROSELI BERNARDO</t>
  </si>
  <si>
    <t>CAMPINAS6 - RESERVA TECNICA - FACILITIES</t>
  </si>
  <si>
    <t>08:20H - 06:00-14:20 C/ 1H INTERV</t>
  </si>
  <si>
    <t>Por email Souza cancelou a vaga 20/04/2026</t>
  </si>
  <si>
    <t>GEODIS LOGISTICA</t>
  </si>
  <si>
    <t>09H -12:40-21:40 C/ INT SEG-SEX/04H SAB.</t>
  </si>
  <si>
    <t>arrumou outra oportunidade/ Não responde e não atende</t>
  </si>
  <si>
    <t>+55 17 99193-1362</t>
  </si>
  <si>
    <t>MAIARA OLIVEIRA RAMOS</t>
  </si>
  <si>
    <t>NAGILA DO CARMO DE SOUZA  - declinou 29/04</t>
  </si>
  <si>
    <t>12H - 19:00 - 07:00 C/ 1H INTERV</t>
  </si>
  <si>
    <t>Camili Fernandes</t>
  </si>
  <si>
    <t>17/04 - Prates pediu para prorrogar admissão p/ 05/05</t>
  </si>
  <si>
    <t>ANDERSON SILVA</t>
  </si>
  <si>
    <t>SUPERVISOR6 - FERISTA - SEGURANCA</t>
  </si>
  <si>
    <t>12H - 07:00 - 19:00 C/ 1H INTERV</t>
  </si>
  <si>
    <t>28/04- David Desistiu da vaga</t>
  </si>
  <si>
    <t>BIANCA RIBEIRO CARDOSO</t>
  </si>
  <si>
    <t>Vaga Cancelada Souza dia 22/04</t>
  </si>
  <si>
    <t>08:20H - 13:40-22:00 C/ 1H INTERV</t>
  </si>
  <si>
    <t>VIGILANTE BALANCEIRO</t>
  </si>
  <si>
    <t>SINTER - MATRIZ</t>
  </si>
  <si>
    <t>12H - 05:30 - 17:30 C/ 1H INTERV</t>
  </si>
  <si>
    <t>Cancelada e confirmada por email Marcelo dia 30/04</t>
  </si>
  <si>
    <t>SANDRO APARECIDO FABIANO</t>
  </si>
  <si>
    <t>SUPERVISOR3 - RESERVA TECNICA - SEGURANCA</t>
  </si>
  <si>
    <t>FACEBOOK</t>
  </si>
  <si>
    <t xml:space="preserve">GERLÂNIA MARIA FERREIRA ALVES </t>
  </si>
  <si>
    <t>11 98795-9771</t>
  </si>
  <si>
    <t xml:space="preserve">ALDIRENE DE PAULA GOMES </t>
  </si>
  <si>
    <t>BRICKLOG GUARULHOS</t>
  </si>
  <si>
    <t>GUARULHOS</t>
  </si>
  <si>
    <t>RE: 145732 - ROSEMARY</t>
  </si>
  <si>
    <t>Oselia Eulina De Araujo</t>
  </si>
  <si>
    <t>6X1 FOLGA QUINTA</t>
  </si>
  <si>
    <t xml:space="preserve">Declinou MARIA EDUARDA NASCIMENTO DOS SANTOS </t>
  </si>
  <si>
    <t>EDISON NEMESIO CORDEIRO</t>
  </si>
  <si>
    <t>CPE - COMPOSTOS</t>
  </si>
  <si>
    <t>TADEU ASSIS COSTA</t>
  </si>
  <si>
    <t>MANDICS - SP1 - ITAPEVA</t>
  </si>
  <si>
    <t>08:20H - 12:40-21:00 SAB:10-18 C/ 1H INT</t>
  </si>
  <si>
    <t>RE: 145810 - OSEILDE</t>
  </si>
  <si>
    <t>Ezenaide da Silva Santos</t>
  </si>
  <si>
    <t>RESERVA TECNICA</t>
  </si>
  <si>
    <t>ITATIBA</t>
  </si>
  <si>
    <t>JHONATAN ( Fechado por Andreia)Não deu pra seguir por conta de histórico de ex colaborador (mentiu em entrevista)|Erick desistiu no meio do processo| Ricardo desustiu|Jonathan Almeida aprovado 11/05|</t>
  </si>
  <si>
    <t>11 96611-5502</t>
  </si>
  <si>
    <t xml:space="preserve">JONATHAN CRISTIANO ALMEIDA </t>
  </si>
  <si>
    <t>CANDIDATA SIMONE APROVADA 10/04 - CANDIDATA DECLINOU NO DIA 23/04</t>
  </si>
  <si>
    <t>INDICAÇÃO SUPERVISORA MAIARA</t>
  </si>
  <si>
    <t>11 94520-6558</t>
  </si>
  <si>
    <t>SIMONE LIMA DE JESUS SANTOS</t>
  </si>
  <si>
    <t xml:space="preserve">Desistência </t>
  </si>
  <si>
    <t>RE: 83109 - DANILO</t>
  </si>
  <si>
    <t>Edcarlos de Souza dos Santos</t>
  </si>
  <si>
    <t>SP3 - RESERVA TECNICA - FACILITIES</t>
  </si>
  <si>
    <t>MARIA DO ROSARIO FERREIRA DA SILVA</t>
  </si>
  <si>
    <t>Victor Sant'anna Rodrigues</t>
  </si>
  <si>
    <t>JARDINEIRO</t>
  </si>
  <si>
    <t>Cristiano Matos da Silva</t>
  </si>
  <si>
    <t>ANAUGER</t>
  </si>
  <si>
    <t>Vaga Feminina a/c Flávia 22.04</t>
  </si>
  <si>
    <t>INDICAÇÃO SUPERVISORA FLÁVIA</t>
  </si>
  <si>
    <t>11 97134-9989</t>
  </si>
  <si>
    <t>ELIEZER</t>
  </si>
  <si>
    <t xml:space="preserve">2 DESISTENCIA, REALIZANDO TRIAGEM </t>
  </si>
  <si>
    <t>EXSTO BRASIL</t>
  </si>
  <si>
    <t>10H - 07:00-17:00 C/ INT SEG-QUI/09H SEX</t>
  </si>
  <si>
    <t xml:space="preserve">LUIZ RICARDO MEIRA </t>
  </si>
  <si>
    <t>CANDIDATA SABRINA EM DVC 11/05 - CANDIDATA SABRINA APROVADA 11/05 - CANDIDATA SABRINA DESISTIU 13/05</t>
  </si>
  <si>
    <t>11 94503-4291</t>
  </si>
  <si>
    <t>SABRINA EUZEBIO GONÇALVES - Exame reagendado 2x e por fim desistiu da vaga.</t>
  </si>
  <si>
    <t>HARIBO</t>
  </si>
  <si>
    <t>BAURU</t>
  </si>
  <si>
    <t>14 98825 5195</t>
  </si>
  <si>
    <t xml:space="preserve">HIGOR SOARES MARINHO </t>
  </si>
  <si>
    <t>ELIZEU RODRIGUES DA SILVA FILHO</t>
  </si>
  <si>
    <t>INHANDJARA</t>
  </si>
  <si>
    <t>11 94111-9166</t>
  </si>
  <si>
    <t>LIVIA MARLENE PEIXOTO</t>
  </si>
  <si>
    <t>VIGIA 12</t>
  </si>
  <si>
    <t>IRANI</t>
  </si>
  <si>
    <t xml:space="preserve">MARIA JOSÉ NEVES DE AQUINO CASTRO </t>
  </si>
  <si>
    <t>KERRY BARUERI</t>
  </si>
  <si>
    <t>BARUERI</t>
  </si>
  <si>
    <t>09H - 06:00-15:00 C/INT SEG- SEX/4H SAB</t>
  </si>
  <si>
    <t>Tarciso Jose da Silva</t>
  </si>
  <si>
    <t>MENZOIL</t>
  </si>
  <si>
    <t>LOUVEIRA</t>
  </si>
  <si>
    <t>19 99310-7608</t>
  </si>
  <si>
    <t xml:space="preserve">Danilo sussant xavier </t>
  </si>
  <si>
    <t>ANALISTA DE RH JUNIOR</t>
  </si>
  <si>
    <t>RENATO CASELLA</t>
  </si>
  <si>
    <t>RECRUTAMENTO E SELEÇÃO DE PESSOAL JDI</t>
  </si>
  <si>
    <t>10H-08:00-18:00 C/ INT SEG-QUI/09H SEX</t>
  </si>
  <si>
    <t>13 99169-7044</t>
  </si>
  <si>
    <t>ANA LUIZA DE JESUS CONCEIÇÃO</t>
  </si>
  <si>
    <t>AUXILIAR DE RH 2</t>
  </si>
  <si>
    <t>ENTREGUE  PARA DOC 17/04</t>
  </si>
  <si>
    <t>11 96419-4651</t>
  </si>
  <si>
    <t>LUANA BARBOSA DE PINHO</t>
  </si>
  <si>
    <t>RECEPCIONISTA 7</t>
  </si>
  <si>
    <t>SANCHEZ - PROLOGIS</t>
  </si>
  <si>
    <t>10H 08:00 AS 18:00 SEG-QUI 09H SEX</t>
  </si>
  <si>
    <t>11 93410-3481</t>
  </si>
  <si>
    <t>REGILVANA GOMES DA SILVA</t>
  </si>
  <si>
    <t>A RAYMOND - GALPAO</t>
  </si>
  <si>
    <t xml:space="preserve">HENRIQUE XISTO GOMES LIMA SANTOS </t>
  </si>
  <si>
    <t>INDICAÇÃO SUPERVISORA FLAVI</t>
  </si>
  <si>
    <t>+55 11 94486-2767</t>
  </si>
  <si>
    <t>04.05 - Maurilucia declinou da vaga, não informou o motivo / 13.05 - Jessica Carolina da Costa Soleano Silva, declinou por não possuir titulo de eleitor para envio para complementar a documentação (situação eleitoral CANCELADA)</t>
  </si>
  <si>
    <t>11 91496-9578</t>
  </si>
  <si>
    <t xml:space="preserve">THAUAN LUIZ DOS SANTOS </t>
  </si>
  <si>
    <t>em 04.05 - Sandeilson declinou do processo, pois arrumou outro trabalho</t>
  </si>
  <si>
    <t>AUXILIAR DE MANUTENÇÃO</t>
  </si>
  <si>
    <t>09H 08:00 - 17:00 C/ INT SEG-SEX/04H SDF</t>
  </si>
  <si>
    <t xml:space="preserve">INDICAÇÃO CLIENTE </t>
  </si>
  <si>
    <t>+55 11 97233-6097</t>
  </si>
  <si>
    <t>GABRIEL SANTOS COSTA</t>
  </si>
  <si>
    <t xml:space="preserve"> 19 991734560</t>
  </si>
  <si>
    <t xml:space="preserve">Mayara Cristina Ferreira </t>
  </si>
  <si>
    <t>19 99386 4788</t>
  </si>
  <si>
    <t xml:space="preserve">Ericka Pereira Ribeiro </t>
  </si>
  <si>
    <t>09H:06:00-15:00 C/INTSEG- SEX/4H SAB.</t>
  </si>
  <si>
    <t>Desistiu para cuidar da mãe que ficou doente</t>
  </si>
  <si>
    <t>+55 11 97428-8048</t>
  </si>
  <si>
    <t xml:space="preserve">CLAUDILENE ANDREA MARTINS </t>
  </si>
  <si>
    <t>EDJANE DOS SANTOS SILVA  - Foi declinada por falta de retorno dia 28/04  -- ANGELA REGINA PEREIRA DA SILVA FIUZA - Declinou pois precisará acompanhar a filha em fisioterapias - MARIA DE LOURDES OLIVEIRA RAMOS declinou para cuidados com a mãe doente.</t>
  </si>
  <si>
    <t>ITUPEVA - OWB</t>
  </si>
  <si>
    <t>09H - 13:00-22:00 C/ INT SEG-SEX/02H SAB</t>
  </si>
  <si>
    <t>Deu dvc</t>
  </si>
  <si>
    <t xml:space="preserve">TAIANY MENEZES DE OLIVEIRA </t>
  </si>
  <si>
    <t>OPERADOR DE MÁQUINA</t>
  </si>
  <si>
    <t>08:25H-05:35-14:00 C/ INT 5:35 SAB</t>
  </si>
  <si>
    <t>+55 71 8104-9794</t>
  </si>
  <si>
    <t>GESSIENE LEITE FERREIRA</t>
  </si>
  <si>
    <t>Esperando a documentação para ASO</t>
  </si>
  <si>
    <t>CANDIDATA VANESSA APROVADA 17/04</t>
  </si>
  <si>
    <t xml:space="preserve"> 73 9153-2925</t>
  </si>
  <si>
    <t>VANESSA BATISTA PIMENTEL</t>
  </si>
  <si>
    <t>VIGIA BALANCEIRO 9</t>
  </si>
  <si>
    <t>ROCA</t>
  </si>
  <si>
    <t>11 92164-4302</t>
  </si>
  <si>
    <t>MARIANA DA SILVA SANTOS</t>
  </si>
  <si>
    <t>TOYO INK BRASIL LTDA</t>
  </si>
  <si>
    <t>11 95766-7013</t>
  </si>
  <si>
    <t>TATIANE DOS SANTOS SILVA</t>
  </si>
  <si>
    <t>VALGROUP (MIRVI)</t>
  </si>
  <si>
    <t xml:space="preserve"> NEWSUL</t>
  </si>
  <si>
    <t>COSMOPOLIS</t>
  </si>
  <si>
    <t>Vaga cancelada pelo Souza por email dia 20/04</t>
  </si>
  <si>
    <t>ABITARE ECO CLUBE</t>
  </si>
  <si>
    <t>CANDIDATA MARIA DESISTIU 23/04 POR CONTA QUE QUER UMA VAGA DO LADO DA ESTAÇÃO DE JUNDIAI - CANDIDATA LUCINELMA DESISTIU DA VAGA 24/04 /ANA PAULA CANDIDTA DO WILLIAM 29/04</t>
  </si>
  <si>
    <t xml:space="preserve">ANA PAULA MARIA DA SILVA </t>
  </si>
  <si>
    <t>DESISTÊNCIA</t>
  </si>
  <si>
    <t>ARCONVERT</t>
  </si>
  <si>
    <t xml:space="preserve"> 68 9218-0267</t>
  </si>
  <si>
    <t xml:space="preserve">	LUCIANA DA SILVA E SILVA</t>
  </si>
  <si>
    <t>Pendente o PIS para envio</t>
  </si>
  <si>
    <t>FOREST HILLS</t>
  </si>
  <si>
    <t>CANDIDATO GUILHERME DECLINOU DA VAGA 24/04</t>
  </si>
  <si>
    <t>11 99560-2673</t>
  </si>
  <si>
    <t xml:space="preserve">GUSTAVO AVELINO </t>
  </si>
  <si>
    <t>Candidato Guilherme desistiu - GUILHERME AVELINO DA CRUZ, exame reagendado 3x, solicitado e orientado pelo recrutador . Integração do dia 06/5 reagendado para o dia 07/05. pelo mesmo motivo( não estva bem de saúde)</t>
  </si>
  <si>
    <t>FULWOOD CASTELO 57 BUSINESS PARK</t>
  </si>
  <si>
    <t>SÃO ROQUE</t>
  </si>
  <si>
    <t>28/04 - Mary informou que o Jardineiro não passou no teste prático / 08/05 -  Fabio Manoel Reprovado em pesquisa</t>
  </si>
  <si>
    <t>VIGILANTE CONDUTOR</t>
  </si>
  <si>
    <t>FULWOOD MASTER BUSINESS PARK - JUNDIAÍ</t>
  </si>
  <si>
    <t>11 94155-6923</t>
  </si>
  <si>
    <t xml:space="preserve">LEANDRO FRANCISCO DOS SANTOS </t>
  </si>
  <si>
    <t>GRAN CHEF</t>
  </si>
  <si>
    <t>11 94828-6144</t>
  </si>
  <si>
    <t>MARIA IZABEL DE ARAUJO RAMOS</t>
  </si>
  <si>
    <t>PORTAL DOS NOBRES</t>
  </si>
  <si>
    <t>CAND LENON APROVADO 28/04 (Fechado pelo recrutador William)</t>
  </si>
  <si>
    <t>PREDIO YPE - M CASSAB JARINU</t>
  </si>
  <si>
    <t>Jessica Rabelo</t>
  </si>
  <si>
    <t>SAO FRANCISCO I</t>
  </si>
  <si>
    <t>CASSIA MARIA FERNANDES BARBOSA SANTOS</t>
  </si>
  <si>
    <t>LETICIA AMANDA MIRANDA  - Declinou do processo por conta da distância 30/04</t>
  </si>
  <si>
    <t>SODECIA AUTOMOTIVE SÃO PAULO</t>
  </si>
  <si>
    <t>ARAÇARIGUAMA</t>
  </si>
  <si>
    <t>Souza oficializou o cancelamento dia 20/04</t>
  </si>
  <si>
    <t>SP7 - RESERVA TECNICA - FACILITIES</t>
  </si>
  <si>
    <t>08:20H - 07:00 - 15:20 C/ 1H INTERV</t>
  </si>
  <si>
    <t>RE: 912961 - ISAIAS</t>
  </si>
  <si>
    <t>Esmerada Aparecida Telles</t>
  </si>
  <si>
    <r>
      <t xml:space="preserve">SP7 - RESERVA TECNICA - FACILITIES - </t>
    </r>
    <r>
      <rPr>
        <b/>
        <sz val="11"/>
        <color rgb="FF000000"/>
        <rFont val="Calibri Light"/>
        <family val="2"/>
        <scheme val="major"/>
      </rPr>
      <t>KERRY COTIA</t>
    </r>
  </si>
  <si>
    <t>08:20H - 07:00 - 15:20 C/ 1H INTERV - LOCAL CORRETO KERRY COTIA</t>
  </si>
  <si>
    <t>RE: 914006 - DIVINA</t>
  </si>
  <si>
    <t>MARCOS FRANCISCO DAMASCENO</t>
  </si>
  <si>
    <t>04/05 - Integração reagendada, cadidato não conseguiu dinheiro para vir, hoje.</t>
  </si>
  <si>
    <t>SYNVIA MICROBIOLOGIA</t>
  </si>
  <si>
    <t>09:48H - 06:00 - 15:48 C/ INT</t>
  </si>
  <si>
    <t>19 98853 5883</t>
  </si>
  <si>
    <t xml:space="preserve">Maria da conceição de castro </t>
  </si>
  <si>
    <t>CSANDIDATA DA GIOVANA ALBANNI JOSEFINA</t>
  </si>
  <si>
    <t>ALBANNI JOSEFINA FIGUEIRA</t>
  </si>
  <si>
    <t>ALPINO - NOVA UNIDADE</t>
  </si>
  <si>
    <t>CANDIDATO DIMITRY APROVADO 17/04</t>
  </si>
  <si>
    <t>11 98672-4702</t>
  </si>
  <si>
    <t>DIMITRY ZAMOR</t>
  </si>
  <si>
    <t>09H -07:00-16:00 C/INT SEG- SEX/04H SDF.</t>
  </si>
  <si>
    <t>Cancelada na Planilha mas aguardando email do Souza</t>
  </si>
  <si>
    <t>SIDNEY</t>
  </si>
  <si>
    <t>SIDNEY DE OLIVEIRA</t>
  </si>
  <si>
    <t>BH - FERISTA - FACILITIES</t>
  </si>
  <si>
    <t>09H - 07:00-16:00 S/INT SEG- SEX/04H SAB</t>
  </si>
  <si>
    <t>BOTANIQ CONDOMINIUM</t>
  </si>
  <si>
    <t>VIGIA OPERADOR MONITORAMENTO 9</t>
  </si>
  <si>
    <t>CACAU SHOW - COMPLEXO INDUSTRIAL</t>
  </si>
  <si>
    <t>ITU</t>
  </si>
  <si>
    <t>Patricia Cristina de França de Lima</t>
  </si>
  <si>
    <t>08:20H - 07:30 - 15:50 C/ INT</t>
  </si>
  <si>
    <t>Falta email de confrmação do SOuza</t>
  </si>
  <si>
    <t>VALDINEI CAVALCANTE DA SILVA</t>
  </si>
  <si>
    <t>CENARIO - RESIDENCIAL</t>
  </si>
  <si>
    <t>12H - 08:00 - 20:00 C/ INTERV</t>
  </si>
  <si>
    <t>FECHADA PELA ANDREIA</t>
  </si>
  <si>
    <t>VICTOR GABRYEL  ENCIARELI SOUZA</t>
  </si>
  <si>
    <t>TATIANE CRISTINA LACEN</t>
  </si>
  <si>
    <t>PESQUISA SOCIAL 1</t>
  </si>
  <si>
    <t>19 99425 5324</t>
  </si>
  <si>
    <t xml:space="preserve">Thatiane silva </t>
  </si>
  <si>
    <t>09H - 21:00 - 06:00 C/ 1H INTERV</t>
  </si>
  <si>
    <t>11 97480 0411</t>
  </si>
  <si>
    <t>12H - 06:00-18:00 S/ INT</t>
  </si>
  <si>
    <t>19 99013 6927</t>
  </si>
  <si>
    <t xml:space="preserve">VINICIUS BEAR </t>
  </si>
  <si>
    <t>Candidata - JOSÉ MARCOS DOS SANTOS desistiu no dia 29/04</t>
  </si>
  <si>
    <t>09H:07:00-16:00 C/INT SEG- SEX/04H SDF</t>
  </si>
  <si>
    <t>CANDIDATA INAE APROVADA 30/04 - CANDIDATA INAE DESISTIU 04/05 - CANDIDATA FABIANA APROVADA 04/05 - CANDIDATA FABIANA DESISTIU 06/05 - CANDIDATA CARLA APROVADA 07/05 - CARLA PAROU DE RESPONDER</t>
  </si>
  <si>
    <t>No dia de hoje 04/05 - Desistência, disse que não gostou da vaga. // FABIANA DE JESUS FERREIRA - Declinou por motivos de saúde 06.05 - em 14.05 declinamos com a candidata Carla Eduarda de Lima silva, pois a mesma não fez o exame e não enviou os documentos, após várias tentativas de contato</t>
  </si>
  <si>
    <t>09H:08:00-17:00 C/ INT SEG-SEX/04HSDF</t>
  </si>
  <si>
    <t>CANDIDATA ELISANGELA EM DVC 29/04 - CANDIDATA ELISANGELA PAROU DE RESPONDER 05/05 - CANDIDATA IRACEMA APROVADA 05/05</t>
  </si>
  <si>
    <t>11 97365-2669</t>
  </si>
  <si>
    <t xml:space="preserve">IRACEMA DE FREITAS </t>
  </si>
  <si>
    <t xml:space="preserve">	ELISANGELA MARIA PEREIRA BARBOSA - Declinou do processo 05.05</t>
  </si>
  <si>
    <t>VIGIA 21</t>
  </si>
  <si>
    <t>Email enviado ao SOuza pelo Prates em 20/04 aguardando retorno - cancelada 20/04</t>
  </si>
  <si>
    <t>GO MARAVILLE</t>
  </si>
  <si>
    <t>6X1 FOLGA DOMINGO</t>
  </si>
  <si>
    <t>GRAND CLUB</t>
  </si>
  <si>
    <t>CANDIDATA KAYSSA APROVADA 20/04</t>
  </si>
  <si>
    <t>11 96949-1474</t>
  </si>
  <si>
    <t>KAYSSA ALMEIDA FERREIRA</t>
  </si>
  <si>
    <t>ITUPEVA-TECNOSIL</t>
  </si>
  <si>
    <t>+55 19 98997-6907</t>
  </si>
  <si>
    <t>LEILA DA SILVA MACHADO PRADO</t>
  </si>
  <si>
    <t>KSB BRASIL - UNID. JUNDIAI.</t>
  </si>
  <si>
    <t>28/4</t>
  </si>
  <si>
    <t xml:space="preserve">MARCELO JEFFERSON </t>
  </si>
  <si>
    <t>MYRIAD</t>
  </si>
  <si>
    <t>09H-09:00-18:00 C/INT SEG- SEX/04H S/D</t>
  </si>
  <si>
    <t>CANDIDATO KAUE APROVADO 15/04</t>
  </si>
  <si>
    <t>11 95243-7394</t>
  </si>
  <si>
    <t>KAUE STTOPPA DE CARVALHO</t>
  </si>
  <si>
    <t>NATURE VILLAGE II</t>
  </si>
  <si>
    <t>19 98947 7714</t>
  </si>
  <si>
    <t xml:space="preserve">GLAUDIANE DOS SANTOS SILVA </t>
  </si>
  <si>
    <t xml:space="preserve">SANDRA APARECIDA DIAS </t>
  </si>
  <si>
    <t>VIGIA BALANCEIRO</t>
  </si>
  <si>
    <t>NILIT AMERICANA</t>
  </si>
  <si>
    <t>AMERICANA</t>
  </si>
  <si>
    <t>12H - 06:00 - 18:00 S/ INTERV</t>
  </si>
  <si>
    <t>ALINE DEL FIORI INÁCIO</t>
  </si>
  <si>
    <t>ADEMIR DA SILVA VITOR</t>
  </si>
  <si>
    <t xml:space="preserve">PRISCILA CRISTINA DA SILVA </t>
  </si>
  <si>
    <t>VIGIA CONDUTOR 9</t>
  </si>
  <si>
    <t>NOURYON-ITUPEVA</t>
  </si>
  <si>
    <t>PRATICE CLUB HOUSE</t>
  </si>
  <si>
    <t>09H - 07:00-16:00 C/INT SEG- SEX/04H SDF</t>
  </si>
  <si>
    <t xml:space="preserve">Candidata desistiu da vaga pois conseguiu outra oportunidade </t>
  </si>
  <si>
    <t>INDICAÇÃO SUP. THAIS</t>
  </si>
  <si>
    <t>+55 11 94501-9641</t>
  </si>
  <si>
    <t>MICHELE TEODORO FAGUNDES</t>
  </si>
  <si>
    <t>VIGIA OP. MONITORAMENTO 13</t>
  </si>
  <si>
    <t>CANDIDATA DEBORA APROVADA</t>
  </si>
  <si>
    <t>PRESENCIAL</t>
  </si>
  <si>
    <t>Debora Mendes</t>
  </si>
  <si>
    <t>PREDIO FIGUEIRA - M CASSAB JARINU</t>
  </si>
  <si>
    <t>09H - 15:00 - 00:30 C/ 1H INTERV</t>
  </si>
  <si>
    <t>JULIANO INDIC SU CRIS</t>
  </si>
  <si>
    <t>INDICAÇÃO SUP CRISTIANE</t>
  </si>
  <si>
    <t>Juliano Pereira do Carmo</t>
  </si>
  <si>
    <t>09H - 09:00-18:00 C/INT SEG- SEX/04H S/D</t>
  </si>
  <si>
    <t xml:space="preserve">JULIANA CELESTINO DA BOA VENTURA </t>
  </si>
  <si>
    <t>ASSISTENTE DE TI</t>
  </si>
  <si>
    <t>JETER CARMO</t>
  </si>
  <si>
    <t>TECNOLOGIA DE INFORMAÇÃO</t>
  </si>
  <si>
    <t>REABERTA</t>
  </si>
  <si>
    <t>THE JOY UNIDADE MATRIZ JUNDIAI</t>
  </si>
  <si>
    <t>em 11.05 declinamos com Marcia Grasiela Brotone Luiz, pois faltou na integração por 2 vezes</t>
  </si>
  <si>
    <t>12H - 07:30 - 19:30 C/ 1H INTERV</t>
  </si>
  <si>
    <t>Bianca Analin Ferraz</t>
  </si>
  <si>
    <t>11 965925619</t>
  </si>
  <si>
    <t>THAIS CRISTINA MATIAS</t>
  </si>
  <si>
    <t xml:space="preserve">VALQUIRIA PAULINO DA SILVA </t>
  </si>
  <si>
    <t>CAMPINAS6 - FERISTA - FACILITIES</t>
  </si>
  <si>
    <t xml:space="preserve">19 99527 5246 </t>
  </si>
  <si>
    <t xml:space="preserve">QUEILAINE DOS SANTOS DE JESUS </t>
  </si>
  <si>
    <t>AUX DE COMPRAS</t>
  </si>
  <si>
    <t>CLAUDIA MARTINEZ</t>
  </si>
  <si>
    <t>COMPRAS</t>
  </si>
  <si>
    <t xml:space="preserve">ARIANE SOARES BARBOSA </t>
  </si>
  <si>
    <t>CP KELCO</t>
  </si>
  <si>
    <t>LIMEIRA</t>
  </si>
  <si>
    <t xml:space="preserve">19 98730 6220 </t>
  </si>
  <si>
    <t xml:space="preserve">RAFAELA LUCIANA PEREIRA </t>
  </si>
  <si>
    <t>em 13.05 declinamos com a candidata Gislene Rosa dos Santos, por falta de envio dos documentos - Em 15.05 declinamos coma Candidata  Márcia Cordeiro dos Santos, poi não nos enviou os documentos</t>
  </si>
  <si>
    <t>FACILITIES5 - RESERVA TECNICA</t>
  </si>
  <si>
    <t>11 98197-5284</t>
  </si>
  <si>
    <t xml:space="preserve">KEILA DE SOUZA RIBEIRO </t>
  </si>
  <si>
    <t>19 98606 3973</t>
  </si>
  <si>
    <t xml:space="preserve">RHAIZA FERNANDES ATENCIO </t>
  </si>
  <si>
    <t>GABRIELA</t>
  </si>
  <si>
    <t>FAREVA K&amp;G</t>
  </si>
  <si>
    <t>19 99871-9828</t>
  </si>
  <si>
    <t>THAINA DOS SANTOS LINS</t>
  </si>
  <si>
    <t>GEHAKA</t>
  </si>
  <si>
    <t xml:space="preserve">PEDRO  DAMIAO DE MACEDO </t>
  </si>
  <si>
    <t>Contrato exige 24 horas de analise//Candidatou faltou duas x na integração, 27 e 28/04 estamos retirando o candidato do processo // VINICIUS REIS OLIVEIRA : Declinou pois conseguiu outra oportunidade 06.05</t>
  </si>
  <si>
    <t>VIGIA OPERADOR MONITORAMENTO 3</t>
  </si>
  <si>
    <t>HUF</t>
  </si>
  <si>
    <t>ATIBAIA</t>
  </si>
  <si>
    <t xml:space="preserve">Rosangela Xavier aprovada 11/05 e declinou| </t>
  </si>
  <si>
    <t>em 13.05 a candidata Rosangela do Nascimento Xavier, devido a problemas de saúde na família terá que se mudar para São Paulo</t>
  </si>
  <si>
    <t>AUXILIAR DE MONITORAMENTO</t>
  </si>
  <si>
    <t>RENAN DE LIMA E SILVA</t>
  </si>
  <si>
    <t>IGUS</t>
  </si>
  <si>
    <t>12H - 18:00 - 06:00 C/ 30MIN. INTERV</t>
  </si>
  <si>
    <t xml:space="preserve">RAFAEL OLIVEIRA ALENCAR </t>
  </si>
  <si>
    <t>+55 97 8448-6671</t>
  </si>
  <si>
    <t>REYLON FELISARDO FREITAS</t>
  </si>
  <si>
    <t>Candidato Valdenilson declinou dia 27/04</t>
  </si>
  <si>
    <t>OP MONITORAMENTO ELETRONICO</t>
  </si>
  <si>
    <t>MARAVILHAS DO LAR</t>
  </si>
  <si>
    <t>GUSTAVO realizou entreviasta com a cliente Luana dia 22/04 e sumiu / Cand Fernando aprovado 05/05</t>
  </si>
  <si>
    <t>119 1314-6104</t>
  </si>
  <si>
    <t xml:space="preserve">FERNANDO PEREIRA JUNIOR </t>
  </si>
  <si>
    <t>27/04 - candidato Gustavo processo declinado por falta de retorno dos documentos e do exame admissional</t>
  </si>
  <si>
    <t>Iago Samuel aprovado 06/05 |</t>
  </si>
  <si>
    <t xml:space="preserve">IAGO SAMUEL DA SILVA </t>
  </si>
  <si>
    <t>NEO PWT</t>
  </si>
  <si>
    <t>CANDIDATO PAULO APROVADO 20/04</t>
  </si>
  <si>
    <t>98 8430-7200</t>
  </si>
  <si>
    <t>PAULO MATHEUS FARIAS MARTINS</t>
  </si>
  <si>
    <t>Aguardando data da NR</t>
  </si>
  <si>
    <t>PITUTA - CLARIOS</t>
  </si>
  <si>
    <t>15 996465967</t>
  </si>
  <si>
    <t>Everton Geroldi Carneiro</t>
  </si>
  <si>
    <t>JOSE JOSIMAR ALVES DA SILVA</t>
  </si>
  <si>
    <t>TCL SEMP</t>
  </si>
  <si>
    <t>11952266429</t>
  </si>
  <si>
    <t>CATIA CRISTINA DA SILVA GONÇALVES</t>
  </si>
  <si>
    <t>DIA SIM DIA NÃO (ALT.)</t>
  </si>
  <si>
    <t xml:space="preserve">INDEED </t>
  </si>
  <si>
    <t>119952033252</t>
  </si>
  <si>
    <t>TAIS  COSTA DOS SANTOS</t>
  </si>
  <si>
    <t>11945649304</t>
  </si>
  <si>
    <t>JAMAL SANTOS</t>
  </si>
  <si>
    <t>11988781509</t>
  </si>
  <si>
    <t xml:space="preserve">LUANA </t>
  </si>
  <si>
    <t>12H - 06:00 - 18:00 C/ INTERV</t>
  </si>
  <si>
    <t>11944969689</t>
  </si>
  <si>
    <t xml:space="preserve">VANDERLEY CAMPOS DA SILVA </t>
  </si>
  <si>
    <t>23/4</t>
  </si>
  <si>
    <t>11953826111</t>
  </si>
  <si>
    <t xml:space="preserve">JOSE LUIZ DIAS </t>
  </si>
  <si>
    <t>11953080002</t>
  </si>
  <si>
    <t>CLAUDIO ROBERTO GOUVEIA</t>
  </si>
  <si>
    <t>11942263327</t>
  </si>
  <si>
    <t>REGINALDO RODRIGUES DE LIMA</t>
  </si>
  <si>
    <t>11963565656</t>
  </si>
  <si>
    <t xml:space="preserve">DANILO FERNDES </t>
  </si>
  <si>
    <t>11940664073</t>
  </si>
  <si>
    <t>FELIPE AUGUSTO VELASQUES</t>
  </si>
  <si>
    <t>JAILDES DAS CHAGAS DE SOUSA PINTO</t>
  </si>
  <si>
    <t>11943354939</t>
  </si>
  <si>
    <t xml:space="preserve">EMERSON LOPES </t>
  </si>
  <si>
    <t>UNITY</t>
  </si>
  <si>
    <t xml:space="preserve">JOHN WILLIAM RODRIGUES </t>
  </si>
  <si>
    <t xml:space="preserve">BASE </t>
  </si>
  <si>
    <t>+55 11 96471-6082</t>
  </si>
  <si>
    <t xml:space="preserve">JOAO VICTOR DE ALENCAR GUIMARAES </t>
  </si>
  <si>
    <t>Karen desistiu, não atende nem responde</t>
  </si>
  <si>
    <t>+55 11 99754-2385</t>
  </si>
  <si>
    <t>SOLANGE MATIAS DE OLIVEIRA</t>
  </si>
  <si>
    <t>Aguardando DOC para agendar ASO</t>
  </si>
  <si>
    <t>PORTEIRO</t>
  </si>
  <si>
    <t>VITA CORA</t>
  </si>
  <si>
    <t>12H - 07:30 - 19:30 S/ INTERV</t>
  </si>
  <si>
    <t>SAMUEL ALEX DA SILVA CLAUDINO</t>
  </si>
  <si>
    <t>WONDERS GALLERIA</t>
  </si>
  <si>
    <t>ROBSON LEANDRO DOS SANTOS</t>
  </si>
  <si>
    <t>Daniele Anderson de Souza</t>
  </si>
  <si>
    <t>PATRICIA APARECIDA</t>
  </si>
  <si>
    <t xml:space="preserve">MARLI REGINA RODRIGUES </t>
  </si>
  <si>
    <t>SUPERVISOR INTERNO FACILITIES</t>
  </si>
  <si>
    <t>GRAPHIC EMBALAGENS</t>
  </si>
  <si>
    <t>Candidata do Willian</t>
  </si>
  <si>
    <t>Candidata Marisa Ayres Gonçalves desisituiu da vaga em 06.05 por ter conseguido outra proposta mais próxima de sua casa / Data:14.05 Canditada Ligia Alves Baptista teve um ótimo retorno no inicio do envio das documentações, faltando apenas o comprovante de endereço a mesma não respondeu mais as mensagens e ligações desde o dia 11.05 sendo o ultimo contato.</t>
  </si>
  <si>
    <t>MAXIME OFFICE TOWER</t>
  </si>
  <si>
    <t>09H - 10:00-19:00 C/ INT SEG-SEX/04H/SAB</t>
  </si>
  <si>
    <t>CANDIDATA ALBERTINA DESISTIU 22/04 (Fechado pelo William) / CAND ELISABETE AP ( Fechada por William) - CANDIDATA MARIANA APROVADA 29/04 (Fechado pelo William) - CANDIDATA JAILDA APROVADA 07/05</t>
  </si>
  <si>
    <t xml:space="preserve"> 11 96357-8128</t>
  </si>
  <si>
    <t>JAILDA ARÃO OLIVEIRA</t>
  </si>
  <si>
    <t>27.04 - Albertina declinou, por motivos pessoais / MARIANA GOMES DA SILVA  - Declinamos por falta de retorno / ELISABETE APARECIDA MACHADO SANTOS  - Declinou do processo 05.05</t>
  </si>
  <si>
    <t>CANDIDATO LENON APROVADO 29/04 (Fechado pelo William) - CANDIDATO DESISTIU NO DIA 30/04</t>
  </si>
  <si>
    <t>em 04.05 - declinio do Lenon</t>
  </si>
  <si>
    <t>11 98291-7583</t>
  </si>
  <si>
    <t>JAQUELINE MARIA DA SILVA</t>
  </si>
  <si>
    <t>12H - 18:00 - 06:00 S/ INTERV</t>
  </si>
  <si>
    <t>+55 19 99710-8727</t>
  </si>
  <si>
    <t xml:space="preserve">ANDREW GEOVANNI BELLON FELICIO </t>
  </si>
  <si>
    <t xml:space="preserve">19 99501 5129 </t>
  </si>
  <si>
    <t>ANA CLAUDIA LOPES SOUSA</t>
  </si>
  <si>
    <t>22 99773-1254</t>
  </si>
  <si>
    <t>MANUELA NUNES DE SOUZA BEZERRA</t>
  </si>
  <si>
    <t>RENATO</t>
  </si>
  <si>
    <t>TESTE - NÃO CONTRATAR</t>
  </si>
  <si>
    <t>VIDARA - NOVA SEDE (INDUKERN)</t>
  </si>
  <si>
    <t>em 11.05 declinamos com Edna Maria Nerys Oliviera, pois faltou por 2x na integração / No dia 13-05 recebi o processo de Valeria Aparecida Bueno, com agendamento do exame para 15/05 . No dia de hoje 14/05 ela declinou, pois recebeu proposta mais perto de sua residência</t>
  </si>
  <si>
    <t>CONAB CONSERBOMBAS LTDA</t>
  </si>
  <si>
    <t>watsapp</t>
  </si>
  <si>
    <t>15/05</t>
  </si>
  <si>
    <t>EURIDES MIRANDA</t>
  </si>
  <si>
    <t>FACILITIES4 - FERISTA</t>
  </si>
  <si>
    <t>PARQUE DA FAZENDA</t>
  </si>
  <si>
    <t>CANDIDATA DA RECRUTER NATHALIA - ERIKA NATHALIA APROVADA</t>
  </si>
  <si>
    <t>ERIKA NATHALIA</t>
  </si>
  <si>
    <t>11 93745 0074</t>
  </si>
  <si>
    <t>AUGUSTO BARBOSA SANTOS</t>
  </si>
  <si>
    <t>ENTREVISTA OPS 2</t>
  </si>
  <si>
    <t>ZELADOR</t>
  </si>
  <si>
    <t>09H - 08:00-17:00 C/INTSEG- SEX/04H SAB.</t>
  </si>
  <si>
    <t>Acordo a Supervisora Mairara será feito um remanejamento interno e será solicitado o cancelamento da vaga 29/4 - será feito um teste com um colaborador por 3 dias - VAGA ERA PRA TER SIDO CANCELADA NO DIA 05/05 EM FUNÇÃO DA PROMOÇÃO DO SEBASTIÃO, PORÉM NÃO HOUVE O CANCELAMENTO, O COLABORADOR NÃO SE ADAPTOU NO POSTO 07/05 E A VAGA VOLTOU A SER TRABALHADA NESTE DIA - CANDIDATOS EM ENTREVISTA COM A SUPERVISORA MAIARA 15/05</t>
  </si>
  <si>
    <t>KEILA DA SILVA VILELA ABREU</t>
  </si>
  <si>
    <t>exame 08/05 - 11/05 - aguardando resultado</t>
  </si>
  <si>
    <t>VIGILANTE LÍDER</t>
  </si>
  <si>
    <t>CLARIOS</t>
  </si>
  <si>
    <t>WESLEN MORAES MEDEIROS</t>
  </si>
  <si>
    <t>21 96015 2762</t>
  </si>
  <si>
    <t xml:space="preserve">LEONICE ALEXANDRA DA SILVA </t>
  </si>
  <si>
    <t>11 91501-0390</t>
  </si>
  <si>
    <t xml:space="preserve">KAMILLA SILVANA DA SILVA LUZ </t>
  </si>
  <si>
    <t xml:space="preserve">EDSON DESISTIU </t>
  </si>
  <si>
    <t>+55 11 91038-9324</t>
  </si>
  <si>
    <t>FABIO DE BRITO FERREIRA</t>
  </si>
  <si>
    <t xml:space="preserve">CLAUDIO LUCAS DA SILVA FERNANDES  - declinamos do processo pois não se alistou / EDSON ALEIXO DE OLIVEIRA - Declinamos pois não queria ser registrado para não perder o bolsa família </t>
  </si>
  <si>
    <t>G-KT DO BRASIL</t>
  </si>
  <si>
    <t>11 91563-1191</t>
  </si>
  <si>
    <t xml:space="preserve">LUDMILA APARECIDA SILVA DE SOUZA </t>
  </si>
  <si>
    <t>HOME SINGULAR</t>
  </si>
  <si>
    <t>BRAGANÇA PAULISTA</t>
  </si>
  <si>
    <t>CANDIDATA ALINE ENTREVISTA COM CLIENTE 06/05 - CANDIDATA ALINE APROVADA 06/05</t>
  </si>
  <si>
    <t>11 99643-5650</t>
  </si>
  <si>
    <t xml:space="preserve">ALINE GRAZIELA DE MORAES CARDOSO </t>
  </si>
  <si>
    <t>DAVI DA SILVA</t>
  </si>
  <si>
    <t>KERRY</t>
  </si>
  <si>
    <t>19 99721 3125</t>
  </si>
  <si>
    <t xml:space="preserve">EDIVANIO FERREIRA AMORIM </t>
  </si>
  <si>
    <t>EM CADASTRO</t>
  </si>
  <si>
    <t>07/05 - Juliano vai promover colaboradora</t>
  </si>
  <si>
    <t>SAG AMBIENTAL</t>
  </si>
  <si>
    <t>12H - 07:00 - 19:00 - S/ INTERV</t>
  </si>
  <si>
    <t>SP2 - RESERVA TECNICA - SEGURANCA</t>
  </si>
  <si>
    <t>JAMAL ROSSI LACERDA DOS SANTOS</t>
  </si>
  <si>
    <t>LUANA CRISTINA TAVARES SOUZA</t>
  </si>
  <si>
    <t>145289 - ELAINE</t>
  </si>
  <si>
    <t>SULENI CERQUEIRA DOS SANTOS</t>
  </si>
  <si>
    <t>RECEPCIONISTA 23</t>
  </si>
  <si>
    <t xml:space="preserve">O Sup Elizeu fez um remanejamento interno </t>
  </si>
  <si>
    <t>ANA LUIZA</t>
  </si>
  <si>
    <t>ENTREVISTA RH 1</t>
  </si>
  <si>
    <t>ARQUIVISTA</t>
  </si>
  <si>
    <t>CAMILA SPADONE</t>
  </si>
  <si>
    <t>ADMINISTRAÇÃO DE PESSOAL</t>
  </si>
  <si>
    <t>JOVEM APRENDIZ</t>
  </si>
  <si>
    <t>05H - 13:00 - 18:00 S/ INTERV</t>
  </si>
  <si>
    <t>ENTREGUE  PARA DOC 22/04</t>
  </si>
  <si>
    <t>TOMMY JHONNES  DE SOUZA FRANCO</t>
  </si>
  <si>
    <t>05H - 08:00 - 13:00 S/ INTERV</t>
  </si>
  <si>
    <t xml:space="preserve">THIENRY CABRIEL BATISTA </t>
  </si>
  <si>
    <t>Jovem aprendiz. Iniciará no Senac primeiro.</t>
  </si>
  <si>
    <t>ENTREVISTA OPS 1</t>
  </si>
  <si>
    <t>SDR JUNIOR</t>
  </si>
  <si>
    <t>PRISCILA CHICOLI</t>
  </si>
  <si>
    <t>ADMINISTRATIVO DE VENDAS</t>
  </si>
  <si>
    <r>
      <rPr>
        <sz val="11"/>
        <color rgb="FF000000"/>
        <rFont val="Calibri Light"/>
        <family val="2"/>
        <scheme val="major"/>
      </rPr>
      <t xml:space="preserve">AUXILIAR DE LIMPEZA </t>
    </r>
    <r>
      <rPr>
        <b/>
        <sz val="11"/>
        <color rgb="FF000000"/>
        <rFont val="Calibri Light"/>
        <family val="2"/>
        <scheme val="major"/>
      </rPr>
      <t>(MASCULINO)</t>
    </r>
  </si>
  <si>
    <t>Seleção CIET Pimentas 04/05</t>
  </si>
  <si>
    <t>SIMONE LIMA DO NASCIMENTO</t>
  </si>
  <si>
    <t>AUXILIAR DE LIMPEZA(FEMININO)</t>
  </si>
  <si>
    <t>VALERIA SANTOS ALBERTO</t>
  </si>
  <si>
    <t>exame 08/05 - 15/05 - pendente declaração escolar</t>
  </si>
  <si>
    <t>JHON FABER OCAMPO TAZAMAD</t>
  </si>
  <si>
    <t>04/05 - Lucinalva Reis desistiu da vaga</t>
  </si>
  <si>
    <t>EPA QUIMICA</t>
  </si>
  <si>
    <t xml:space="preserve">JEFERSON APARECIDO CORREA </t>
  </si>
  <si>
    <t>FACULDADE BELAVISTA</t>
  </si>
  <si>
    <t>09H - 13:00-22:00 C/ INT SEG-SEX/04H SAB</t>
  </si>
  <si>
    <t>LEANDRO RODRIGUES LOPES</t>
  </si>
  <si>
    <t>MARIA JOSE DE CARVALHO LIBERATO</t>
  </si>
  <si>
    <t xml:space="preserve">19 99560 8926 </t>
  </si>
  <si>
    <t xml:space="preserve">LEANDRO COSTA VIEIRA </t>
  </si>
  <si>
    <t>CANDIDATO PAULO EM ANALISE DE HISTORICO 29/04 (CANDIDATO COM HISTÓRICO REPROVADO) - CANDIDATO TIAGO APROVADO PELA GIOVANA 07/05</t>
  </si>
  <si>
    <t>EDER GERALDO</t>
  </si>
  <si>
    <t>NOURYON</t>
  </si>
  <si>
    <t>CANDIDATO GABRIEL PRÉ-APROVADO 08/05 AGUARDANDO AGENDAMENTO DA ENTREVISTA NO CLIENTE - LUCIANO APROVADO 13/05 PELO CLIENTE</t>
  </si>
  <si>
    <t>11 94236-7291</t>
  </si>
  <si>
    <t>LUCIANO MORAES DE OLIVEIRA</t>
  </si>
  <si>
    <t>TECNICO SEG TRAB JR</t>
  </si>
  <si>
    <t>SEGURANÇA E MEDICINA DO TRABALHO</t>
  </si>
  <si>
    <t xml:space="preserve">*HORARIO CORRETO: SEG. SEX 12:40 ÁS 21H - SAB. 9H40 ÁS 18H* </t>
  </si>
  <si>
    <t>MARCIA RODRIGUES DOS SANTOS</t>
  </si>
  <si>
    <t>RECRUTAMENTO E SELEÇÃO DE PESSOAL CAMP</t>
  </si>
  <si>
    <t>GABRIELA BRUNA MORAES</t>
  </si>
  <si>
    <t>TVH BRASIL</t>
  </si>
  <si>
    <t>09:48H - 05:30 - 15:18 C/ INTERV</t>
  </si>
  <si>
    <t>ALTA VISTA PREMIUM</t>
  </si>
  <si>
    <t>08:48H:08:00 - 16:48 C/ INT 05HSDF</t>
  </si>
  <si>
    <t>APEX</t>
  </si>
  <si>
    <t>em 13.05 foi solicitado a exclusão do RE 83288  do Denilson Argemiro Cordeiro, pois não compareceu para assinatura do contrato e início no posto que seria hoje</t>
  </si>
  <si>
    <t xml:space="preserve">JOÃO CARLOS DE OLIVEIRA </t>
  </si>
  <si>
    <t>Será relaizado amanhã 06/05/2026 ASO admissional e a NR 10/35. - Já ficará para integração</t>
  </si>
  <si>
    <t>AUSTER</t>
  </si>
  <si>
    <t>HORTOLÂNDIA</t>
  </si>
  <si>
    <t>12H-06:00-18:00 C/ INT SEG-SAB S/INT DOM</t>
  </si>
  <si>
    <t>Aguardando o termino da reciclagem</t>
  </si>
  <si>
    <t>19 98265 4649</t>
  </si>
  <si>
    <t xml:space="preserve">MABSON DOS SANTOS </t>
  </si>
  <si>
    <t>ENTREVISTA RH 3</t>
  </si>
  <si>
    <t>09H - 08:00-17:00 C/ INT SEG-SEX/04H SAB</t>
  </si>
  <si>
    <t xml:space="preserve">ROBERTO GOMES DE OLIVEIRA </t>
  </si>
  <si>
    <t>+55 71 8399-8221</t>
  </si>
  <si>
    <t>RENILDA DOS SANTOS MARQUES</t>
  </si>
  <si>
    <t>19 97154-5871</t>
  </si>
  <si>
    <t>LUISA FERNANDA OLIVEIRA DA SILVA</t>
  </si>
  <si>
    <t>declinou - KARINA DE OLIVEIRA PEREIRA</t>
  </si>
  <si>
    <t>FIACAO FIDES</t>
  </si>
  <si>
    <t xml:space="preserve">MARCIA LUANA VITORINO DA SILVA </t>
  </si>
  <si>
    <t>CANDIDATA RAFAELA APROVADA 05/05 - CANDIDATA RAFAELA DESISTIU 05/05 (Proposta melhor) - CANDIDATO LUCAS APROVADO 13/05</t>
  </si>
  <si>
    <t xml:space="preserve"> 11 96419-0952</t>
  </si>
  <si>
    <t>LUCAS CHAGAS RIBEIRO</t>
  </si>
  <si>
    <t>Jose de Arimateia Sousa - Desistiu da vaga. Recebi a vaga 28/04 Esta em ASO. - Em 06/05 Rafaela Goncçalves Teixeira desistiu da vaga, pois arrumou um trabalho melhor</t>
  </si>
  <si>
    <t xml:space="preserve">JOÃO ANTONIO DOS SANTOS </t>
  </si>
  <si>
    <t>VIGILANTE OP MONIT ELETRONICO</t>
  </si>
  <si>
    <t>NIVEA</t>
  </si>
  <si>
    <t xml:space="preserve">Promoção interna (Recrutadora andréiia </t>
  </si>
  <si>
    <t>11 97572-9637</t>
  </si>
  <si>
    <t xml:space="preserve">GENILDA DE SOUZA QUIRINO </t>
  </si>
  <si>
    <t>INDEED</t>
  </si>
  <si>
    <t>+55 11 95320-4862</t>
  </si>
  <si>
    <t>EDER MACHADO</t>
  </si>
  <si>
    <t>Matheus Ramalho Gonçalves</t>
  </si>
  <si>
    <t>SABARA</t>
  </si>
  <si>
    <t>SANTA BÁRBARA D'OESTE</t>
  </si>
  <si>
    <t>12H - 06:00 - 18:00 C/ 30MIN. INTERV</t>
  </si>
  <si>
    <t xml:space="preserve">FABIO ALVES FIGUEREDO </t>
  </si>
  <si>
    <t>SPUMAPLAST</t>
  </si>
  <si>
    <t>CANDIDATO REGINALDO APROVADO 05/05</t>
  </si>
  <si>
    <t xml:space="preserve">REGINALDO DIOGO </t>
  </si>
  <si>
    <t>No dia 04/05 - Desistência, pois encontrou melhor proposta</t>
  </si>
  <si>
    <t xml:space="preserve">QUITERIA ARAUJO FEITOSA NUNES </t>
  </si>
  <si>
    <t>VILLAGIO AZZURE</t>
  </si>
  <si>
    <t>FLAVIANE MENDES DOS SANTOS</t>
  </si>
  <si>
    <t>CAMPINAS7 - FERISTA - FACILITIES</t>
  </si>
  <si>
    <t xml:space="preserve">TEREZINHA COSTA DA SILVA </t>
  </si>
  <si>
    <t xml:space="preserve">FELIPE SILVA DOS SANTOS </t>
  </si>
  <si>
    <t>FACILITIES7 - FERISTA</t>
  </si>
  <si>
    <t>DAVID FELIPE DOS SANTOS BITENCORT</t>
  </si>
  <si>
    <t>CANDIDATA REGINA APROVADA 30/04 - CANDIDATA REGINA PAROU DE RESPONDER 04/05 - CANDIDATA ANA APROVADA 04/05 - CANDIDATA ANA PAROU DE RESPONDER 06/05</t>
  </si>
  <si>
    <t>REGINA GOMES SANTOS  - Declinou pois encontrou outro emprego 04/05 - em 05.05  Ana Carla da silva declinou, pois gostaria de uma vaga mais próximo da casa dela</t>
  </si>
  <si>
    <t>FULWOOD D.PEDRO BUSINESS PARK - ATIBAIA</t>
  </si>
  <si>
    <t xml:space="preserve">JARDER  TAVARES  SILVA </t>
  </si>
  <si>
    <t xml:space="preserve">JOSIRENE FERNANDES ALVES </t>
  </si>
  <si>
    <t>KERRY COTIA</t>
  </si>
  <si>
    <t>COTIA</t>
  </si>
  <si>
    <t>MARLENE DA SILVA</t>
  </si>
  <si>
    <t>11/05 - abriu conta, pendente docs</t>
  </si>
  <si>
    <t>6x1 Troca Dom Fol Sáb/Fer</t>
  </si>
  <si>
    <r>
      <t>07H - 22:00 - 05:00 C/ 1H INTERV - *</t>
    </r>
    <r>
      <rPr>
        <b/>
        <sz val="11"/>
        <color rgb="FF000000"/>
        <rFont val="Calibri Light"/>
        <family val="2"/>
        <scheme val="major"/>
      </rPr>
      <t>5H ÁS 13H20*</t>
    </r>
  </si>
  <si>
    <t>Trabalha 1 sabado e folga outro final de semana -  (sabados intercalados)</t>
  </si>
  <si>
    <t>Chamar o candidato indicado.</t>
  </si>
  <si>
    <t>NITTO DENKO</t>
  </si>
  <si>
    <t>SANTANA DE PARNAÍBA</t>
  </si>
  <si>
    <t>09:21H - 15:48 - 01:09 C/ 1H INTERV</t>
  </si>
  <si>
    <t xml:space="preserve">12/05 - Diana Alves em pesquisa </t>
  </si>
  <si>
    <t>Indicação cliente Sodécia</t>
  </si>
  <si>
    <t>DIANA ALVES SILVA DOS SANTOS</t>
  </si>
  <si>
    <t>Aguardando agendamento da clinica</t>
  </si>
  <si>
    <t>SP7 - FERISTA - FACILITIES - TV ALIANÇA</t>
  </si>
  <si>
    <t>12/05 - Alessandra de Oliveira em pesquisa</t>
  </si>
  <si>
    <t>Indicação Mary RE: 144795</t>
  </si>
  <si>
    <t>ALESSANDRA DE OLIVEIRA DA SILVA</t>
  </si>
  <si>
    <t>SP7 - RESERVA TECNICA - FACILITIES - KERRY COTIA</t>
  </si>
  <si>
    <t>12/05 - Fatima Alves em pesquisa</t>
  </si>
  <si>
    <t>Indicação de candidata</t>
  </si>
  <si>
    <t>FATIMA ALVES ALMEIDA</t>
  </si>
  <si>
    <t>SUMIDENSO</t>
  </si>
  <si>
    <t>PARA DE MINAS</t>
  </si>
  <si>
    <t>MINAS GERAIS</t>
  </si>
  <si>
    <t>ROSBSON LAMULIER</t>
  </si>
  <si>
    <t>JORICE PEREIRA DA SILVA</t>
  </si>
  <si>
    <t>ADOLPHO CARLOS FERNANDES</t>
  </si>
  <si>
    <t>VINTAGE</t>
  </si>
  <si>
    <t>PATRICIA  MARTINS</t>
  </si>
  <si>
    <t>Ana Carla aprovada 12/05</t>
  </si>
  <si>
    <t>14/05: Candidata Ana Carla da Silva não teve retorno desde o primeiro contato, ligações e mensagens sem sucesso desde o dia  12/05.</t>
  </si>
  <si>
    <t>ANALISE CANCELAMENTO</t>
  </si>
  <si>
    <t>COMPOSITES VCI DO BRASIL</t>
  </si>
  <si>
    <t>09:48H - 05:40 - 15:28 C/ 1H INTERV</t>
  </si>
  <si>
    <t>Colaboradora Sônia RE do Res Santa Angela, RE 914252 foi remanejada na reversão do pedido de desligamneto</t>
  </si>
  <si>
    <t>DOCE LAR BELLA COLONIA</t>
  </si>
  <si>
    <t>09H -07:00-16:00 C/INT SEG- SEX/04H SDF*</t>
  </si>
  <si>
    <t>Candida Cristiana zumira aprovada ( fechada por Amanda)</t>
  </si>
  <si>
    <t xml:space="preserve">CRISTIANA ZULMIRA DOS SANTOS </t>
  </si>
  <si>
    <t>PATRICIA DA SILVA</t>
  </si>
  <si>
    <t xml:space="preserve">MARIA APARECIDA DOS SANTOS </t>
  </si>
  <si>
    <t>AGUARDANDO DOCUMENTO</t>
  </si>
  <si>
    <t>TECNICO ENFERMAGEM DO TRABALHO</t>
  </si>
  <si>
    <t xml:space="preserve">GABRIELA SILVA DE OLIVEIRA </t>
  </si>
  <si>
    <t>TECNICO SEGURANCA DO TRABALHO</t>
  </si>
  <si>
    <t xml:space="preserve">Enviados 12 candidatos não aprovados </t>
  </si>
  <si>
    <r>
      <t xml:space="preserve">SP7 - RESERVA TECNICA - FACILITIES - </t>
    </r>
    <r>
      <rPr>
        <b/>
        <sz val="11"/>
        <color rgb="FF000000"/>
        <rFont val="Calibri Light"/>
        <family val="2"/>
        <scheme val="major"/>
      </rPr>
      <t>SODÉCIA</t>
    </r>
  </si>
  <si>
    <t>30/04 - Solicitado cancelamento por email, conforme conversa com a Mary</t>
  </si>
  <si>
    <t>OFICIAL DE MANUTENCAO</t>
  </si>
  <si>
    <t xml:space="preserve">DIEGO RODRIGUES DE CAMARGO </t>
  </si>
  <si>
    <t>ANPPLA SHOPPING MORATO SPE</t>
  </si>
  <si>
    <t>FRANCISCO MORATO</t>
  </si>
  <si>
    <t xml:space="preserve">12X36  </t>
  </si>
  <si>
    <t>DAS 07:00 - 19:00</t>
  </si>
  <si>
    <t>JHONATAS TRAVAGLIN DOS SANTOS</t>
  </si>
  <si>
    <t>SUPERVISOR DE SEGURANÇA AREA 04</t>
  </si>
  <si>
    <t>FÁBIO</t>
  </si>
  <si>
    <t>DELPHOS</t>
  </si>
  <si>
    <t>3X1</t>
  </si>
  <si>
    <t>18:00 -03:48</t>
  </si>
  <si>
    <t>LUCAS GEORGE PEREIRA PASCHOAL</t>
  </si>
  <si>
    <t>PORTEIRO BALANCERO</t>
  </si>
  <si>
    <t>SANCHEZ CANO LTDA</t>
  </si>
  <si>
    <t>DAS 08:00 - 18:00</t>
  </si>
  <si>
    <t>29/04</t>
  </si>
  <si>
    <t>LARISSA BEZTRIZ DA CUNHA ANTUNES</t>
  </si>
  <si>
    <t>LIDER DE LIMPEZA 28</t>
  </si>
  <si>
    <t xml:space="preserve">AGURDA INDICAÇÃO DA SUPERVISÃO </t>
  </si>
  <si>
    <t xml:space="preserve">19 98755 0816 </t>
  </si>
  <si>
    <t>MELISSA ANA DA CRUZ NICOLAZ</t>
  </si>
  <si>
    <t>CASAS DA TOSCANA</t>
  </si>
  <si>
    <t xml:space="preserve">LEONARDO  DE CASTRO FERREIRA </t>
  </si>
  <si>
    <t>ELEKEIROZ S.A.</t>
  </si>
  <si>
    <t>VÁRZEA PAULISTA</t>
  </si>
  <si>
    <t>CAND THIAGO ZULATO APROVADO</t>
  </si>
  <si>
    <t>THIAGO HENRIQUE ZULATO</t>
  </si>
  <si>
    <t>19 98870-5890</t>
  </si>
  <si>
    <t>SANDRA LUCIA DE OLIVEIRA</t>
  </si>
  <si>
    <t xml:space="preserve">ADRIANA DE ARAUJO LIMA </t>
  </si>
  <si>
    <t xml:space="preserve">MARTA SARTURINO DA SILVA DE OLIVEIRA </t>
  </si>
  <si>
    <t>19 98769 8167</t>
  </si>
  <si>
    <t xml:space="preserve">CLEIDE HELENA ALVES DE PEREIRA </t>
  </si>
  <si>
    <t>Balcao de Empregos Araçariguama</t>
  </si>
  <si>
    <t>MARIA DILMA MOREIRA CARDOSO</t>
  </si>
  <si>
    <t>Exame médico 18/05</t>
  </si>
  <si>
    <t>CANDIDATA ANGELA DECLINOU POR MOTIVOS DE SAUDE DA FILHA</t>
  </si>
  <si>
    <t>GHADDAD EMPREENDIMENTOS IMOBILIARIOS</t>
  </si>
  <si>
    <t xml:space="preserve">JOSIANE MINEIRO </t>
  </si>
  <si>
    <t>Cancelada na planilha mas aguardando email do Souza</t>
  </si>
  <si>
    <t xml:space="preserve">11 91325 5394 </t>
  </si>
  <si>
    <t xml:space="preserve">JULIANA CERQUEIRA DE OLIVEIRA </t>
  </si>
  <si>
    <t>K E G (FAREVA)</t>
  </si>
  <si>
    <t>MIBA</t>
  </si>
  <si>
    <t xml:space="preserve">OBS: foram entrevistado 3 e 1 aprovado </t>
  </si>
  <si>
    <t>19 99258 2004</t>
  </si>
  <si>
    <t>MARCOS PAULO OLIVEIRA DA SILVA</t>
  </si>
  <si>
    <t>CANDIDATO EDER APROVADO PELA GIOVANA 07/05</t>
  </si>
  <si>
    <t>THIAGO RODRIGUES MELLO</t>
  </si>
  <si>
    <t>AUXILIAR ADM</t>
  </si>
  <si>
    <t>CANDIDATA TAYANE APROVADA 05/05</t>
  </si>
  <si>
    <t xml:space="preserve">TAYANE LIMA ARAUJO </t>
  </si>
  <si>
    <t>ABERTA</t>
  </si>
  <si>
    <t>NEMAK</t>
  </si>
  <si>
    <t>BETIM</t>
  </si>
  <si>
    <t>GABRIELE CRISTINA RODRIGUES CASEMIRO</t>
  </si>
  <si>
    <t>14/5</t>
  </si>
  <si>
    <t>09:48H - 07:20 - 17:08 C/ 1H INTERV</t>
  </si>
  <si>
    <t xml:space="preserve">ANDERSON PAIXÃO JUNIOR </t>
  </si>
  <si>
    <t>SAN GIOVANNI</t>
  </si>
  <si>
    <t>Pamela (Fechado pela Andreia)</t>
  </si>
  <si>
    <t xml:space="preserve">PAMELA NOGUEIRA ZACARIAS </t>
  </si>
  <si>
    <t>TAGOUT TREIN E COM DE EQUIP DE PROT DE SEG IND EIRELI</t>
  </si>
  <si>
    <t>10H - 07:30-17:30 C/ INT SEG-QUI/09H SEX</t>
  </si>
  <si>
    <t>AUXILIAR DE LIMPEZA 31</t>
  </si>
  <si>
    <t>TORRES DO CAXAMBU</t>
  </si>
  <si>
    <t>ALINE VIVIANE APARECIDA DE ARAUJO</t>
  </si>
  <si>
    <t>TANIA LORENCO DOS SANTOS</t>
  </si>
  <si>
    <t xml:space="preserve">TAINA LORENCO DOS SANTOS </t>
  </si>
  <si>
    <t xml:space="preserve">Leonardo  OLIVEIRA  DE ALMEIDA </t>
  </si>
  <si>
    <t xml:space="preserve">LEONARDO ALMEIDA </t>
  </si>
  <si>
    <t>MICHELLE ALINE GOMES - Declinou</t>
  </si>
  <si>
    <t>11 91037 4497</t>
  </si>
  <si>
    <t xml:space="preserve">GLORIA CRISTINA DA SILVA MORAES </t>
  </si>
  <si>
    <t>AUXILIAR DE JARDINAGEM</t>
  </si>
  <si>
    <t>08:00H - 08:00 - 16:00 C/ 1H INTERVALO</t>
  </si>
  <si>
    <t>1193048-8618</t>
  </si>
  <si>
    <t xml:space="preserve">JEFERSON DA SILVA SANTOS </t>
  </si>
  <si>
    <t>19 99177 0523</t>
  </si>
  <si>
    <t xml:space="preserve">CHARLES JOSÉ SIQUEIRA DA CRUZ </t>
  </si>
  <si>
    <t>Candidata Valéria Ramos de Araujo - declinou do processo em 11/05 - bloqueio os contatos Ana/Elony</t>
  </si>
  <si>
    <t>15 99686-0281</t>
  </si>
  <si>
    <t>LIDIANE APARECIDA RAMOS</t>
  </si>
  <si>
    <t>LIMPADOR DE VIDROS</t>
  </si>
  <si>
    <t>19 98170-4173</t>
  </si>
  <si>
    <t>FABIO LUIZ DE LUCENA</t>
  </si>
  <si>
    <t>PORTAL DAS PALMEIRAS</t>
  </si>
  <si>
    <t>08:20H - 11:40 - 20:00 C/ 1H INTERV</t>
  </si>
  <si>
    <t>Evelyn Pinheiro ap 12/05</t>
  </si>
  <si>
    <t>em 13.05 Evelyn Sabrine Pinheiro declinou da vaga por motivos pessoais</t>
  </si>
  <si>
    <t>SANTA TEREZA</t>
  </si>
  <si>
    <t xml:space="preserve">GUSTAVO DE FEITAS  LUCIA </t>
  </si>
  <si>
    <t xml:space="preserve">GUSTAVO DE FREITAS </t>
  </si>
  <si>
    <t>VISTA CENTRALE</t>
  </si>
  <si>
    <t xml:space="preserve">RAFAEL EMERSON DE ALMEIDA </t>
  </si>
  <si>
    <t>CANDIDATA SONIA EM PESQUISA 04/05 - CANDIDATA SONIA APROVADA 05/05</t>
  </si>
  <si>
    <t>SONIA MARIA ROSA DE LIMA ARAUJO</t>
  </si>
  <si>
    <t>CANDIDATA ANA EM PESQUISA 04/05 (Não respondeu mais) - CANDIDATA VIVIANE EM PESQUISA 05/05 - CANDIDATA VIVIANE APROVADA 05/05</t>
  </si>
  <si>
    <t xml:space="preserve">VIVIANE ALVES DE SOUZA SANTOS </t>
  </si>
  <si>
    <t>CANDIDATA TATIANE EM DVC 13/05 - CANDIDATA APROVADA 14/05</t>
  </si>
  <si>
    <t>11 94908-3766</t>
  </si>
  <si>
    <t xml:space="preserve">TATIANE ROBERTA DE SOUZA </t>
  </si>
  <si>
    <t>CANDIDATA CASSIA EM PESQUISA 05/05 - CANDIDATA CASSIA APROVADA 06/05 - RITA EM DVC 14/05 - RITA APROVADA 14/05</t>
  </si>
  <si>
    <t xml:space="preserve">11 96026-2233
</t>
  </si>
  <si>
    <t xml:space="preserve">RITA DE CASSIA DA SILVA
</t>
  </si>
  <si>
    <t>CASSIA MONTEIRO OLIVEIRA - Não compareceu na integração e declinou da vaga excluimos o RE 914257 11.05.2026</t>
  </si>
  <si>
    <t>CANDIDATO JOSE EM ENTREVISTA 05/05 - CANDIDATO JOSE APROVADO 06/05</t>
  </si>
  <si>
    <t>JOSE CLEYTISSON</t>
  </si>
  <si>
    <t>CANDIDATO KAYAN EM PESQUISA 05/05 - CANDIDATO ALLYSON APROVADO 05/05</t>
  </si>
  <si>
    <t>11 93227-7692</t>
  </si>
  <si>
    <t xml:space="preserve">ALYSSON RODRIGUES </t>
  </si>
  <si>
    <t>LILIANE DE SOUZA</t>
  </si>
  <si>
    <t>08/05 - SARA OLIVEIRA SILVA, DESISTIU</t>
  </si>
  <si>
    <t xml:space="preserve">Declinou CLAUDENE DE LIRA MENDONÇA  </t>
  </si>
  <si>
    <t xml:space="preserve">ROSANGELA APARECIDA ALCATIS </t>
  </si>
  <si>
    <t xml:space="preserve">Declinou ADOLFO ANTONIO DA SILVA  </t>
  </si>
  <si>
    <t xml:space="preserve">ANA CRISTINA ARAGÃO </t>
  </si>
  <si>
    <t>+55 11 91708-3504</t>
  </si>
  <si>
    <t>ROSEMEIRE DA SILVA CORREIA</t>
  </si>
  <si>
    <t>FAREVA ITUPEVA</t>
  </si>
  <si>
    <t>+55 79 9626-1356</t>
  </si>
  <si>
    <t>YASMIN APARECIDA SANTOS</t>
  </si>
  <si>
    <t>GARDEN RESORT</t>
  </si>
  <si>
    <t xml:space="preserve">LEHITON DE SOUZA ROCHA JUNIOR </t>
  </si>
  <si>
    <t>FECHADA POR GIOVANNA</t>
  </si>
  <si>
    <t>ALANDI SILVA</t>
  </si>
  <si>
    <t xml:space="preserve">LUCIVANIA DA HORA SANTOS </t>
  </si>
  <si>
    <t>09:48H - 05:00 - 14:48 C/ 1H INTERV</t>
  </si>
  <si>
    <t>KARCHER</t>
  </si>
  <si>
    <t>19 92009-8342</t>
  </si>
  <si>
    <t>ELVIS AARON FREDIANI</t>
  </si>
  <si>
    <t>em 15.05 declinamos com a Jaqueline Aparecida Belarmino , por pendencia de documentos e Aso</t>
  </si>
  <si>
    <t xml:space="preserve">Declinou ROSENILDA MARIA MONTEIRO  </t>
  </si>
  <si>
    <t>MINEBEA - U-SHIN</t>
  </si>
  <si>
    <t>12/05 - FABIO ROGERIO G. SANTOS - desistiu da vaga</t>
  </si>
  <si>
    <t>divulgação</t>
  </si>
  <si>
    <t>RONALDO FERREIRA DA SILVA</t>
  </si>
  <si>
    <t>NEWLOG EMPRESARIAL</t>
  </si>
  <si>
    <t>08/05 - Josivan processo de promoção - aprovado em teste psicologico</t>
  </si>
  <si>
    <t>JOSIVAN DA SILVA RIBEIRO</t>
  </si>
  <si>
    <t>RESERVA PETRUS</t>
  </si>
  <si>
    <t>15 99697 4701</t>
  </si>
  <si>
    <t xml:space="preserve">PERTESON ROGER PASSAS DE OLIVEIRA </t>
  </si>
  <si>
    <t>10H - 08:00 - 18:00 C/ 1HR12 MIN INTERV</t>
  </si>
  <si>
    <t>VICTORIA PAULA MARCELINO DA SILVA</t>
  </si>
  <si>
    <t>Elisabete ap 13/05|</t>
  </si>
  <si>
    <t>ELISABETE APARECIDA MACHADO SANTOS - Declinou por conta do horário pela segunda vez 14.05</t>
  </si>
  <si>
    <t>ROSANGELA DA SILVA SANTOS - Declinou pois a filha adoeceu e precisará cuidar dela no momento 12.05.26</t>
  </si>
  <si>
    <t>BRICKLOG GUARULHOS (FEMININO)</t>
  </si>
  <si>
    <t>11/05 - DAYSE DOS SANTOS SANTANA - DESISTIU DA VAGA</t>
  </si>
  <si>
    <t>indicação de candidato</t>
  </si>
  <si>
    <t>MICAELEM APOLINARIO ALBERTO</t>
  </si>
  <si>
    <t>solicitei reagendamento de exame</t>
  </si>
  <si>
    <t>09H - 12:00 - 21:00 C/ 1H INTERV</t>
  </si>
  <si>
    <t>CANDIDATA SUELLEN EM DVC 13/05 - CANDIDATA APROVADA 14/05</t>
  </si>
  <si>
    <t xml:space="preserve"> 11 99403-3254</t>
  </si>
  <si>
    <t>SUELEN CRISTINA DOMINGOS DE LIMA</t>
  </si>
  <si>
    <t>CONEXAO MALHAS</t>
  </si>
  <si>
    <t xml:space="preserve">JOÃO DOS SANTOS SILVA - documentadoras não teve retorno as tentativas de contato </t>
  </si>
  <si>
    <t>19 97142 3431</t>
  </si>
  <si>
    <t xml:space="preserve">GUILHERME FELIPE SAMPAIO DORATEU </t>
  </si>
  <si>
    <t xml:space="preserve">GABRIELLE CAMILLY RAMOS DE ALMEIDA - Sem retorno as diversas tentativas de contato para retorno do exame médico, e documentação. </t>
  </si>
  <si>
    <t>ENTREVISTA CLIENTE 1</t>
  </si>
  <si>
    <t>14/05</t>
  </si>
  <si>
    <t>RUAN ANTUNYS SOUZA MARTINS</t>
  </si>
  <si>
    <t>08:30H-14:00-22:30 C/INT SEG-SEX 06HSAB</t>
  </si>
  <si>
    <t>SP3 - FERISTA - FACILITIES</t>
  </si>
  <si>
    <t>DANIELE DE OLIVEIRA GONÇALVES</t>
  </si>
  <si>
    <t xml:space="preserve">CRISTINA BATISTA DA SILVA </t>
  </si>
  <si>
    <t>RUBENS DA SILVA FONTANA</t>
  </si>
  <si>
    <t>FELIPE DA SILVA BATISTA</t>
  </si>
  <si>
    <t>FELIPE BRITO AGUIAR</t>
  </si>
  <si>
    <t>Candidata aprovada pela Amanda 13/05</t>
  </si>
  <si>
    <t>15/05 - CANDITADA: ROSA MARIA PEREIRA ALVES (PROCESSOU A EMPRRESA)</t>
  </si>
  <si>
    <t>VITOR BATISTA FRANCISCO</t>
  </si>
  <si>
    <t>ASSIST ADM 23</t>
  </si>
  <si>
    <t>08:20H - 08:00 - 16:20 C/ 1H INT</t>
  </si>
  <si>
    <t xml:space="preserve">AMANDA  CRSTINA DA SILVA RODRIGUES </t>
  </si>
  <si>
    <t>08:20H - 12:40 - 21:00 C/ 1H INTERV</t>
  </si>
  <si>
    <t xml:space="preserve">AMANDA CRISTINA DA SILVA RODRIGUES </t>
  </si>
  <si>
    <t>19 99501 1377</t>
  </si>
  <si>
    <t xml:space="preserve">JULIANA CRISTINA DO NASCIMENTO </t>
  </si>
  <si>
    <t>ALLIED - FILIAL JUNDIAI</t>
  </si>
  <si>
    <t>09:48H - 09:12 - 19:00 C/ 1H INTERV</t>
  </si>
  <si>
    <t xml:space="preserve">VANESSA LAMANERES DE JESUS </t>
  </si>
  <si>
    <t xml:space="preserve"> </t>
  </si>
  <si>
    <t>FACEBOOK E WATSAPP</t>
  </si>
  <si>
    <t>CAIO FELIPE DANTAS DOS SANTOS</t>
  </si>
  <si>
    <t>exame 18/05</t>
  </si>
  <si>
    <t>19 98180-2516</t>
  </si>
  <si>
    <t>PEDRO RODRIGUES DE SOUSA</t>
  </si>
  <si>
    <t>+55 11 97825-0538</t>
  </si>
  <si>
    <t>ANA PAULA TORRES</t>
  </si>
  <si>
    <t>NEIDE MARIA CAMPOS</t>
  </si>
  <si>
    <t>Jéssica Maria da Silva declinou do processo no dia da integração (14/05)</t>
  </si>
  <si>
    <t>09H - 06:00 - 15:00 C/ 1H INTERV</t>
  </si>
  <si>
    <t>19 98838 9166</t>
  </si>
  <si>
    <t xml:space="preserve">APARECIDA FARIAS DO NASCIMENTO </t>
  </si>
  <si>
    <t>MUNKSJO</t>
  </si>
  <si>
    <t>CAIEIRAS</t>
  </si>
  <si>
    <t>08H - 06:00 - 14:00 C/ 1H INTERV</t>
  </si>
  <si>
    <t>Candidato Renan aprovado</t>
  </si>
  <si>
    <t>RENAN ERICK DOS SANTOS AMARO</t>
  </si>
  <si>
    <t xml:space="preserve">EMERSON  PEDRO DA SILVA </t>
  </si>
  <si>
    <t>12X35</t>
  </si>
  <si>
    <t xml:space="preserve">GABRIEL ALEXANDRE DOS SANTOS </t>
  </si>
  <si>
    <t>Cand. Elielson Batista ap 12/05|</t>
  </si>
  <si>
    <t xml:space="preserve">ELIELSON BATISTA DE OLIVEIRA </t>
  </si>
  <si>
    <t>JARDINEIRO 3</t>
  </si>
  <si>
    <t>ROYAL FIC</t>
  </si>
  <si>
    <t>SUMIDENSO MATEUS LEME</t>
  </si>
  <si>
    <t>BELO HORIZONTE</t>
  </si>
  <si>
    <t>JONATHAS SANTOS DA SILVA</t>
  </si>
  <si>
    <t xml:space="preserve">FERNANDA DIAS </t>
  </si>
  <si>
    <t>JAQUELINE CRISTINA ALMEIDA DE OLIVEIRA</t>
  </si>
  <si>
    <t>11/05 - Eunice Branco - desistiu da vaga</t>
  </si>
  <si>
    <t>INDICAÇÃO CANDIDATO</t>
  </si>
  <si>
    <t>ESTEFANY DAIAN DE MELO LEODER</t>
  </si>
  <si>
    <t>entrevista 11/05</t>
  </si>
  <si>
    <t>+55 11 94179-2449</t>
  </si>
  <si>
    <t>BEATRIZ REIS PEREIRA DA FONSECA</t>
  </si>
  <si>
    <t xml:space="preserve">LEONILDA PEREIRA DE JESUS MART </t>
  </si>
  <si>
    <t>RECEPCIONISTA</t>
  </si>
  <si>
    <t>09H - 12 - 21/ SEX: 09 - 18 - C/ 01H INT</t>
  </si>
  <si>
    <t>ISABELLE MENDONÇA INACIO CASTRO</t>
  </si>
  <si>
    <t>MULTIMODAL CAMPINAS</t>
  </si>
  <si>
    <t>09:30H 08:00 - 17:30 C/ 1H INTERVV</t>
  </si>
  <si>
    <t xml:space="preserve">19 98974 0364 </t>
  </si>
  <si>
    <t xml:space="preserve">ANA </t>
  </si>
  <si>
    <t xml:space="preserve">ALESANDRA DA SILVA BARBOSA </t>
  </si>
  <si>
    <t>SEW EURODRIVE</t>
  </si>
  <si>
    <r>
      <rPr>
        <sz val="11"/>
        <color rgb="FF000000"/>
        <rFont val="Calibri Light"/>
        <scheme val="major"/>
      </rPr>
      <t xml:space="preserve">SUPERVISOR6 - FERISTA - SEGURANCA </t>
    </r>
    <r>
      <rPr>
        <b/>
        <sz val="11"/>
        <color rgb="FF000000"/>
        <rFont val="Calibri Light"/>
        <scheme val="major"/>
      </rPr>
      <t>(ARXADA SALTO)</t>
    </r>
  </si>
  <si>
    <t>MATHEUS DA SILVA PORTO FURTADO</t>
  </si>
  <si>
    <t>INDICAÇÃO DO SUPERVISOR</t>
  </si>
  <si>
    <t>SIDNEI APARECIDO DE BRITES</t>
  </si>
  <si>
    <t>Exame 18/05</t>
  </si>
  <si>
    <t xml:space="preserve">WESLLEY SOARES SANTOS </t>
  </si>
  <si>
    <t>VILA DAS PALMEIRAS</t>
  </si>
  <si>
    <t>+55 11 96067-9649</t>
  </si>
  <si>
    <t>JOICIANE DE LIMA SANTOS</t>
  </si>
  <si>
    <t xml:space="preserve">JULIVALDO CONCEICAO  DOS SANTOS </t>
  </si>
  <si>
    <t>BH - RESERVA TECNICA - INTERMITENTE</t>
  </si>
  <si>
    <t>SOMENTE FOLGA</t>
  </si>
  <si>
    <t>12H - 17:30 - 05:30 C/ 1H INTERV</t>
  </si>
  <si>
    <t xml:space="preserve">JHONES  BRUNO CAMELO  DOS SANTOS </t>
  </si>
  <si>
    <t>ANTONIO WALISSON DO NASCIMENTO MARCOLINO</t>
  </si>
  <si>
    <t>+55 11 95540-9050</t>
  </si>
  <si>
    <t>JUSCELINO FIDELES</t>
  </si>
  <si>
    <t>EX FUNCIONÁRIO APROVADO NA VERIFI. DE HISTÓRICO</t>
  </si>
  <si>
    <t>+55 11 93202-1372</t>
  </si>
  <si>
    <t>ALVARO GABRIEL SOUZA DEMANE</t>
  </si>
  <si>
    <t>M CASSAB - PREDIO FIGUEIRA - MEZANINO</t>
  </si>
  <si>
    <t>MONTALTISSIMO</t>
  </si>
  <si>
    <t>PREDIO CUPUACU - M CASSAB JARINU</t>
  </si>
  <si>
    <t>BASE</t>
  </si>
  <si>
    <t>+55 11 94566-2180</t>
  </si>
  <si>
    <t xml:space="preserve">JHONATAN SALGADO </t>
  </si>
  <si>
    <t>ROSSI ANTILHAS</t>
  </si>
  <si>
    <t>19 99605 7041</t>
  </si>
  <si>
    <t xml:space="preserve">LUCAS MATHEUS SANCHES DA SILVEIRA </t>
  </si>
  <si>
    <t>Candidata aprovada pela Amanda 14/05</t>
  </si>
  <si>
    <t xml:space="preserve">BEATRIZ </t>
  </si>
  <si>
    <t xml:space="preserve">AMANDA DA SILVA PINHEIRO </t>
  </si>
  <si>
    <t>HENRIQUE  BARBOSA DA SILVA</t>
  </si>
  <si>
    <t>FULWOOD ORY BUSINESS PARK - JUNDIAÍ</t>
  </si>
  <si>
    <t>SOLANGE MARIA  DE LIMA</t>
  </si>
  <si>
    <t>12H - 11:00 - 23:00 C/ 1H INTERV</t>
  </si>
  <si>
    <t>NATURE VILLAGE</t>
  </si>
  <si>
    <t>5X2 FOLGA SÁB/DOM</t>
  </si>
  <si>
    <t>Balcão de empregos</t>
  </si>
  <si>
    <t>ADRIANA DOS SANTOS DA COSTA CARVALHO</t>
  </si>
  <si>
    <t>Não responde, não enviou docs</t>
  </si>
  <si>
    <t>MENSAGEIRO 3</t>
  </si>
  <si>
    <t>CANDIDATA VITORIA EM DVC 12/05 (Recrutadora Nathalya) - CANDIDATA VITORIA APROVADA 13/05 (Fechado por Nathalya)</t>
  </si>
  <si>
    <t>INDICAÇÃO SUPERVISORA</t>
  </si>
  <si>
    <t xml:space="preserve">	VITORIA MARIANE DA SILVA</t>
  </si>
  <si>
    <t>BH - FERISTA - SEGURANCA</t>
  </si>
  <si>
    <t>ANALISTA CONTÁBIL</t>
  </si>
  <si>
    <t>DEBORA SOMMA</t>
  </si>
  <si>
    <t>CONTABILIDADE</t>
  </si>
  <si>
    <t xml:space="preserve">JULIA FERNANDES DE SOUZA SANTOS - Desistiu por conta da distancia </t>
  </si>
  <si>
    <t>19 98116-5900</t>
  </si>
  <si>
    <t>FELIPE DOS SANTOS</t>
  </si>
  <si>
    <t>19 99827 8244</t>
  </si>
  <si>
    <t xml:space="preserve">MARIA JANAINA DA SILVA </t>
  </si>
  <si>
    <t>19 97811 2888</t>
  </si>
  <si>
    <t xml:space="preserve">RENAN RICARDO DE OLIVEIRA </t>
  </si>
  <si>
    <t>FLUID BRASIL</t>
  </si>
  <si>
    <t>08:48H - 07:45 - 18:00 C/ 1:27H INTERV</t>
  </si>
  <si>
    <t>19 99242 1595</t>
  </si>
  <si>
    <t xml:space="preserve">ADRIANA MENDES </t>
  </si>
  <si>
    <t>VIGIA BALANCEIRO 12</t>
  </si>
  <si>
    <t>09H - 15:00 - 00:00 C/ 1H INTERV</t>
  </si>
  <si>
    <t>VIGIA 5</t>
  </si>
  <si>
    <t>11H - 07:00 - 18:00 C/ 1H INTERV</t>
  </si>
  <si>
    <t>SHOWROOM</t>
  </si>
  <si>
    <t>09H-06:30-15:30 C/INT SEG-SEX/04H SAB</t>
  </si>
  <si>
    <t>WILLIAM BRUNO DA SILVA TONDATO</t>
  </si>
  <si>
    <t>VIGILANTE MONIT SEG ELETRONICA</t>
  </si>
  <si>
    <t>CANDIDATOS EM ENTREVISTA COM A SUPERVISORA MAIARA 15/05</t>
  </si>
  <si>
    <t>FULWOOD GUARULHOS BUSINESS PARK</t>
  </si>
  <si>
    <t>CAT LAPA</t>
  </si>
  <si>
    <t>ODILON CLEBER PEREIRA DA SILVA</t>
  </si>
  <si>
    <t>JARDIM CONQUISTA</t>
  </si>
  <si>
    <t>SUPERVISOR4 - RESERVA TECNICA - SEGURANCA</t>
  </si>
  <si>
    <t>VINICIUS  DA SILVA SOUZA</t>
  </si>
  <si>
    <t>VERONA</t>
  </si>
  <si>
    <t>EDIFICIO CAROLINA</t>
  </si>
  <si>
    <t>08:20H - 13:00 - 21:20 C/ 1H INTERV</t>
  </si>
  <si>
    <t>VIGIA 34</t>
  </si>
  <si>
    <t>STATUS</t>
  </si>
  <si>
    <t>TELEFONE</t>
  </si>
  <si>
    <t>DATA DO CANCELAMENTO DA VAGA</t>
  </si>
  <si>
    <t>19 92006 0596</t>
  </si>
  <si>
    <t xml:space="preserve">JOÃO BATISTA NOVAIS PINTO </t>
  </si>
  <si>
    <t>bi</t>
  </si>
  <si>
    <t>CLEVERSON ANTONIO PAULA</t>
  </si>
  <si>
    <t>19 99281-2609</t>
  </si>
  <si>
    <t>MIRELLA TORRES VICTOR PEREIRA</t>
  </si>
  <si>
    <t>Candidata - BRUNA CUSTÓDIA DE SOUSA NEVES desistiu no dia 17/04 / MIRELLA TORRES VICTOR PEREIRA 08/06 declinou</t>
  </si>
  <si>
    <t>02/06/26</t>
  </si>
  <si>
    <t>CANDIDATA NANCI EM ANALISE DE HISTORICO 30/04 (REPROVADA NA ANALISE) - CANDIDATA FERNANDA EM PESQUISA 04/05 - CANDIDATA FERNANDA RECEBEU UMA PROPOSTA MELHOR 05/05 - CANDIDATA MARIA EM PESQUISA 05/05 - CANDIDATA MARIA APROVADA 06/05 - CANDIDATA MARIA DECLINOU POR PROPOSTA MELHOR 07/05 - CANDIDATA SUELI APROVADA 18/05</t>
  </si>
  <si>
    <t>11 91511-0463</t>
  </si>
  <si>
    <t>SUELI RODRIGUES DA SILVA</t>
  </si>
  <si>
    <t xml:space="preserve">GISELE DANIELE DO NASCIMENTO DE AQUINO </t>
  </si>
  <si>
    <t xml:space="preserve">JONATHAN ANNIBAL DOS SANTOS - Não retornou contato declinamos do processo </t>
  </si>
  <si>
    <t>em 21.05 declinamos com Adriana dos Santos da costa, por falta de documentos. Porém a vaga tb será cancelada</t>
  </si>
  <si>
    <t xml:space="preserve">indicacao do posto </t>
  </si>
  <si>
    <t>YASMIN REBECA SILVA PEREIRA</t>
  </si>
  <si>
    <t>11 97017-5563</t>
  </si>
  <si>
    <t>JADILA DAIANE DA SILVA FERREIRA</t>
  </si>
  <si>
    <t>ELIEZER SOARES DE OLIVEIRA</t>
  </si>
  <si>
    <t>2 DESISTENCIA, REALIZANDO TRIAGEM  - 21/05 marcia costa de paulo declinou (não enviou os dados) - 22/05 duas reprovas entrevista (sem perfil)</t>
  </si>
  <si>
    <t>19 98978 5424</t>
  </si>
  <si>
    <t xml:space="preserve">MAYARAA FERREIRA COSTA </t>
  </si>
  <si>
    <t>DANILO SUSSANT XAVIER</t>
  </si>
  <si>
    <t>11 92230-0682</t>
  </si>
  <si>
    <t xml:space="preserve">CHRISTOPHER BAPTISTA DE ASSIS </t>
  </si>
  <si>
    <t xml:space="preserve">MAYARA CRISTINA FERREIRA </t>
  </si>
  <si>
    <t>ERICKA PEREIRA RIBEIRO</t>
  </si>
  <si>
    <t>Desistiu para cuidar da mãe que ficou doente - Candidata Claudia aprovada 20/05 não deu mais retorno - Candidata Priscila dos Santos aprovada 22/05 - Priscila foi reprovada no ASO- Candidata Adriana Ricci aprovada 25/05</t>
  </si>
  <si>
    <t>+55 11 96595-0819</t>
  </si>
  <si>
    <t>25/05/26</t>
  </si>
  <si>
    <t>ADRIANA APARECIDA RICCI DE PAULA</t>
  </si>
  <si>
    <t>EDJANE DOS SANTOS SILVA  - Foi declinada por falta de retorno dia 28/04  -- ANGELA REGINA PEREIRA DA SILVA FIUZA - Declinou pois precisará acompanhar a filha em fisioterapias - MARIA DE LOURDES OLIVEIRA RAMOS declinou para cuidados com a mãe doente. -- CLAUDILENE ANDREA MARTINS , Não enviou documentos e não responde + ligações e mensagens. CLAUDIA MAIA DE SOUZA, exame agendado duas vezes porém não realizou e não respondeu mais as mensagens  - em 25.05 Priscila dos Santos Souza, foi declinida, pois não passou no ASO</t>
  </si>
  <si>
    <t>28/04 - Mary informou que o Jardineiro não passou no teste prático / 08/05 -  Fabio Manoel Reprovado em pesquisa - 29/05 - Valdir em pesquisa</t>
  </si>
  <si>
    <t>INDICAÇÃO MARY: RE 144795</t>
  </si>
  <si>
    <t>VALDIR FERREIRA DE ANDRADE</t>
  </si>
  <si>
    <t>aguardando resultado do ASo, pois contêm exames complemntares</t>
  </si>
  <si>
    <r>
      <t xml:space="preserve">SP7 - RESERVA TECNICA - FACILITIES - </t>
    </r>
    <r>
      <rPr>
        <b/>
        <sz val="11"/>
        <color rgb="FF000000"/>
        <rFont val="Calibri Light"/>
        <scheme val="major"/>
      </rPr>
      <t>KERRY COTIA</t>
    </r>
  </si>
  <si>
    <t>Cancelada a pedido do Sidney em 20/05 em função de duplicidade -ainda consta no I 21/05</t>
  </si>
  <si>
    <t>VICTOR GABRIEL   SENCIARELI SOUZA</t>
  </si>
  <si>
    <t>17 99616-9110</t>
  </si>
  <si>
    <t>LIDIANE DE OLIVEIRA BRITO</t>
  </si>
  <si>
    <t xml:space="preserve">22/05 - declinou ANGELA MARIA DOS SANTOS PAULA </t>
  </si>
  <si>
    <t>THATIANE SILVA</t>
  </si>
  <si>
    <t>NAILAN BATISTA MOTA</t>
  </si>
  <si>
    <t>CANDIDATA INAE APROVADA 30/04 - CANDIDATA INAE DESISTIU 04/05 - CANDIDATA FABIANA APROVADA 04/05 - CANDIDATA FABIANA DESISTIU 06/05 - CANDIDATA CARLA APROVADA 07/05 - CARLA PAROU DE RESPONDER - CANDIDATA JESSYE EM DVC 18/05 - CANDIDATA JESSYE APROVADA 19/05 - CANDIDATA DECLINOU</t>
  </si>
  <si>
    <t>11 99569-0075</t>
  </si>
  <si>
    <t>No dia de hoje 04/05 - Desistência, disse que não gostou da vaga. // FABIANA DE JESUS FERREIRA - Declinou por motivos de saúde 06.05 - em 14.05 declinamos com a candidata Carla Eduarda de Lima silva, pois a mesma não fez o exame e não enviou os documentos, após várias tentativas de contato--- No dia de hoje, 19/05 JESSYE CLAIR HALLGREN OLIVEIRA GOMES, declinou da vaga antes do exame médico, por receber outra proposta.</t>
  </si>
  <si>
    <t>Candidata Evely aprovada 29/05</t>
  </si>
  <si>
    <t xml:space="preserve"> 11 96220-9526</t>
  </si>
  <si>
    <t>EVELY VITORIA DE SOUZA MARTINS</t>
  </si>
  <si>
    <t xml:space="preserve">Solicito, por gentileza, o cancelamento da vaga nº 29881 - Nouryon Itupeva. Conforme alinhado como @Elizeu Filho - Delphos, houve remanejamento interno </t>
  </si>
  <si>
    <t>THACILA CAROLINE DA SILVA BARROS</t>
  </si>
  <si>
    <t xml:space="preserve">EDNA MARIA NERYS DE OLIVEIRA </t>
  </si>
  <si>
    <t>em 13.05 declinamos com a candidata Gislene Rosa dos Santos, por falta de envio dos documentos - Em 15.05 declinamos coma Candidata  Márcia Cordeiro dos Santos, poi não nos enviou os documentos. 08.06.2026 EDNANDA SILVA DE MELO, candidata não enviou documentação completa, não possuia conta bancaria, quando enviada a carta de abertura do banco, a mesma informou que não teria como ir, não respondendo mais as mensagens e nem ligações. // ERIKA FABIANE MUNAROLO- Declinamos do processo pois a candidata não respondeu mais as mensagens dia 11.06</t>
  </si>
  <si>
    <t>TRIAGEM E ENTREVISTAS, UMA REPROVADO PERFIL E OUTRA DESISTIU, MUITA GENTE SEM INTERESSE</t>
  </si>
  <si>
    <t>19 99690-6708</t>
  </si>
  <si>
    <t>LUCIA PAIVA VIANA</t>
  </si>
  <si>
    <t>20/05 declinou - THAINA DOS SANTOS LINS (não tem titulo)</t>
  </si>
  <si>
    <t xml:space="preserve">PAT ATIBAIA </t>
  </si>
  <si>
    <t xml:space="preserve">ROSELI DONIZETTI  PINHEIRO </t>
  </si>
  <si>
    <t xml:space="preserve">Vaga freitas -  peguei no dia 28/06 - tivemos 3 desistencia </t>
  </si>
  <si>
    <t>11 99859 6614</t>
  </si>
  <si>
    <t xml:space="preserve">KARINA CARVALHO LIMA </t>
  </si>
  <si>
    <t>em 01.06 Taila Irís Mariano Lima desistiu da vaga</t>
  </si>
  <si>
    <t>11 98489-2774</t>
  </si>
  <si>
    <t>DANILO MATEUS DE SOUZA</t>
  </si>
  <si>
    <t xml:space="preserve">MAGDA GIANE BRAGA SILVA </t>
  </si>
  <si>
    <t>11 95691-6717</t>
  </si>
  <si>
    <t>DANIELA INACIO DA SILVA</t>
  </si>
  <si>
    <t>em 11.05 declinamos com Edna Maria Nerys Oliviera, pois faltou por 2x na integração / No dia 13-05 recebi o processo de Valeria Aparecida Bueno, com agendamento do exame para 15/05 . No dia de hoje 14/05 ela declinou, pois recebeu proposta mais perto de sua residência // SARA CRISTINA LUIZ MINGOTI SILVA - processo recebido dia 27.05 desde então a candidata não deu retorno nem por mensagem e nem pelas ligaçõs que foram feitas, por isso declinamos ela do processo/cANCELANDO POR mIGUEL EM 08/06</t>
  </si>
  <si>
    <t>08/06/2026</t>
  </si>
  <si>
    <t>Vaga não está no SAR</t>
  </si>
  <si>
    <t>EXAME 19/05</t>
  </si>
  <si>
    <t>Vaga substituida para a vaga 30382</t>
  </si>
  <si>
    <t>20/05/26</t>
  </si>
  <si>
    <t>1599271-0562</t>
  </si>
  <si>
    <t>AVELINA ALEXANDRINA ALVES</t>
  </si>
  <si>
    <t>EXAME AGENDADO PARA 10/06 - Problemas no HK para cadastrar a colaboradora</t>
  </si>
  <si>
    <t>11 937212424</t>
  </si>
  <si>
    <t>WILIAM  M DIAS  DE SOUZA</t>
  </si>
  <si>
    <t>ASO - agendado p/ 03/06 - ACR - São Roque</t>
  </si>
  <si>
    <t>VITOR NACARATO</t>
  </si>
  <si>
    <t>Candidato aprovado veio fazer entrevista presencial 22/05, porém declinou do processo por falta de início imediato</t>
  </si>
  <si>
    <t>Acordo Priscila, área irá adotar outra estra´tegia para essa posição</t>
  </si>
  <si>
    <t>05/06/26</t>
  </si>
  <si>
    <r>
      <t xml:space="preserve">AUXILIAR DE LIMPEZA </t>
    </r>
    <r>
      <rPr>
        <b/>
        <sz val="11"/>
        <color rgb="FF000000"/>
        <rFont val="Calibri Light"/>
        <scheme val="major"/>
      </rPr>
      <t>(MASCULINO)</t>
    </r>
  </si>
  <si>
    <t>05/06 - Pedro Silva - desistiu da vaga - 30/06 - Wellington Roberto, desistiu - 08/12  -Valdir não compareceu para assinar contrato, desistiu.16/07 - Cristiano Lourenço, desistiu da vaga</t>
  </si>
  <si>
    <t>PANDAPÉ</t>
  </si>
  <si>
    <t>LEONARDO EDUARDO FERREIRA DE OLIVEIRA</t>
  </si>
  <si>
    <t xml:space="preserve">CATe </t>
  </si>
  <si>
    <t>MICHELE ARAUJO BRANDÃO</t>
  </si>
  <si>
    <t xml:space="preserve">19/05 - EVELYN VITORIA VENANCIO DA SILVA - REPROVADA PESQUISA </t>
  </si>
  <si>
    <t xml:space="preserve">19 99831 9268 </t>
  </si>
  <si>
    <t xml:space="preserve">TAINA MICHELE DA CUNHA </t>
  </si>
  <si>
    <t>CANDIDATA ANDREIA ACEITOU A VAGA EM SEGUIDA DESISTIU 19/05</t>
  </si>
  <si>
    <t>em 13.05 foi solicitado a exclusão do RE 83288  do Denilson Argemiro Cordeiro, pois não compareceu para assinatura do contrato e início no posto que seria hoje//Vaga 30010 APEX /  cancelada/ alteração no contrato.
Nova vaga 30412</t>
  </si>
  <si>
    <t>email enviao em 19 de maio souza e gislene, aguardando o OK da Souza</t>
  </si>
  <si>
    <t>em 06.06 Cibele Marques de Melo , desistiu da vaga, pois arrumou outro trabalho</t>
  </si>
  <si>
    <t>29/05/26</t>
  </si>
  <si>
    <t>CANDIDATA ELISANGELA APROVADA 18/05</t>
  </si>
  <si>
    <t>11 98911-5547</t>
  </si>
  <si>
    <t>ELISANGELA PINHEIRO</t>
  </si>
  <si>
    <t>CANDIDATA LUCIENE EM ENTREVISTA 18/05 RECUSOU A VAGA - CANDIDATA CAMILA ACEITOU A VAGA POREM É EX-FUNCIONÁRIA E TEVE JC 19/05</t>
  </si>
  <si>
    <t xml:space="preserve">RENAN XAVIIER </t>
  </si>
  <si>
    <t>RUTE SAMARA DA S. COSTA CALÃO - Recebeu outra proposta. -- RELDY SIDNEY TAVARES DA SILVA, desistiu pois pensou que seria sem registro. Não quer perder o benefício.-- JUSIVAN BARBOSA FERREIRA, foi realizado contato, agendado exame médico. Porém a partir daí, não responde mais as menssagens e ligações.</t>
  </si>
  <si>
    <t>21/05/26</t>
  </si>
  <si>
    <r>
      <t>07H - 22:00 - 05:00 C/ 1H INTERV - *</t>
    </r>
    <r>
      <rPr>
        <b/>
        <sz val="11"/>
        <color rgb="FF000000"/>
        <rFont val="Calibri Light"/>
        <scheme val="major"/>
      </rPr>
      <t>5H ÁS 13H20*</t>
    </r>
  </si>
  <si>
    <t>Trabalha 1 sabado e folga outro final de semana -  (sabados intercalados) - Vaga cancelada no HK</t>
  </si>
  <si>
    <t>Beatriz desistiu da vaga 29/05</t>
  </si>
  <si>
    <t>09/06/2026</t>
  </si>
  <si>
    <t>SP7 - FERISTA - FACILITIES - TV ALIANÇA ITAPETININGA</t>
  </si>
  <si>
    <t>Indicada  Vitória Monteiro - +55 15 98117-1338</t>
  </si>
  <si>
    <t>15 98117 1338</t>
  </si>
  <si>
    <t xml:space="preserve">VITORIA PIRES MONTEIRO </t>
  </si>
  <si>
    <t>em 20.05 declinamos com a Alessandra de Oliveira Da silva - por falta de envio de documentos - ASO Vitória agendado p/ 01.06</t>
  </si>
  <si>
    <t>Integração ok em 22/05</t>
  </si>
  <si>
    <t>ELIANE SANTOS GONZAGA</t>
  </si>
  <si>
    <t>11 91845-8016</t>
  </si>
  <si>
    <t>GISELE DE MELO DIAS</t>
  </si>
  <si>
    <t xml:space="preserve">EUNICE BEZERRA DE OLIVEIRA , não enviou documentação e com ASO marcado, no dia de hoje 01/06 desistiu da vaga. </t>
  </si>
  <si>
    <t>+55 11 91649-6621</t>
  </si>
  <si>
    <t>JOCEILTON DE JESUS SANTOS, Falta de documentos, não compareceu ao exame médico e a NR.  Sem retorno aos contatos . 15/06/2026 MAIKON SANTOS SOUZA  candidato declinou alegando ter achado outro emprego, faltava apenas realizar o curso de NR.</t>
  </si>
  <si>
    <t>09H - 07:00-16:00 C/INT SEG- SEX/04H SAB 07:00-11:00</t>
  </si>
  <si>
    <t>19 99541-5912</t>
  </si>
  <si>
    <t>JENNIFER TAMIRES BARIAS SILVA</t>
  </si>
  <si>
    <t>02/06 - VIVIANE ANGELINA LUCIANO DA SILVA (não conseguiu o titulo) / 08/06 - Cristiane Fernanda de Assis Martarello declinou / 11/06 BARBARA DAIANE DE PAULA declinou</t>
  </si>
  <si>
    <t>18.05.26: Candidata Maria Aparecida dos Santos -  Primeiro contato para solicitação da documentação 11.05, a mesma enviou apenas RG_CPF e PIS, solicitou a carta de abertura de conta porém após o envio a mesma não deu mais retorno atraves de mensagens e ligaões. (Canditada já havia feito processo seletivo a algum tempo e faltou na integração, não dando retorno ou motivos concretos sobre a situação).</t>
  </si>
  <si>
    <t>Candidata aprovada e enviada para documentadora Beatriz em 02/06/2026</t>
  </si>
  <si>
    <t xml:space="preserve">STEPHANIE DOS SANTOS SANTANA </t>
  </si>
  <si>
    <r>
      <t xml:space="preserve">SP7 - RESERVA TECNICA - FACILITIES - </t>
    </r>
    <r>
      <rPr>
        <b/>
        <sz val="11"/>
        <color rgb="FF000000"/>
        <rFont val="Calibri Light"/>
        <scheme val="major"/>
      </rPr>
      <t>SODÉCIA</t>
    </r>
  </si>
  <si>
    <t>18/05 declicou - SANDRA LUCIA DE OLIVEIRA</t>
  </si>
  <si>
    <t>em 18.05admissão da elitânia Evangelista dos Santos - Re 145966- foi cancelada, pois não compareceu para inciiaro trabalho</t>
  </si>
  <si>
    <t>Indicação superv. Flávia</t>
  </si>
  <si>
    <t>+55 11 97695-2269</t>
  </si>
  <si>
    <t>JAQUELINE BARBOSA</t>
  </si>
  <si>
    <t>+55 11 99954-9157</t>
  </si>
  <si>
    <t>BRUNO CAVALCANTE</t>
  </si>
  <si>
    <t>11 95733-0355</t>
  </si>
  <si>
    <t>THALITA SILVA DE OLIVEIRA</t>
  </si>
  <si>
    <t>16/06 Rauan Vanderlei Santos reprovado pesquisa</t>
  </si>
  <si>
    <t>19 99756-6446</t>
  </si>
  <si>
    <t>VALDERENI FRANCISCA DOS REIS</t>
  </si>
  <si>
    <t>INDICAÇÃO LIDER</t>
  </si>
  <si>
    <t>FERNANDA LOPEZ FERREIRA</t>
  </si>
  <si>
    <t>CANDIDATO THIAGO ACEITOU A VAGA EM SEGUIDA NÃO RESPONDEU MAIS 19/05 - CANDIDATO JOSE CARLOS EM DVC 19/05</t>
  </si>
  <si>
    <t> </t>
  </si>
  <si>
    <t>Por gentileza, solicito o cancelamento da vaga n°30100, pois o quadro de efetivo noturno já está completo. </t>
  </si>
  <si>
    <t>JESSICA APARECIDA PINHEIRO DE FREITAS</t>
  </si>
  <si>
    <t xml:space="preserve">declinou FABIO LUIZ DE LUCENA//Por gentileza avaliar as seguintes vaga 30142 - Limpador de vidro  - Posto MANDIC. Promoção interna, Coordenadora Eliana já está de ciente e de acordo com o cancelamento ! </t>
  </si>
  <si>
    <t>08:20H - 06:00 - 14:20 C/ 1H INTERV</t>
  </si>
  <si>
    <t>AGENCIA</t>
  </si>
  <si>
    <t>19 99931-4052</t>
  </si>
  <si>
    <t>16/07</t>
  </si>
  <si>
    <t>VANESSA APARECIDA OLIVEIRA SUSUKIM</t>
  </si>
  <si>
    <t>20/07 - GISLENE PEDIU PARA COLOCAR A VAGA DAS 13:40 AS 22:00</t>
  </si>
  <si>
    <t>Declinou no dia 23/07 JACQUELINE DE OLIVEIRA TEIXEIRA / 23/07 JUCEANE FERREIRA DA SILVA</t>
  </si>
  <si>
    <t>22/05/26</t>
  </si>
  <si>
    <t xml:space="preserve">em 13.05 Evelyn Sabrine Pinheiro declinou da vaga por motivos pessoais / 21/05 LAWANY GABRIELLY SENCIARELI MARQUES, declinou da vaga no exame médico, pois percebeu que não conseguiria conciliar o trabalho com a sua rotina. </t>
  </si>
  <si>
    <t>CANDIDATA CASSIA EM PESQUISA 05/05 - CANDIDATA CASSIA APROVADA 06/05 - RITA EM DVC 14/05 - RITA APROVADA 14/05 - RITA NÃO FOI PRA EXAME POR 2X DECLINAMOS 19/05</t>
  </si>
  <si>
    <t>11 96026-2233</t>
  </si>
  <si>
    <t xml:space="preserve">CASSIA MONTEIRO OLIVEIRA - Não compareceu na integração e declinou da vaga excluimos o RE 914257 11.05.2026 // A candidata LILIANE ROMERA assumiu essa vaga, sendo feito a movimentação operacional pela mesa, pois estava alocada na vaga 30190 </t>
  </si>
  <si>
    <t>Indicação de amiga</t>
  </si>
  <si>
    <t>ROSEANE CARVALHO DA SILVA</t>
  </si>
  <si>
    <t>19 99178 1788</t>
  </si>
  <si>
    <t xml:space="preserve">PATRICIA ROBERTA DO PRADO </t>
  </si>
  <si>
    <t>19 98976 9825</t>
  </si>
  <si>
    <t xml:space="preserve">JAQUELINE DAMASIO BERNADINO </t>
  </si>
  <si>
    <t xml:space="preserve">ALANDI SILVA RODRIGUES </t>
  </si>
  <si>
    <t xml:space="preserve">data:21.05.26 - Canditada Natacha Taynan Caetano Barbosa Alves, desistiu da vaga como motivação não tendo com quem deixar os filhos pequenos.(Documentação estava "ok", Aso já estava agendado e integração programada). 27.05.2026 Candidato - Alandi Silsa Rodrigues, candidato declinou por ao não comparecer pela segunda vez ao curso e exame agendado, primeiro contato 12/05 (avisa apenas no dia agendado que não irá comparecer).-- DARIO CLEITON BALDIBIA, recrutadora declinou pois a carga horaria  não se alinhava com os horarios do ônibus. </t>
  </si>
  <si>
    <t>11 96600-7795</t>
  </si>
  <si>
    <t>ANDRESSA DE ANDRADE BORDIN TENORIO DOS SANTOS</t>
  </si>
  <si>
    <t>21/05 GILDECIO DE CARVALHOBALLEIRO FOI APROVADO (NÃO ENCAMINHOU OS DADOS)</t>
  </si>
  <si>
    <t xml:space="preserve">11 94370 8771 </t>
  </si>
  <si>
    <t xml:space="preserve">HUDSON PATRICK DE FREITAS </t>
  </si>
  <si>
    <t xml:space="preserve">20/05 - Declinou  ELVIS AARON FREDIANI </t>
  </si>
  <si>
    <t>AUXILIAR DE LIMPEZA (FEM/MASC)</t>
  </si>
  <si>
    <t>23/06 - VINICIUS DESISTIU - 25/06 - ADEILSON DESISTIU - 06/07 - DANIELA MIRANDA e 07/07 -MARIA FRANCISCA desistiu da vaga. - 16/07 - Rafael desistiu da vaga</t>
  </si>
  <si>
    <t>JAQUELINE FERREIRA DA CRUZ</t>
  </si>
  <si>
    <t>CANDIDATA VERA APROVADA 18/05 (Nathalya)|cand Joyce aprovada 02/06 e desistiu|</t>
  </si>
  <si>
    <t>whATSAPP</t>
  </si>
  <si>
    <t>11 91727-6942</t>
  </si>
  <si>
    <t>MARIA APARECIDA DE ARCANJO</t>
  </si>
  <si>
    <t>em 15.05 declinamos com a Jaqueline Aparecida Belarmino , por pendencia de documentos e Aso. Data: 18.05.26 Canditada: Vera Lucia de Aquino, não retornou as mensagens nem ligações não comparecendo no dia da integração(Aso e doc. ok) 08.06.2026 Candidata: JOYCE MENDES AUGUSTO  -  candidata desistiu da vaga relatando ter encontrado emprego mais próximo a sua residência (Já estava com ASO e  INTEGRAÇÃO agendados).</t>
  </si>
  <si>
    <t>21/05 - entrevista 20/05 Dinamara Fabricio (21/05 pesquisa Ok), porem informou hoje que quer conciliar (reprovada) / 25/05 - RODRIGO SANTOS NASCIMENTO (DECLINOU) / 26/05 Lucas Ferreira da Silva Reprovado atualmente trabalha e recicl. vence em out/26)</t>
  </si>
  <si>
    <t>19 98934-2495</t>
  </si>
  <si>
    <t>GRAZIELE DE SOUZA CREVELARIO</t>
  </si>
  <si>
    <t>Elisabete ap 13/05| CANDIDATA SEVERINA APROVADA PELA NATHALYA 22/05</t>
  </si>
  <si>
    <t>INDICAÇÃO SUPERVISORA CARLENE</t>
  </si>
  <si>
    <t>11 92650-4298</t>
  </si>
  <si>
    <t xml:space="preserve">SEVERINA ALZIRA DA SILVA </t>
  </si>
  <si>
    <t>+55 11 97480-4036</t>
  </si>
  <si>
    <t>SIMONICA DOS SANTOS BRITO</t>
  </si>
  <si>
    <t xml:space="preserve">ERIK FERREIRA VIANA </t>
  </si>
  <si>
    <t>EVELYN VITORIA DAMASCENA BARBOZA</t>
  </si>
  <si>
    <t xml:space="preserve">VALDINEIA DA SILVA DAS DORES </t>
  </si>
  <si>
    <t xml:space="preserve">ROSEANE FREITAS DA SILVA </t>
  </si>
  <si>
    <t>No dia de hoje 20/05/2026 - Com exame agendado, GABRIELLE CAMILY RAMOS DE ALMEIDA, não responde ligações e nem menssagens. // MARCIA APARECIDA LOPES DE PAULA - Candidata declinou do processo sem motivos dia 01.06</t>
  </si>
  <si>
    <t xml:space="preserve">LILIANE ALVES DE SOUSA ROMERA </t>
  </si>
  <si>
    <t xml:space="preserve">A candidata Liliane aceitou assumir a vaga do Resort Santa Angela, por esse fato a vaga 30164 esta em analise cancelamento </t>
  </si>
  <si>
    <t>+55 11 91273-9977</t>
  </si>
  <si>
    <t>LAUDI LIMA</t>
  </si>
  <si>
    <t>11 97501-7356</t>
  </si>
  <si>
    <t>ELIANE GONZAGA BATISTA</t>
  </si>
  <si>
    <t xml:space="preserve">MARIA ADALIA DA SILVA </t>
  </si>
  <si>
    <t>THAINA LIMA DE JESUS</t>
  </si>
  <si>
    <t xml:space="preserve">TAINA LIMA DE JESUS </t>
  </si>
  <si>
    <t>+55 11 98963-4896</t>
  </si>
  <si>
    <t>JESSICA CAROLINE DIAS DOS SANTOS</t>
  </si>
  <si>
    <t>CANDIDATA SOLANGE ENTREVISTA DIA 20/05 REPROVADA POR FALTA DE CONHECIMENTO COM INFORMÁTICA</t>
  </si>
  <si>
    <t>11 97458-3576</t>
  </si>
  <si>
    <t>MIRIA ALVES PEREIRA (VAGA NOVA 30517)</t>
  </si>
  <si>
    <t xml:space="preserve"> 19 98981-4527</t>
  </si>
  <si>
    <t>JESSICA CAROLINA DA COSTA</t>
  </si>
  <si>
    <t xml:space="preserve">Candidata Aparecida Farias declinou no dia da integração - 20/05 </t>
  </si>
  <si>
    <t>SABRINA DE ARAUJO SILVA</t>
  </si>
  <si>
    <t>No dia de hoje 19/05 FERNANDA DIAS PAVINI MECEDO, RE 914301 Desistiu de sair de seu vinculo empregatício atual, não comparecendo na integração. - aso  Sabrina agendado p/ 28/05 - Mapsafe - Cabreúva</t>
  </si>
  <si>
    <t>aSO AGENDADO 19.05</t>
  </si>
  <si>
    <t>REDES SOCIAIS</t>
  </si>
  <si>
    <t>CRISTIANE APARECIDA BUSSULA DOMINGUES</t>
  </si>
  <si>
    <t>ASO - agendado p/ 19.05</t>
  </si>
  <si>
    <t>CANDIDATO MARCOS APROVADO 22/05</t>
  </si>
  <si>
    <t>ANASTACIO RAIZZA BEMI</t>
  </si>
  <si>
    <t>Candidato Marcos declinado, pois não compareceu para integração por 2x</t>
  </si>
  <si>
    <t>Motivo posto já se encontra  completo  conforme solicitação da supervisora Roseli , já devidamente aprovada por ela.</t>
  </si>
  <si>
    <t>09/06/26</t>
  </si>
  <si>
    <t>19 99889 3682</t>
  </si>
  <si>
    <t xml:space="preserve">ANDRE COSTA SILVA </t>
  </si>
  <si>
    <r>
      <t xml:space="preserve">SUPERVISOR6 - FERISTA - SEGURANCA </t>
    </r>
    <r>
      <rPr>
        <b/>
        <sz val="11"/>
        <color rgb="FF000000"/>
        <rFont val="Calibri Light"/>
        <scheme val="major"/>
      </rPr>
      <t>(ARXADA SALTO)</t>
    </r>
  </si>
  <si>
    <t xml:space="preserve">19 97118 4431 </t>
  </si>
  <si>
    <t xml:space="preserve">ELISANGELA CRISTINA SANTOS DA SILVA </t>
  </si>
  <si>
    <t xml:space="preserve">Declinou MARTA APARECIDA GOMES NEGRÃO </t>
  </si>
  <si>
    <t>NICOLAS ROSSAFA PORTUGAL</t>
  </si>
  <si>
    <t>PAT JARINU</t>
  </si>
  <si>
    <t>MARILDA  BARBOSA DA CRUZ</t>
  </si>
  <si>
    <t xml:space="preserve">Conforme alinhado com a supervisora Thais, foi remanejada a colaboradora:,Cristina RE 914271 para o contrato do Montaltíssimo. Portanto, solicito o cancelamento da vaga 30251, por gentileza.  
</t>
  </si>
  <si>
    <t>28/05/26</t>
  </si>
  <si>
    <t>Desise enc. dia 15/05 p entrev op| Nathalia enc. dia 02/06 p entrev op| Cleriane encaminhada dia 03/06, quer supervisão| Ana Lucia enc. dia 05/06| Silvan aprovada 15/06  e desistiu|</t>
  </si>
  <si>
    <t>CAPTAÇÃO</t>
  </si>
  <si>
    <t>SILVAN ELIDA SANTOS, desistencia, não foi ao exame e não respondeu as tentativas de contato</t>
  </si>
  <si>
    <t>10/07/26</t>
  </si>
  <si>
    <t xml:space="preserve">VAGNER APARECIDO FERNANDES </t>
  </si>
  <si>
    <t>CARLOS EDUARDO FERREIRA DA CRUZ AGUIAR, não enviou documentação não foi ao exame médico. Sem retorno as tentativas de contato.</t>
  </si>
  <si>
    <t>Natah apriovado 12/06- declinio, muito enrolado| Carloine ap 19/06</t>
  </si>
  <si>
    <t xml:space="preserve">CAROLINE APARECIDA </t>
  </si>
  <si>
    <t xml:space="preserve">EM 26.05 declinamos com Iane Bezerra da Silva, pois não nos enviou o comprovante com dados bancários em tempo hábil para efetivar a contratação e não nos responde as mensagens--- NATHAN DA SILVA SOARES , diversos exames agendados e não compareceu em nem um. </t>
  </si>
  <si>
    <t xml:space="preserve">WHATSAPP </t>
  </si>
  <si>
    <t>+55 16 99613-4100</t>
  </si>
  <si>
    <t>SULECLEIDE DE SOUZA LIMA</t>
  </si>
  <si>
    <t>18.05 - Candidata declinou no dia da integração com a justificativa de problemas pessoais, estava em processo desde o dia 14.05 e foi pedido a exclusão do RE 145980 - A vaga 30285 da Serv, foi cancelada e aberta com outro número, vaga 30573</t>
  </si>
  <si>
    <t>Candidato Paulo aprovado 02/06</t>
  </si>
  <si>
    <t>11 91412-1799</t>
  </si>
  <si>
    <t xml:space="preserve">PAULO SERGIO ANZOLINI DOS SANTOS </t>
  </si>
  <si>
    <t>Candidato Moises desistiu da vaga no dia da integração dia 21/05 pois encontrou oportunidade melhor</t>
  </si>
  <si>
    <t>19 98143-8912</t>
  </si>
  <si>
    <t>JAQUELINE DOS SANTOS FELINTO</t>
  </si>
  <si>
    <t>WHATSAPP CURRICULO</t>
  </si>
  <si>
    <t>MARIA ALCILEIDE FERREIRA</t>
  </si>
  <si>
    <t>ROSEMEIRE DE GODOY</t>
  </si>
  <si>
    <t>26.05.26 Candidato THIAGO  FONTINELE declinou devido a falta de retorno através de mensagens e ligações, documentações pendentes (primeiro contato 21.05)</t>
  </si>
  <si>
    <t xml:space="preserve">LUCAS IANZ DA SILVA </t>
  </si>
  <si>
    <t xml:space="preserve">ELIANE  PEREIRA DA ROSA </t>
  </si>
  <si>
    <t>11 96407-6833</t>
  </si>
  <si>
    <t xml:space="preserve">MARIANA BERTO DE JESUS SANTOS </t>
  </si>
  <si>
    <t>CANDIDATA MELISSA EM ENTREVISTA 19/05 PORÉM NÃO POSSUI IDADE MINIMA PRA VAGA - CANDIDATA MARIA EM DVC 20/05 - CANDIDATA VIVIANE APROVADA 22/05</t>
  </si>
  <si>
    <t>11 97107-1690</t>
  </si>
  <si>
    <t>VIVIANE DOMINGOS DA SILVA</t>
  </si>
  <si>
    <t>CANDIDATA NAYARA APROVADA 25/05</t>
  </si>
  <si>
    <t>11 98021-0655</t>
  </si>
  <si>
    <t>NAYARA SANTOS DA SILVA, não compareceu no exame do dia 26/05 e no dia 27/05 também não! A recrutadora me comunicou que a vaga foi cancelada.</t>
  </si>
  <si>
    <t>+55 11 99007-1663</t>
  </si>
  <si>
    <t>ADRIANO DOUGLAS RUFINO</t>
  </si>
  <si>
    <t>ANA CAROLINA</t>
  </si>
  <si>
    <t>VIVIANE APARECIDA FROES GONÇALVES , Não compareceu a integração e não respondeu a nem uma tentativa de contato. RE exluido . 05.06 Candidata MICHELE DE JESUS NASCIMENTO, não compareceu ao Aso e integração após dois agendamentos, bloquou recrutadora no whatsapp.</t>
  </si>
  <si>
    <t>-- GEOVANA THALITA, sem retorno as tentativas de contato. declinamos no processo no dia de hoje 11/06</t>
  </si>
  <si>
    <t>Data:21.05.26 - Canditada Natacha Taynan Caetano Barbosa Alves, desistiu da vaga como motivação não tendo com quem deixar os filhos pequenos.(Documentação estava "ok", Aso já estava agendado e integração programada).--CONCILDA ALVES DE MELO, Documentos enviados, não compareceu no exame e declinou da vaga por motivo de saúde do neto que tem a guarda legal. CANDIDATA: SHEILA ANHOLOM, declinou dia 17.06 após não responder mensagens, ligações e não comparecer no Aso. - Em 29.06 Karina Crstina Dota desistiu da vaga, pois arrumou outro trabalho-----JULIANA LUCIA PEREIRA, sem retorno.</t>
  </si>
  <si>
    <t>18/05 - Adriana preferiu a vaga da Fulwood por ser mais perto| 27/08 Pamela aprovada|</t>
  </si>
  <si>
    <t>Pandapé</t>
  </si>
  <si>
    <t>CARMEN FELIX</t>
  </si>
  <si>
    <t>Aso agendado para 18.06</t>
  </si>
  <si>
    <t>INDICAÇÃO AMIGA</t>
  </si>
  <si>
    <t>MARIA GRAZIELA DE LIRA</t>
  </si>
  <si>
    <t>Reagendada, não conseguiu ir dia 01/07, se perdeu no trajeto</t>
  </si>
  <si>
    <t xml:space="preserve"> 11 99293-9145</t>
  </si>
  <si>
    <t>JOCILENE SANTOS</t>
  </si>
  <si>
    <t>ROBSON DA SILVA VERDELHO - Remarcado exame por 2x , não cmpareceu na NR e não enviou documentos. No dia de hoje 25/05 disse que apareceu uma proposta perto de sua casa.  10.06.2026 Canditado MARCOS VINICIUS GARCIA ARAUJO DE ALMEIDA desistiu da vaga durante a integração devido a problemas pessoais.</t>
  </si>
  <si>
    <t xml:space="preserve">SAULO MARTINS SANTOS </t>
  </si>
  <si>
    <t>Candidata aprovada e enviada para documentadora Beatriz em 26/05/2026</t>
  </si>
  <si>
    <t xml:space="preserve">JULIA FERNANDES DE SOUZA SANTOS - Desistiu por conta da distancia  </t>
  </si>
  <si>
    <t xml:space="preserve">Celso aprovado 23/06| Carlos ap 10/07 mas declinou foi p vaga da Andreia| Julio aprovado 14/07 E DECLINOU| </t>
  </si>
  <si>
    <t xml:space="preserve">LUIZ GUSTAVO GAMA DA SILVA </t>
  </si>
  <si>
    <t>09.06.2026 CESAR FERNANDO DA SILVA, candidato não compareceu ao exame médico por 2x, sem envio da documentação  completa, sem retorno por mensagem e ligação.CANDIDATO CELSO CANDIDO PEDROSO, declinou em 24/06/2026 informando apenas que estaria desistindo da vaga (não compareceu ao ASO agendado).</t>
  </si>
  <si>
    <t xml:space="preserve">19 99243 6730 </t>
  </si>
  <si>
    <t xml:space="preserve">SARA APARECIDA DOS SANTOS </t>
  </si>
  <si>
    <t>EM PROCESSO SELETIVO/ENTREVISTA COM CLIENTE</t>
  </si>
  <si>
    <t>CANDIDATA JOYCE APROVADA 21/05</t>
  </si>
  <si>
    <t>INDICAÇÃO MAIARA</t>
  </si>
  <si>
    <t>11 95826-6056</t>
  </si>
  <si>
    <t>JOYCE NUNES DA SILVA</t>
  </si>
  <si>
    <t>Vaga foi aberta para substituir uma colaboradora que iria pedir as contas, foi cancelada pelo Souza via TEAMS em 21/5</t>
  </si>
  <si>
    <t>26/05 - Maria Elena de Araujo (51 anos/PAT/Sem exp informatica)</t>
  </si>
  <si>
    <t>19 99717 9109</t>
  </si>
  <si>
    <t xml:space="preserve">ALICIA SASKIA OLIVEIRA RODRIGUES </t>
  </si>
  <si>
    <t>SIDNEY FERREIRA DE SOUZA RAMOS</t>
  </si>
  <si>
    <t>CANDIDATO ALYSSON APROVADO 18/05 (Nathalya)</t>
  </si>
  <si>
    <t>PAT</t>
  </si>
  <si>
    <t>11 93773-2895</t>
  </si>
  <si>
    <t xml:space="preserve">LANA MARIA DA SILVA </t>
  </si>
  <si>
    <t>ALYSSON DIEGO GOMES DE MORAES - Processo recebido 18.05, porém funcionário não respondeu durante 2 dias e no dia 20.05 informou que iria passar a oportunidade</t>
  </si>
  <si>
    <t>19/06/26</t>
  </si>
  <si>
    <t>CANDIDATA REGIANE APROVADA 18/05, CANDIDATA KETLEEN PAROU DE RESPONDER 27/05, CANDIDATA ANTONIA DECLINOU 28/05 - Candidata Adriana aprovada 29/05</t>
  </si>
  <si>
    <t>11 93323-8997</t>
  </si>
  <si>
    <t>ADRIANA XAVIER</t>
  </si>
  <si>
    <t>Candidatada Regiane de Siqueira Nascimento, aprovada no processo aceitou a vaga 18/05 e durante processo de ASO não responde mais msg , sendo assim declinamos o processo dia 21.05 //  ANTONIA MARÇASL DOS SANTOS RAMOS - Conseguiu outro trabalho 5x2 28.05</t>
  </si>
  <si>
    <t>INDICAÇÃO CRISTIANE</t>
  </si>
  <si>
    <t>MARIA JOSE DA SILVA</t>
  </si>
  <si>
    <t>CANDIDATA MARCELA EM DVC 22/05 - CANDIDATA APROVADA 25/05</t>
  </si>
  <si>
    <t>11 94261-2889</t>
  </si>
  <si>
    <t xml:space="preserve">CAROLINE ADRIENE SILVANO </t>
  </si>
  <si>
    <t>27.05.26 - Candidata Marcela Tabita de Oliveira, primero contato no dia 25.05 mandando apenas algumas documentações, após o envio não tivemos mais retorno através de mensagens e ligações. Em 27.05 enviou apenas não querer mais a vaga, foi questionado o motivo mas também não obtivemos resposta. 28.05.2026 - Candidata Ana Beatriz de Sousa e Silva, declinou após enviar alguns documentos no primeiro contato e informar que não havia mais interesse na vaga por questões de locomoção. 29.05.26 - Candidata Ketellen Bianca Machado Lopes, enviou toda documentação, porem não compareceu aos dois agendamentos de exame e integração, sem retorno por mensagem e ligação.</t>
  </si>
  <si>
    <t xml:space="preserve">ISABELA NATALY MARQUS DE SOUZA </t>
  </si>
  <si>
    <t>FACEBBOK</t>
  </si>
  <si>
    <t xml:space="preserve">HENZO GABRIEL SANTOS OLIVEIRA </t>
  </si>
  <si>
    <t>ISABELA NATALY  MARQUES DE SOUZA - Não veio na integração dia 18/05/21/05</t>
  </si>
  <si>
    <t>CANDIDATA SUELI desistiu| Edinalva cand Geovan|</t>
  </si>
  <si>
    <t>whatsapp</t>
  </si>
  <si>
    <t>EDINALVA DE SOUSA SILVA</t>
  </si>
  <si>
    <t>em 27.05 Sueli aparecida dos sAntos declino, pois encontrou um trabalho mais próximo da casa dela</t>
  </si>
  <si>
    <t>CANDIDATA DANIELY EM DVC 22/05, CANDIDATA DESISTIU 26/05</t>
  </si>
  <si>
    <t xml:space="preserve"> 11 91258-7089</t>
  </si>
  <si>
    <t>ANA CAROLINA MONTEIRO</t>
  </si>
  <si>
    <t xml:space="preserve">DANIELLY LEITE SANTANA - Desistencia, conseguiu algo mais perto. </t>
  </si>
  <si>
    <t>CANDIDATO RONALDO EM DVC 19/05, CANDIDATOU PAROU DE RESPONDER - CANDIDATA ROSANGELA EM ENTREVISTA COM O SUPERVISOR REPROVADA 28/05 POR NÃO POSSUIR VEICULO PROPRIO - Candidata Elaine em dvc 29/05 vai comparecer para realizar palográfico</t>
  </si>
  <si>
    <t>11 91362-9315</t>
  </si>
  <si>
    <t>ELAINE DE LIMA MACEDO</t>
  </si>
  <si>
    <t>11 97667-5206</t>
  </si>
  <si>
    <t>REJILANY RODRIGUES DA SILVA</t>
  </si>
  <si>
    <t>CANDIDATOS EM ENTREVISTA COM A SUPERVISORA MAIARA 15/05 - CANDIDATO FERNANDO APROVADO 19/05, NÃO COMPARECEU PRA EXAME - CANDIDATO EDILSON APROVADO PELO CLIENTE 25/05</t>
  </si>
  <si>
    <t>INDICAÇÃO CLIENTE</t>
  </si>
  <si>
    <t xml:space="preserve"> 11 97831-8414
</t>
  </si>
  <si>
    <t>EDILSON DOS SANTOS ALVES</t>
  </si>
  <si>
    <t>CANDIDATO FERNANDO ODRIGO DA SILVA, NÃO COMPARECEU PARA ASO POR 2X E NÃO REALIZOU A NR NA DATA AGENDADA</t>
  </si>
  <si>
    <t>Redes Sociais</t>
  </si>
  <si>
    <t>WINE MELO DOS SANTOS MOTA</t>
  </si>
  <si>
    <t>+55 15 99190-5142</t>
  </si>
  <si>
    <t>CLAUDIONOR FERNANDES DA SILVA</t>
  </si>
  <si>
    <t>08:20H - 05:00 - 14:20 C/ 1H INTERV (6:00 ás 14:20)</t>
  </si>
  <si>
    <t>12/06 - LARISSA PINHEIRO DE SOUZA desistiu da vaga</t>
  </si>
  <si>
    <t>INDICAÇÃO LIDER MARIA</t>
  </si>
  <si>
    <t>CINTIA BENEDITO NASCIMENTO</t>
  </si>
  <si>
    <t>Exame 26/06 -30/06 - Aguardando ASO</t>
  </si>
  <si>
    <t>INDICAÇÃO ISAIAS - RE: 912961</t>
  </si>
  <si>
    <t>PAULO HENRIQUE VIOTI</t>
  </si>
  <si>
    <t>CANDIDATA DEBORA APROVADA 25/05</t>
  </si>
  <si>
    <t>INDICAÇÃO SUPERVISORA ADRIANA</t>
  </si>
  <si>
    <t>1193733-2744</t>
  </si>
  <si>
    <t>DEBORA ROMAO AMARAL</t>
  </si>
  <si>
    <t>Processo de promoção</t>
  </si>
  <si>
    <t>promoção</t>
  </si>
  <si>
    <t>CRISTIANE COELHO DA SILVA MOREIRA</t>
  </si>
  <si>
    <r>
      <t xml:space="preserve">AUXILIAR DE SERVIÇOS GERAIS </t>
    </r>
    <r>
      <rPr>
        <b/>
        <sz val="11"/>
        <color theme="1"/>
        <rFont val="Calibri Light"/>
        <family val="2"/>
        <scheme val="major"/>
      </rPr>
      <t>(com CNH B)</t>
    </r>
  </si>
  <si>
    <t>22/06 - Alexandra desistiu da vaga - 03/07 - GILMAR MARIANO - 06/07 - Eduardo de Jesus, desistiu da vaga.</t>
  </si>
  <si>
    <t>HENRIQUE OLLINDINO DO AMARAL</t>
  </si>
  <si>
    <t>Exame: 22/07</t>
  </si>
  <si>
    <t xml:space="preserve">CANDIDATA ANA PAULA 25/05 APROVADA, CANDIDATA DESISTIU 26/05 - CANDIDATA LAUDICEIA APROVADA 26/05 | cand Silvana aprovada 28/05 </t>
  </si>
  <si>
    <t>119 2250-3158</t>
  </si>
  <si>
    <t>SILVANA MARIA DA SILVA</t>
  </si>
  <si>
    <t>27.05.26 Candidata Laudiceia Rangel dos Reis de Oliveira - Primeiro contato 26.05, não havendo retorno, em 27.05 declinou após ligação informou que não possui mais interesse pela vaga.</t>
  </si>
  <si>
    <t>19 99303 6942</t>
  </si>
  <si>
    <t xml:space="preserve">PRISCILLA PESSOA URBANO </t>
  </si>
  <si>
    <t>CANDIDATA JESSICA APROVADA 18/05</t>
  </si>
  <si>
    <t>INDIQUE UM AMIGO RE 914023</t>
  </si>
  <si>
    <t xml:space="preserve"> 19 99168-5114</t>
  </si>
  <si>
    <t>JESSICA FERNANDES DE LIMA</t>
  </si>
  <si>
    <r>
      <t xml:space="preserve">Solicito o cancelamento da vaga: </t>
    </r>
    <r>
      <rPr>
        <b/>
        <sz val="8"/>
        <color theme="1"/>
        <rFont val="Calibri Light"/>
        <scheme val="major"/>
      </rPr>
      <t>30333</t>
    </r>
    <r>
      <rPr>
        <sz val="8"/>
        <color theme="1"/>
        <rFont val="Calibri Light"/>
        <scheme val="major"/>
      </rPr>
      <t xml:space="preserve"> – VISTA PARK, a pedido da Supervisora Carlene que não irá mais realizar devida substituição.</t>
    </r>
  </si>
  <si>
    <t xml:space="preserve">indicação do supervisor aguradndo RG do candidato </t>
  </si>
  <si>
    <t xml:space="preserve">19 99502  5739 </t>
  </si>
  <si>
    <t xml:space="preserve">IANDRA  EMILY DAMASIO </t>
  </si>
  <si>
    <t xml:space="preserve">Declinou MARIA EDUARDA NASCIMENTO DOS SANTOS  Declinou IANDRA EMILLY DAMASIO DE PAULA </t>
  </si>
  <si>
    <t>CANDIDATA ANA APROVADA 21/05</t>
  </si>
  <si>
    <t>11 94764-7079</t>
  </si>
  <si>
    <t xml:space="preserve">PATRICIA </t>
  </si>
  <si>
    <t>ANA CAROLINA DA SILVA MATEUS</t>
  </si>
  <si>
    <t xml:space="preserve">82 8163 7646 </t>
  </si>
  <si>
    <t xml:space="preserve">LUCIANO JOSÉ DA SILVA </t>
  </si>
  <si>
    <t xml:space="preserve"> 19 99335-4245</t>
  </si>
  <si>
    <t>EDJANE PEREIRA DA SILVA</t>
  </si>
  <si>
    <t>+55 11 96905-3854</t>
  </si>
  <si>
    <t xml:space="preserve">WALLACE XAVIER DE ALMEIDA </t>
  </si>
  <si>
    <t>19 98216-7625</t>
  </si>
  <si>
    <t>JUSSARA PEREIRA BASTOS</t>
  </si>
  <si>
    <t>19 99004 4303</t>
  </si>
  <si>
    <t xml:space="preserve">ANA JULIA SOUZA DE ALMEIDA </t>
  </si>
  <si>
    <t>21/05 -  LEVI ALEXANDRE DECLINOU - 21/05 maruricio rodrigues da silva (reprovado pesquisa)</t>
  </si>
  <si>
    <t>11 96598-4417</t>
  </si>
  <si>
    <t>RYAN PABLO RAMOS</t>
  </si>
  <si>
    <t>21/05 - declinou LEVI ALEXANDRE EZEQUIEL DA CUNHA</t>
  </si>
  <si>
    <t>INDICAÇÃO SINDICA</t>
  </si>
  <si>
    <t>MARCO ANTONIO DA SILVA</t>
  </si>
  <si>
    <t>em 03.06 Renan Cesar Honório desistiu da vaga - em 16.06 declinamos com o candidato Moroni Marques, pois não está com a documentação completa</t>
  </si>
  <si>
    <r>
      <t xml:space="preserve">AUXILIAR DE SERVIÇOS GERAIS </t>
    </r>
    <r>
      <rPr>
        <b/>
        <sz val="11"/>
        <color rgb="FF000000"/>
        <rFont val="Calibri Light"/>
        <scheme val="major"/>
      </rPr>
      <t>(MASCULINO)</t>
    </r>
  </si>
  <si>
    <t>17/06 - Kelly fará remanejamento operacional</t>
  </si>
  <si>
    <t>17/06/26</t>
  </si>
  <si>
    <t>DAMIANA PEREIRA DA CUNHA</t>
  </si>
  <si>
    <t>19 99430-1114</t>
  </si>
  <si>
    <t>JOAO FERNANDO MATHEUS</t>
  </si>
  <si>
    <t>02/06 - JILIELA SANTANA - desistiu da vaga</t>
  </si>
  <si>
    <t>grupo watsapp</t>
  </si>
  <si>
    <t>11 99914-2907</t>
  </si>
  <si>
    <t>THAYS URSULINA SANTANA</t>
  </si>
  <si>
    <t>+55 11 99176-4343</t>
  </si>
  <si>
    <t>26/05/26</t>
  </si>
  <si>
    <t xml:space="preserve">JESSICA BARBOSA DOS SANTOS </t>
  </si>
  <si>
    <t xml:space="preserve">MIGUEL JESUS ARREDONDO ARENCIBA - Candidato declinou pois encontrou outra oportunidade dia 21.05 // ANNA CAROLINA LIMA CALIXTO - Declinou no dia da integração 26.05 pois encontrou outra oportunidade </t>
  </si>
  <si>
    <t>Cancelada pela Kelly e Souza, mudou beneficio</t>
  </si>
  <si>
    <t>WATSAPP</t>
  </si>
  <si>
    <t>BEATRIZ DA CONCEICAO DA SILVA</t>
  </si>
  <si>
    <t>18/06 - Kelly informou que o colaborador não será mais desligado.</t>
  </si>
  <si>
    <t>18/06/26</t>
  </si>
  <si>
    <t xml:space="preserve"> 11 94503-4291</t>
  </si>
  <si>
    <t xml:space="preserve">ANA CAROLINA DE SOUSA GUILHERME </t>
  </si>
  <si>
    <t>em 29.05 declinamos com a Sueli dos Santos Carvalhos, por falta de envio dos documentos. 10.06.2026 Candidata SABRINA EUZEBIO GONÇALVES, não realizou ASO por 2x e também não compareceu na integração, sem retornos nas mensagens e ligações.</t>
  </si>
  <si>
    <t>+55 11 99437-4619</t>
  </si>
  <si>
    <t xml:space="preserve">REBECA DE MOURA AMARO OLIVEIRA </t>
  </si>
  <si>
    <t>CONVERGINT TECHNOLOGIES</t>
  </si>
  <si>
    <t>18/05 - Rosangela Santos em documentação</t>
  </si>
  <si>
    <t>INDICAÇÃO FÁTIMA, FALTA RE</t>
  </si>
  <si>
    <t>ROSANGELA SANTOS DE OLIVEIRA</t>
  </si>
  <si>
    <t>DPA PRODUTOS AUTOMOBILISTICOS LTDA</t>
  </si>
  <si>
    <t>+55 11 99582-4004</t>
  </si>
  <si>
    <t>MARIA LEONILIA</t>
  </si>
  <si>
    <r>
      <t>AUXILIAR DE SERVIÇOS GERAIS</t>
    </r>
    <r>
      <rPr>
        <b/>
        <sz val="11"/>
        <color rgb="FF000000"/>
        <rFont val="Calibri Light"/>
        <scheme val="major"/>
      </rPr>
      <t>(MASCULINO)</t>
    </r>
  </si>
  <si>
    <t>FAN TECHNOLOGY RESOURCES - SOROCABA</t>
  </si>
  <si>
    <t>INDICAÇÃO MARY - RE 144795</t>
  </si>
  <si>
    <t>JOSE GILVAN DIAS DA SILVA</t>
  </si>
  <si>
    <t>15/06 - Kelly solicitou cancelamento, colaborador melhorou sua performance</t>
  </si>
  <si>
    <t>Solicitação Supervisor Kelly</t>
  </si>
  <si>
    <t>15/06</t>
  </si>
  <si>
    <t>MASTER CARGAS BRASIL</t>
  </si>
  <si>
    <t>08:20H - 14:40 - 23:00 C/ 1H INTERV</t>
  </si>
  <si>
    <t>INDICAÇÃO RITA CLIENTE</t>
  </si>
  <si>
    <t>LUCIANA DE OLIVEIRA SANTOS</t>
  </si>
  <si>
    <t>Indicação Carla Regiane</t>
  </si>
  <si>
    <t>NUBIA MARIA DA SILVA</t>
  </si>
  <si>
    <t>Essa vaga será cancelada e aberta com horario correto - Kelly enviou email</t>
  </si>
  <si>
    <t>INDICAÇÃO PATRICIA MARIA - RE: 145769</t>
  </si>
  <si>
    <t>CINTHIA CRISTINA SANTOS CANDEIAS</t>
  </si>
  <si>
    <t>02/06 - Jose Lucas, desistiu da vaga</t>
  </si>
  <si>
    <t>ISAQUE JOCTA FIGUEIREDO REMIGIO</t>
  </si>
  <si>
    <t>Indicação Supervisor</t>
  </si>
  <si>
    <t>FLAVIO SILVA SANTOS</t>
  </si>
  <si>
    <t>UNICHARM</t>
  </si>
  <si>
    <t>JAGUARIÚNA</t>
  </si>
  <si>
    <t>19 99899 9895</t>
  </si>
  <si>
    <t xml:space="preserve">JOÃO PAULO SPOSITO </t>
  </si>
  <si>
    <t xml:space="preserve">RAMATHIES RAMIRES MARTINS DE SOUZA </t>
  </si>
  <si>
    <t>CANDIDATO: VALTER DE BRITO JUNIOR  declinou em 12/06, alegando que teve um proposta melhor de emprego. CANDIDATO ALTAIR MENDES, desistiu da vaga em 24/06/2026 relatando ter recebido uma nova proposta de emprego.</t>
  </si>
  <si>
    <r>
      <t xml:space="preserve">VIGILANTE </t>
    </r>
    <r>
      <rPr>
        <b/>
        <sz val="11"/>
        <color rgb="FF000000"/>
        <rFont val="Calibri Light"/>
        <scheme val="major"/>
      </rPr>
      <t>(FEM)</t>
    </r>
  </si>
  <si>
    <t>Qualquer plantão</t>
  </si>
  <si>
    <t>SINE SOROCABA</t>
  </si>
  <si>
    <t>SIMONE MACHADO DE ALMEIDA</t>
  </si>
  <si>
    <t>ANTONIA JOSINAGILA ALEXANDRE</t>
  </si>
  <si>
    <t>Qualquer plantão (01/06 - Rosa Maria desistiu da vaga)</t>
  </si>
  <si>
    <t>ALINE SILVA</t>
  </si>
  <si>
    <t>JANAINA DA SILVA FIRMINO PADILHA</t>
  </si>
  <si>
    <r>
      <t xml:space="preserve">VIGILANTE </t>
    </r>
    <r>
      <rPr>
        <b/>
        <sz val="11"/>
        <color rgb="FF000000"/>
        <rFont val="Calibri Light"/>
        <scheme val="major"/>
      </rPr>
      <t>(MASC)</t>
    </r>
  </si>
  <si>
    <t>Diurno impar</t>
  </si>
  <si>
    <t>PETTER MIGUEL DE MORAES</t>
  </si>
  <si>
    <t>RICARDO MARTINS DE SOUZA MOCCI</t>
  </si>
  <si>
    <r>
      <t xml:space="preserve">VIGILANTE </t>
    </r>
    <r>
      <rPr>
        <b/>
        <sz val="11"/>
        <color rgb="FF000000"/>
        <rFont val="Calibri Light"/>
        <scheme val="major"/>
      </rPr>
      <t>(MASC/FEM)</t>
    </r>
  </si>
  <si>
    <t>AILTON FERNANDES DA CRUZ PEREIRA</t>
  </si>
  <si>
    <t>CESAR FERRAZ</t>
  </si>
  <si>
    <t>Noturno impar (Junho)</t>
  </si>
  <si>
    <t>EVERTON FRANCISCO DA SILVA</t>
  </si>
  <si>
    <t>Noturno par (Junho)</t>
  </si>
  <si>
    <t>DIEGO RIBEIRO DA CRUZ</t>
  </si>
  <si>
    <t>Noturno impar (Junho) - *Juliano não vai mais usar um Vigilante Ferista para efetivar*</t>
  </si>
  <si>
    <t>15 99815-5224</t>
  </si>
  <si>
    <t>VICTOR GRAZZIANE LISBOA DE CAMARGO</t>
  </si>
  <si>
    <t>em 02.06 Clayton Caetano da Silva declinou</t>
  </si>
  <si>
    <t>1598107-1186</t>
  </si>
  <si>
    <t>MONICA XAVIER DA SILVA</t>
  </si>
  <si>
    <t>FERNANDO APARECIDO BOSCOA</t>
  </si>
  <si>
    <t>JOELMA FRANCINE RODRIGUES DE OLIVEIRA</t>
  </si>
  <si>
    <t>em 28.05 declinamos com o Valdir Alves de Lima, pois encontrou outro trabalho - ASO Joelma agendado para 01.06</t>
  </si>
  <si>
    <t>11 97702-0590</t>
  </si>
  <si>
    <t xml:space="preserve">MARIO JOAO DA SILVA </t>
  </si>
  <si>
    <t>em 01.06 Francisco de Almeida Lima, desitiu da vaga, por ser fora de mão e não possui veículo próprio</t>
  </si>
  <si>
    <t>15 99143-6562</t>
  </si>
  <si>
    <t>ORLANDO DE SOUZA PEREIRA</t>
  </si>
  <si>
    <t>em 01.06 declinamos com a Claudinéia aparecida da Silva, pois ela irá copncliliar e nao consegue no posto noturno</t>
  </si>
  <si>
    <r>
      <t xml:space="preserve">VIGILANTE OP MONIT ELETRONICO </t>
    </r>
    <r>
      <rPr>
        <b/>
        <sz val="11"/>
        <color rgb="FF000000"/>
        <rFont val="Calibri Light"/>
        <scheme val="major"/>
      </rPr>
      <t>(FEM)</t>
    </r>
  </si>
  <si>
    <t>JENIFER PENHA DA SILVA</t>
  </si>
  <si>
    <t>Diurno qualquer escala</t>
  </si>
  <si>
    <t>BRUNA JENIFER VICENTE EGYDIO</t>
  </si>
  <si>
    <t>FABIANA FERNANDES DE FREITAS</t>
  </si>
  <si>
    <t>02/06 - Juliano confirmou que irá fazer uma transferência operacional</t>
  </si>
  <si>
    <t>Aprovado Prates nesta Data</t>
  </si>
  <si>
    <t>Candidato Himá reprovado no DVC por tráfico de entorpecentes</t>
  </si>
  <si>
    <t>Agencia</t>
  </si>
  <si>
    <t>1191414-5936</t>
  </si>
  <si>
    <t>RODRIGO MORAES DE SOUZA</t>
  </si>
  <si>
    <t>Candidata Marina não realizou o envio das docs e o aso deu alterado a pressão/ Candidata Patrícia não dá retorno</t>
  </si>
  <si>
    <t>Whastapp</t>
  </si>
  <si>
    <t xml:space="preserve">INGRID MARIANA DOS SANTOS </t>
  </si>
  <si>
    <t xml:space="preserve">MARINA POVO PAVAM, foi realizar o exame, porém deu inapto devido a pressão alta. Remarcado para sexta 29/05. A mesma Foi declinada por não enviar nem um documento, sendo solicitado por diversas x. --- PATRICIA DE ARAUJO SILVA, reagendado exame por 2x e a mesma não comparece! Sem retorno no momento, e dessa forma Amanda decide por declinar com a candidata.--MARIA DO SOCORRO, diversas tentativas de contato, sem sucesso. ---- ROSANGELA MARIA BALDO ASSIS DOS SANTOS - Declinamos o processo por falta de retorno ------ BRUNA CRISTINA ORTEGA DA SILVA - Declinamos do processo pois parou de responder, a documentação já estava completa faltava apenas exame e integração  --------- STEFFANNY KAROLINE ARAUJO GUSMAO - Declinamos do processo por não comparecimento na integração após dois agendamentos  - Em 06.07 declinamos com Carolayne de Jesus Rabello, pois não recebemos os documentos e nao fez exame admissional
 </t>
  </si>
  <si>
    <t xml:space="preserve">19 99990 9028 </t>
  </si>
  <si>
    <t xml:space="preserve"> 🚨 EXAME ADMISSIONAL - CLÍNICA ITA OCUPACIONAL 🚨</t>
  </si>
  <si>
    <t xml:space="preserve">INDICAÇÃO DO CLIENTE </t>
  </si>
  <si>
    <t>📅 Data: 01/06</t>
  </si>
  <si>
    <t>SONIA MARIA BEZERRA</t>
  </si>
  <si>
    <t>Cesar aprovado 29/05</t>
  </si>
  <si>
    <t>pandapé</t>
  </si>
  <si>
    <t xml:space="preserve">JOÃO BATISTA LOPES </t>
  </si>
  <si>
    <t>02.06.2026 Candidato - CESAR FERNANDO DA SILVA, Primeiro contato em 29.05 solicitando documentação, só realizou o envio do RG  e Reservista, não havendo retorno mais por ligações nem por mensagens.</t>
  </si>
  <si>
    <t xml:space="preserve">RITA </t>
  </si>
  <si>
    <t xml:space="preserve">DANIEL SIMPLICIO DA SILVA </t>
  </si>
  <si>
    <t xml:space="preserve">WAGNER DIONISIO, não foi ao exame e não respondeu. -- ALEXANDRO REIS - Declinamos do processo </t>
  </si>
  <si>
    <t>12H-06:00-18:00 C/ INT SEG-SEX S/INT SDF</t>
  </si>
  <si>
    <t>EVELLYN LIMA DE SOUSA CONCEIÇÃO</t>
  </si>
  <si>
    <t>ASO - agendo p/ 02/06 - Lino Santana de Parnaíba</t>
  </si>
  <si>
    <t>ALEXANDRE LEANDRO DA SILVA</t>
  </si>
  <si>
    <t>JHONATAN MARCOS MACHADO RIBEIRO</t>
  </si>
  <si>
    <r>
      <t xml:space="preserve">AUXILIAR DE LIMPEZA </t>
    </r>
    <r>
      <rPr>
        <b/>
        <sz val="11"/>
        <color theme="1"/>
        <rFont val="Calibri Light"/>
        <family val="2"/>
        <scheme val="major"/>
      </rPr>
      <t>(MASCULINO)</t>
    </r>
  </si>
  <si>
    <t>LENIVAL BARBOSA DE JESUS</t>
  </si>
  <si>
    <t>ALLERGISA (Liberdade)</t>
  </si>
  <si>
    <t>09:48H - 07:30 - 17:18 C/ 1H INTERV</t>
  </si>
  <si>
    <t>06/07 - JESSICA NAYARA, DP não aceitou copía do RG e CNH</t>
  </si>
  <si>
    <t>GABRIELLY NOVAES TAVEIRA</t>
  </si>
  <si>
    <t>JONATHAN FELIPE LARA DOS SANTOS</t>
  </si>
  <si>
    <t xml:space="preserve">INDICAÇÃO SUP. MIGUEL </t>
  </si>
  <si>
    <t xml:space="preserve">ANA CARLA DA SILVA </t>
  </si>
  <si>
    <t>ASO-  reagendando para 27.05</t>
  </si>
  <si>
    <t>ANA LUCIA PEDROSO</t>
  </si>
  <si>
    <t>BARBI DO BRASIL</t>
  </si>
  <si>
    <t xml:space="preserve">Solicitação da Inspetora pois houve remanejamento operacional </t>
  </si>
  <si>
    <t>19 99279 6175</t>
  </si>
  <si>
    <t xml:space="preserve">TATIANA CRISTINA DE MORAES DE SOUZA </t>
  </si>
  <si>
    <t>19 99397 3483</t>
  </si>
  <si>
    <t xml:space="preserve">GILMARA APARECIDA DE SOUZA </t>
  </si>
  <si>
    <t>CLIS SALTO</t>
  </si>
  <si>
    <t>11 97439-5728</t>
  </si>
  <si>
    <t>CAROLINE DOS REIS BRANDAO</t>
  </si>
  <si>
    <t>11 94149 7152</t>
  </si>
  <si>
    <t xml:space="preserve">OTONIEL SOBRINHO DOS SANTOS </t>
  </si>
  <si>
    <t xml:space="preserve">Declinou WELLINGTON ADALCIO ALVES </t>
  </si>
  <si>
    <t>GILMAR SIMOES</t>
  </si>
  <si>
    <t>08:20H - 13:20 - 21:40 C/ 1H INT</t>
  </si>
  <si>
    <t xml:space="preserve">SELMA REGINA SOUZA </t>
  </si>
  <si>
    <t>JULIA</t>
  </si>
  <si>
    <t xml:space="preserve">CLAUDIA  SANTOS DE OLIVEIRA </t>
  </si>
  <si>
    <t>KSB BRASIL - UNID. JUNDIAI</t>
  </si>
  <si>
    <t>ALISSON HENRIQUE GONÇALVES PEREIRA</t>
  </si>
  <si>
    <t>Em 26.05 declinamos com Alisson henrique Gonçalves Pereira, pois não enviou os documentos e não responde as mensagens</t>
  </si>
  <si>
    <t>+55 11 96645-3812</t>
  </si>
  <si>
    <t>GABRIEL SILVA DA CONCEIÇÃO</t>
  </si>
  <si>
    <t>DIA SIM DIA NÃO</t>
  </si>
  <si>
    <t>SIBELCO</t>
  </si>
  <si>
    <t>25/06/26</t>
  </si>
  <si>
    <t>JEHNNY  SILVA CAMPOS CARVALHO</t>
  </si>
  <si>
    <t>+55 11 97846-6888</t>
  </si>
  <si>
    <t>PALOMA VASCONCELOS MENEZES</t>
  </si>
  <si>
    <t>06/05/26</t>
  </si>
  <si>
    <t>JARDINEIRO 8</t>
  </si>
  <si>
    <t>DANIEL FRANCISTO SILVINO</t>
  </si>
  <si>
    <t>19 98137-5405</t>
  </si>
  <si>
    <t>ANTONIA RAQUEL DOS SANTOS RIBEIRO</t>
  </si>
  <si>
    <t>Declinou MARIA RUTE BRASILIO DA SILVA - 03/06 CUSTODIA PEREIRA DA SILVA declinou / 08/06 declinou JOANA DARC DONIZETTI CABRAL</t>
  </si>
  <si>
    <t xml:space="preserve">Candidato Luiz foi aprovado, porém parou de responder dia 16/06 </t>
  </si>
  <si>
    <t>11 93256-3747</t>
  </si>
  <si>
    <t>ANDREI EDUARDO DE SOUZA COSTA</t>
  </si>
  <si>
    <t>Candidato Luiz parou de responder, não atende as ligações, desde o dia 16/06, considerando assim como desistente</t>
  </si>
  <si>
    <t xml:space="preserve"> BEATRIZ NARCIZO SANTOS DE LIMA</t>
  </si>
  <si>
    <t>Vaga não consta no SAR</t>
  </si>
  <si>
    <r>
      <t xml:space="preserve">08:20H - 05:00 - 14:20 C/ 1H INTERV </t>
    </r>
    <r>
      <rPr>
        <b/>
        <sz val="11"/>
        <color theme="1"/>
        <rFont val="Calibri Light"/>
        <family val="2"/>
        <scheme val="major"/>
      </rPr>
      <t>(6H ÁS 14:20)</t>
    </r>
  </si>
  <si>
    <t>17/06 - Retirada do processo faltou 2X no exame médico- 29/06 - RAFAEL OLIVEIRA - DESISTIU DA VAGA</t>
  </si>
  <si>
    <t>SANDRA TENORIO DA SILVA</t>
  </si>
  <si>
    <t>Exame 02/07  - Aguardando ASO - pendente levar fezes</t>
  </si>
  <si>
    <t>+55 11 93447-8499</t>
  </si>
  <si>
    <t>JULIA VITORIA</t>
  </si>
  <si>
    <t>KAWANY DE OLIVEIRA PINTO - declinamos a participação do processo no dia 26.05 após tentativa de contato nos últimos 2 dias sem retorno</t>
  </si>
  <si>
    <t>+55 11 95730-0699</t>
  </si>
  <si>
    <t>ROBINSON JOSÉ COSTA ABBADE</t>
  </si>
  <si>
    <t>CANDIDATO HUDSON APROVADO 25/05, RECEBEU PROPOSTA MELHOR - Candidato Felipe entrevistado 02/06 possui DVC</t>
  </si>
  <si>
    <t xml:space="preserve"> 19 98882-5312</t>
  </si>
  <si>
    <t>JAINE APARECIDA MARQUES</t>
  </si>
  <si>
    <t>25/05 - Hudson declinou do processo pois foi aprovado pela Elony para uma vaga de Vigilante e optou por ela, reforçando que o mesmo não informou as recrutadoras que estava em outro processo</t>
  </si>
  <si>
    <t xml:space="preserve">LUCIANA MARIA DA SILVA </t>
  </si>
  <si>
    <t>SOLÍSTICA - CONTAGEM</t>
  </si>
  <si>
    <t>CONTAGEM</t>
  </si>
  <si>
    <t>LUDIENE ESTEFANI NUNES COSTA</t>
  </si>
  <si>
    <t>TONS DE IPANEMA</t>
  </si>
  <si>
    <t>12H-18:00-06:00 C/ INT SEG-SEX S/INT SDF</t>
  </si>
  <si>
    <t>INDICAÇÃO DO CLIENTE</t>
  </si>
  <si>
    <t>+55 11 98856-8038</t>
  </si>
  <si>
    <t>FABIO ISAIAS DA SILVA</t>
  </si>
  <si>
    <t>19 98958 9339</t>
  </si>
  <si>
    <t xml:space="preserve">NOÊMIA APARECIDA SANTOS </t>
  </si>
  <si>
    <t xml:space="preserve">Declinou BRUNA NATALIE RODRIGUES JULIETTI </t>
  </si>
  <si>
    <t>CANDIDATO RICHARD APROVADO 25/05</t>
  </si>
  <si>
    <t>11 93756-2628</t>
  </si>
  <si>
    <t>RICHARD VIEIRA DIAS</t>
  </si>
  <si>
    <t>19 98160 8729</t>
  </si>
  <si>
    <t xml:space="preserve">MARIA ROSIANIA DE CARVALHO </t>
  </si>
  <si>
    <t xml:space="preserve">MYLLENA CANDIDO BEZERRA </t>
  </si>
  <si>
    <t>AUX.ADMINISTRATIVO I</t>
  </si>
  <si>
    <t>Prisicila entrevistou duas candidatas dia 02/06 e vai abrir vaga para perfil de analista</t>
  </si>
  <si>
    <t>remanejamento para a vaga 30441 (Duo Reserva do Japi).</t>
  </si>
  <si>
    <t>Candidata Branda entrevista 01/06 não retornou se a vaga é do interesse, cand Maria aprovada</t>
  </si>
  <si>
    <t>MARIA HELENA EVANGELISTA</t>
  </si>
  <si>
    <t>Candidata Brenda entregue para documentação no dia 02/06 desde então tivemos dificuldade de comunicação, não reponde as mensagens, não foi para exame, declinamos dia 08/06. 10.06.2026 ELIETE DE JESUS GONÇALVES, candidata realizou o envio da documentação, porém não foi ao agendamento do Aso, após algumas tentativas de contato através de mensagens e ligações, informou apenas que havia encontrado outro emprego. ROSANGELA PEREIRA VELOSO - Declinamos do processo por falta de retorno e não comparecimento na integração</t>
  </si>
  <si>
    <t xml:space="preserve">KEILA JORGINA PACHECO </t>
  </si>
  <si>
    <t>SIBELCO AMERICA SOUTH</t>
  </si>
  <si>
    <t>Supervisora fará promoção interna</t>
  </si>
  <si>
    <t>12/06</t>
  </si>
  <si>
    <t>Vaga cancelada devido alteração contratual</t>
  </si>
  <si>
    <t>CAMILA DE FATIMA BUENO</t>
  </si>
  <si>
    <t>FERNANDA PAZZINI, sem retono a diversas tentativas de contato, no dia de hoje 11/06 excluimos a candidata da vaga.</t>
  </si>
  <si>
    <t>11 94281-3559</t>
  </si>
  <si>
    <t>ROSEANE APARECIDA PINHEIRO DE FREITAS</t>
  </si>
  <si>
    <t xml:space="preserve">19 98277 7116 </t>
  </si>
  <si>
    <t xml:space="preserve">KELLY DIANA FERREIRA ARÁUJO </t>
  </si>
  <si>
    <t>08/06  - 2 candidatos reprovados pesquisa</t>
  </si>
  <si>
    <t>79 9943-1202</t>
  </si>
  <si>
    <t>JOSENILDO RIBEIRO SANTOS</t>
  </si>
  <si>
    <t>irá atuar em vinhedo</t>
  </si>
  <si>
    <t>19 98903-9026</t>
  </si>
  <si>
    <t>ANA CAROLINA DO PRADO</t>
  </si>
  <si>
    <t>FL SERVICOS ADMNISTRATIVOS (FULWOOD OSASCO)</t>
  </si>
  <si>
    <t>INDICAÇÃO MARCELO - CLIENTE</t>
  </si>
  <si>
    <t>CLEBER LUIS SILVA</t>
  </si>
  <si>
    <t>INDICAÇÃO FUNCIONÁRIA</t>
  </si>
  <si>
    <t>ELISANGELA FERREIRA DE OLIVEIRA</t>
  </si>
  <si>
    <t>ASO AGENDADO P/ 24.06 NA CLÍNICA ACR EM SÃO ROQUE</t>
  </si>
  <si>
    <t>INDICAÇÃO SUPERVISOR RUBENS</t>
  </si>
  <si>
    <t>ADRIELLI ROCATELO DA SILVA</t>
  </si>
  <si>
    <t>CANDIDATA AYLA APROVADA PELA NATHALYA 26/05</t>
  </si>
  <si>
    <t>11 94154-6937</t>
  </si>
  <si>
    <t>AYLA GABRIELE LIMA GAMA</t>
  </si>
  <si>
    <t>ROSILDA SANTIAGO DE OLIVEIRA</t>
  </si>
  <si>
    <t>CAMILA DA SILVA BONARDO</t>
  </si>
  <si>
    <t>MAISON MORUMBI</t>
  </si>
  <si>
    <t>08H48 07:00-15:48 C/INT SEG SEX/04H SAB</t>
  </si>
  <si>
    <t>MARLENE RIBEIRO GONÇALVES PERDIGÃO</t>
  </si>
  <si>
    <t>Entrevista com a Maiara 22/06</t>
  </si>
  <si>
    <t>11 96928-3840</t>
  </si>
  <si>
    <t>EVANDRO RODRIGUES ORTEGA</t>
  </si>
  <si>
    <t>GRUPO WATSAPP</t>
  </si>
  <si>
    <t>HELBER RAFAEL DE OLIVEIRA CABRAL</t>
  </si>
  <si>
    <t>24/06 - Rubia Fialho de Melo (reprovada pesquisa)</t>
  </si>
  <si>
    <t xml:space="preserve">Declinou no dia 03/06 GILBERTO GIMENES declinou no dia 17/06 ADRIANA H ORTIS DE CAMARGO Declinou no dia 24/06 KATIA NOGUEIRA DE SOUZA Declinou no dia 16/07 LUCINEIDE SANTOS DE LIMA /  20/07 declinou JANAINA COSTA SOUSA Declinou no dia 22/07Vanessa Oliveira Maia </t>
  </si>
  <si>
    <t>09/06 -Bruna MArcela de Oliveria declinou</t>
  </si>
  <si>
    <t>19 98942-5214</t>
  </si>
  <si>
    <t>ANDREA DA SILVA LISBOA</t>
  </si>
  <si>
    <t>remanejamento</t>
  </si>
  <si>
    <t>03/06/26</t>
  </si>
  <si>
    <t>OTTOBOCK DO BRASIL</t>
  </si>
  <si>
    <t>VALINHOS</t>
  </si>
  <si>
    <t xml:space="preserve">19 98250 3338 </t>
  </si>
  <si>
    <t xml:space="preserve">ANTONIA MARIA DA LUZ DA SILVA </t>
  </si>
  <si>
    <t>Candidato Dario em entrevista com a supervisora Maiara 01/06</t>
  </si>
  <si>
    <t>11 91006-3531</t>
  </si>
  <si>
    <t>LUIZ GUSTAVO SANTOS SOUZA</t>
  </si>
  <si>
    <t>Candidato Felipe declinou da vaga 24/06</t>
  </si>
  <si>
    <t>CANDIDATO PEDRO APROVADO 26/05, CANDIDATO PAROU DE RESPONDER - CANDIDATO JOSE APROVADO 26/05</t>
  </si>
  <si>
    <t>11 97795-6843</t>
  </si>
  <si>
    <t>JOSE GOMES CERQUEIRA</t>
  </si>
  <si>
    <t>PEDRO LUCAS DE SANTANA SILVA, Exame agendado, porém não obtivemos mais retorno.</t>
  </si>
  <si>
    <t>10H 08:00 18:00 SEG QUI 09:00 SEX C INT</t>
  </si>
  <si>
    <t>+55 11 96496-0290</t>
  </si>
  <si>
    <t xml:space="preserve">ERICA LARISSA CAMPOS BERNUCIO </t>
  </si>
  <si>
    <t>Cancelada Implantaçao</t>
  </si>
  <si>
    <t>11/06/26</t>
  </si>
  <si>
    <t>Cancelada a Implantação</t>
  </si>
  <si>
    <r>
      <t xml:space="preserve">SP7 - FERISTA - FACILITIES - </t>
    </r>
    <r>
      <rPr>
        <b/>
        <sz val="11"/>
        <color theme="1"/>
        <rFont val="Calibri Light"/>
        <family val="2"/>
        <scheme val="major"/>
      </rPr>
      <t>KERRY COTIA</t>
    </r>
  </si>
  <si>
    <t>09H:12:00-21:00 C/ INT SEG-SEX/04HSAB</t>
  </si>
  <si>
    <t>11 96443-8720</t>
  </si>
  <si>
    <t>INGRID LOUREIRO DA CONCEICAO</t>
  </si>
  <si>
    <t>11 91048-4913</t>
  </si>
  <si>
    <t>GABRIEL HENRIQUE DE OLIVEIRA PRETO</t>
  </si>
  <si>
    <t>RAFAEL DOS REIS GUIMARÃES - Esta doente e de atestado e declinou do processo dia 02.06</t>
  </si>
  <si>
    <t>Vaga - 30458 - Vigia . Posto Wonders Galleria , Posto completo, @Ademir da Silva - Delphos , Podemos seguir com o cancelamento ? </t>
  </si>
  <si>
    <t xml:space="preserve">BRUNA CRISTINA ORTEGA DA SILVA - Declinamos do processo por falta de retorno e por não comparecimento na integração </t>
  </si>
  <si>
    <t>GOLGI JUNDIAI</t>
  </si>
  <si>
    <t>13 99709-1123</t>
  </si>
  <si>
    <t>MARIA LUCIA PIRES</t>
  </si>
  <si>
    <t>+55 11 96860-8746</t>
  </si>
  <si>
    <t>ROSANGELA DE OLIVEIRA</t>
  </si>
  <si>
    <t xml:space="preserve">NAGYLA DO CARMO DE SOUSA </t>
  </si>
  <si>
    <t>Candidata VERA BUENO OLIVEIRA, declinou em 22/06/2026 após informar que o local de trabalho seria muito longe da sua residencia.</t>
  </si>
  <si>
    <t>TRIAGEM</t>
  </si>
  <si>
    <t>LABORATORIO CTD - M CASSAB JARINU</t>
  </si>
  <si>
    <t>JULIANA APARECIDA DOS SANTOS, realizou exame médico mas desistiu por encontrar outro ao lado de casa. - em 03.07 Josileide Francisca Melo Santana, declinou, pois a vaga é muito fora de mão</t>
  </si>
  <si>
    <t>NATALIA FRANCISCA FERREIRA</t>
  </si>
  <si>
    <t>AGÊNCIA</t>
  </si>
  <si>
    <t xml:space="preserve">VALERIA APARECIDA ANDRADE </t>
  </si>
  <si>
    <t>SP7 - FERISTA - FACILITIES (FAN TR - VILLAGIO TREVISO)</t>
  </si>
  <si>
    <t>12/06 - Antonio desistiu da vaga - 17/06 - Gabriel desistiu da vaga - 01/07 - Wilson desistiu da vaga</t>
  </si>
  <si>
    <t>EDEZIO ANTONIO PEREIRA DA SILVA</t>
  </si>
  <si>
    <t>+55 11 99675-0386</t>
  </si>
  <si>
    <t>MATHEUS FERNANDO</t>
  </si>
  <si>
    <t>CANDIDATA FERNANDA APROVADA PELA NATHALYA 26/05</t>
  </si>
  <si>
    <t>INDICAÇÃO DA CARLENE</t>
  </si>
  <si>
    <t>11 93336-2407</t>
  </si>
  <si>
    <t>FERNANDA CAROLINA RODRIGUES</t>
  </si>
  <si>
    <t>07/06/2026</t>
  </si>
  <si>
    <t>19 99315-1024</t>
  </si>
  <si>
    <t>ANDREIA CRISTINA DA SILVA</t>
  </si>
  <si>
    <t>+55 11 91151-5009</t>
  </si>
  <si>
    <t xml:space="preserve">LUZINETE MARIA MARTINIANO TEIXEIRA </t>
  </si>
  <si>
    <t>MICHELE CRISTINA DA PENHA - Não compareceu 2 vezes na integração dessa forma declinamos a participação no processo. CANDIDATA STHEPANNY TAFIO, declinou em 16/07/2026 após não comparecer ao Aso e sem retorno as mensagens e ligações.</t>
  </si>
  <si>
    <t>ROSANGELA DA CONCEIÇÃO</t>
  </si>
  <si>
    <t>CANDIDATA: JESSICA TEIXEIRA DOS SANTOS, declinou no dia 18/06 após não ir ao agendamento do Aso, não enviar documentação e não ter retorno através de mensagens e ligações.</t>
  </si>
  <si>
    <t>Candidato Eduardo Santos Farias em dvc 29/05</t>
  </si>
  <si>
    <t>11 98763-6784</t>
  </si>
  <si>
    <t xml:space="preserve">EDIVALDO RAMOS JUNIOR </t>
  </si>
  <si>
    <t>Candidato Eduardo Santos Farias aprovado no dia 01/06, não compareceu para exame por 2x e não retorna as mensagens, sendo assim foi declinado</t>
  </si>
  <si>
    <t>Vaga foi cancelada na mesa, reabrindo</t>
  </si>
  <si>
    <t xml:space="preserve">MARIA JOSE DO SACRAMENTO </t>
  </si>
  <si>
    <t>10H - 14:45 - 00:45 C/ 30MIN. INTERV</t>
  </si>
  <si>
    <t xml:space="preserve">MARCIA DIAS DE SIQUEIRAS </t>
  </si>
  <si>
    <t>Candidato Giovanna 29/05</t>
  </si>
  <si>
    <t xml:space="preserve">DIOGO HENRIQUE RODRIGUES </t>
  </si>
  <si>
    <t>nova vaga 30559</t>
  </si>
  <si>
    <t>VAGA CANCELADA DEVIDO HORÁRIO ERRADO VAGA NOVA  30559</t>
  </si>
  <si>
    <t>6X1 FOLGA SÁB/FER</t>
  </si>
  <si>
    <t>Via Souza, grupo de cancelamento Teams</t>
  </si>
  <si>
    <t xml:space="preserve">RENATO DONIZETE COSTA </t>
  </si>
  <si>
    <t>19 98175 5311</t>
  </si>
  <si>
    <t xml:space="preserve">VITÓRIA BATISTA RAMOS </t>
  </si>
  <si>
    <t>Candidatas Ana Julia e Juliana em entrevista com a supervisora Maiara 05/06</t>
  </si>
  <si>
    <t>11 99790-2658</t>
  </si>
  <si>
    <t>KETHELYN RIBEIRO</t>
  </si>
  <si>
    <t>+55 11 96846-9158</t>
  </si>
  <si>
    <t xml:space="preserve">IGOR OLIVEIRA DE AGUIAR </t>
  </si>
  <si>
    <t>RAFAEL DOS REIS GUIMARÃES - Declinou do processo pois foi aprovado em outra vaga em outra empresa dia 08.06</t>
  </si>
  <si>
    <t>PREDIO IMBUIA - M CASSAB JARINU</t>
  </si>
  <si>
    <t>11 97536-8194</t>
  </si>
  <si>
    <t>VERA LUCIA RIBEIRO</t>
  </si>
  <si>
    <t>LARA BEATRIZ GUARESMA,desistencia motivo familiar</t>
  </si>
  <si>
    <t>22/06/26</t>
  </si>
  <si>
    <t>JOSIENE</t>
  </si>
  <si>
    <t xml:space="preserve">MIRIA ALVES PEREIRA </t>
  </si>
  <si>
    <t>Em pesquisa interna de ex-funcionária (Souza)</t>
  </si>
  <si>
    <t>PANDA PÉ</t>
  </si>
  <si>
    <t>ALINE HARUMI SUZUKI</t>
  </si>
  <si>
    <t xml:space="preserve">ANA CAROLINA PIMENTA SANTOS- Declinou do processo dia 29.05 pois motivos pessoais </t>
  </si>
  <si>
    <t>Declinou no dia 10/06 ANA PAULA DA COSTA COIMBRA</t>
  </si>
  <si>
    <t>Por Souza via grupo de cancelamento Teams</t>
  </si>
  <si>
    <t>Cancelada Por Souza Grupo cancelamento via TEAMS</t>
  </si>
  <si>
    <t>+55 11 91152-1388</t>
  </si>
  <si>
    <t>THALIA APARECIDA RODRIGUES</t>
  </si>
  <si>
    <t>SILVANA- Declinou do processo no mesmo dia que foi feito o primeiro contato dia 09.06, não conseguiu alguém para olhar os filhos aos sábados e não aceitou a vaga de segunda a sexta</t>
  </si>
  <si>
    <t>07/07/26</t>
  </si>
  <si>
    <t xml:space="preserve">GEOVANA  CRISTINA FERREIRA </t>
  </si>
  <si>
    <t>INDICAÇÃO ANA PAULA: RE 908589</t>
  </si>
  <si>
    <t>JOSEVAL DA SILVA COSTA</t>
  </si>
  <si>
    <t>INDICAÇÃO COLEGAS</t>
  </si>
  <si>
    <t>LEANDRO RIGONE</t>
  </si>
  <si>
    <t xml:space="preserve">Adriana Santos encamnhd dia 05/06 p entrevista op.| </t>
  </si>
  <si>
    <t xml:space="preserve">MARIA ELENA PEREIRA DOS SANTOS </t>
  </si>
  <si>
    <t>PALMEIRAS - CONJUNTO RESIDENCIAL DAS</t>
  </si>
  <si>
    <t>ENZO CARLOS CODEIRO DOS SANTOS</t>
  </si>
  <si>
    <t>19 99451 3026</t>
  </si>
  <si>
    <t xml:space="preserve">VANESSA TERESINHA BRITO DOS SANTOS </t>
  </si>
  <si>
    <t>+55 11 99605-9788</t>
  </si>
  <si>
    <t xml:space="preserve">LARISSA SOUZA DANTAS </t>
  </si>
  <si>
    <t>01/06/26</t>
  </si>
  <si>
    <t>19 99152-0897</t>
  </si>
  <si>
    <t>WILLIAM COSTA DE OLIVEIRA</t>
  </si>
  <si>
    <t>VIBRANTZ - FERRO ENAMEL</t>
  </si>
  <si>
    <t>21 98715 7000</t>
  </si>
  <si>
    <t xml:space="preserve">MATHEUS DE OLIVEIRA REIS </t>
  </si>
  <si>
    <t>+55 11 97702-3102</t>
  </si>
  <si>
    <t xml:space="preserve">SAULO SERAFIM DE MELO </t>
  </si>
  <si>
    <t>GRUPOS WATSAPP</t>
  </si>
  <si>
    <t>MELYSSA ROSANGELA S. SANTOS</t>
  </si>
  <si>
    <t>26/06 - Kelly informou que Encarregada não irá mais sair</t>
  </si>
  <si>
    <t>reaproveitamento interno</t>
  </si>
  <si>
    <t>26/06/26</t>
  </si>
  <si>
    <t>Candidata Tamires em DVC 02/06 - Candidata Claudia havia sido entrevistada, gostou da vaga, porém desistiu do processo 09/06 - Candidata desistiu da vaga 18/09 informando ter recebido uma proposta melhor</t>
  </si>
  <si>
    <t xml:space="preserve"> 11 95869-2490</t>
  </si>
  <si>
    <t>ANA CAROLINA TEIXEIRA HILARIO</t>
  </si>
  <si>
    <t>Candidata Janaina desistiu da vaga informando ter recebido uma proposta melhor</t>
  </si>
  <si>
    <t>CHROMAVIS DO BRASIL (FAREVA)</t>
  </si>
  <si>
    <t>19 99257-5398</t>
  </si>
  <si>
    <t>JAQUELINE GOMES SILVA</t>
  </si>
  <si>
    <t xml:space="preserve">DANIEL DONIZETE  COSTA </t>
  </si>
  <si>
    <t>INDICAÇÃO MARY: 144795</t>
  </si>
  <si>
    <t>19 99997-8148</t>
  </si>
  <si>
    <t>JERLIENE CARVALHO S. MIRANDA</t>
  </si>
  <si>
    <t>ASO - agendado para 10.06 na clícnica - ACR em São Roque</t>
  </si>
  <si>
    <t>JESSICA CAMARGO DA SILVA</t>
  </si>
  <si>
    <t>LUCIANO PORFIRIO AFONSO</t>
  </si>
  <si>
    <t>15/07/26</t>
  </si>
  <si>
    <r>
      <t xml:space="preserve">AUXILIAR DE SERVIÇOS GERAIS </t>
    </r>
    <r>
      <rPr>
        <b/>
        <sz val="11"/>
        <color theme="1"/>
        <rFont val="Calibri Light"/>
        <scheme val="major"/>
      </rPr>
      <t>(FEM)</t>
    </r>
  </si>
  <si>
    <t>INDICAÇÃO AMIGOS</t>
  </si>
  <si>
    <t>AMANDA FARIAS MELO</t>
  </si>
  <si>
    <r>
      <t xml:space="preserve">AUXILIAR DE SERVIÇOS GERAIS </t>
    </r>
    <r>
      <rPr>
        <b/>
        <sz val="11"/>
        <color theme="1"/>
        <rFont val="Calibri Light"/>
        <scheme val="major"/>
      </rPr>
      <t>(MASC)</t>
    </r>
  </si>
  <si>
    <t>ADELSON APARECIDO PEREIRA LEAO</t>
  </si>
  <si>
    <t>15/06 - MARIA JOSÉ DA SILVA PROENÇA desistiu - 17/06 - Juscileide desistiu da va</t>
  </si>
  <si>
    <t>INFOJOBS</t>
  </si>
  <si>
    <t>WELLINGTON CRUZ SILVA VIANA</t>
  </si>
  <si>
    <t>em 19.06 Aelton Lima Apóstolo  desistiu da vaga por ser muito fora de mão pra ele</t>
  </si>
  <si>
    <t>ITW CHEMICAL - ARARAS</t>
  </si>
  <si>
    <t>ARARAS</t>
  </si>
  <si>
    <t>10H - 06:00-16:00 C/INT SEG-QUI/09H SEX</t>
  </si>
  <si>
    <t xml:space="preserve">19 99778 8747 </t>
  </si>
  <si>
    <t xml:space="preserve">SIMONE SANTOS DA SILVA </t>
  </si>
  <si>
    <t xml:space="preserve">HELENA APARECIDA DA SILVA </t>
  </si>
  <si>
    <t>NIDEC MOBILIDADE BRASIL INDUSTRIA DE AUTOPECAS LTDA</t>
  </si>
  <si>
    <t>19 98953 3957</t>
  </si>
  <si>
    <t xml:space="preserve">JOSIAS TOMAZ DA SILVA </t>
  </si>
  <si>
    <t xml:space="preserve">CÍCERO RODRIGUES </t>
  </si>
  <si>
    <t>RAVENNA</t>
  </si>
  <si>
    <t>09H - 07:30-16:30 C/INT SEG- SEX/04H SAB</t>
  </si>
  <si>
    <t xml:space="preserve">BRUNO SANTOS DA SILVA </t>
  </si>
  <si>
    <t xml:space="preserve">LENON RODRIGO PEREIRA - Processo recebido dia 09/06 e declinado dia 19/06, RE 914427 excluído,  pois o candidato não compareceu para realizar a NR mesmo após dois reagendamentos para o comparecimento no treinamento </t>
  </si>
  <si>
    <t>19 97820-5742</t>
  </si>
  <si>
    <t>BRUNO CRISTIANO DO AMARAL</t>
  </si>
  <si>
    <r>
      <t xml:space="preserve">SP7 - FERISTA - FACILITIES </t>
    </r>
    <r>
      <rPr>
        <b/>
        <sz val="11"/>
        <color theme="1"/>
        <rFont val="Calibri Light"/>
        <scheme val="major"/>
      </rPr>
      <t>(TV ALIANÇA SOROCABA)</t>
    </r>
  </si>
  <si>
    <t>TAINA DA SILVA SANTOS</t>
  </si>
  <si>
    <r>
      <t>SP7 - FERISTA - FACILITIES (</t>
    </r>
    <r>
      <rPr>
        <b/>
        <sz val="11"/>
        <color theme="1"/>
        <rFont val="Calibri Light"/>
        <scheme val="major"/>
      </rPr>
      <t>ITW)</t>
    </r>
  </si>
  <si>
    <t>Florencio Rodrigues em pesquisa</t>
  </si>
  <si>
    <t>Indicação de candidato</t>
  </si>
  <si>
    <t>FLORENCIO RODRIGUES DE SANTANA</t>
  </si>
  <si>
    <t>ELENICE FRANCISCA DE OLIVERIRA</t>
  </si>
  <si>
    <t>15 99718-9745</t>
  </si>
  <si>
    <t>NILZA FERREIRA DA SILVA</t>
  </si>
  <si>
    <t>19 98986-5278</t>
  </si>
  <si>
    <t>16/06</t>
  </si>
  <si>
    <t>ULIYSSES AMARAL DE SOUZA</t>
  </si>
  <si>
    <t xml:space="preserve">Declinou no dia 08/06 JAQUELINE CASTRO DA SILVA   Declinou no dia 10/06 MARIA MONTEIRO DA SILVA </t>
  </si>
  <si>
    <t>19 99003-7698</t>
  </si>
  <si>
    <t>NATALINE SOUSA DE LIMA</t>
  </si>
  <si>
    <t>Declinou no dia 09/06 ELAINE DA SILVA / 12/06 LUCIANA SOUZA SANTOS declinou</t>
  </si>
  <si>
    <t>22 92005 3596</t>
  </si>
  <si>
    <t xml:space="preserve">JEAN DADLEY CASSIUS </t>
  </si>
  <si>
    <t>19 99128-5708</t>
  </si>
  <si>
    <t>MARIA ISABEL BRITO</t>
  </si>
  <si>
    <t>19 99281-0009</t>
  </si>
  <si>
    <t>18/06</t>
  </si>
  <si>
    <t xml:space="preserve">
JUSSARA SOUZA ARMANDO</t>
  </si>
  <si>
    <t xml:space="preserve">Declinou no dia FABIO ROBERTO PEREIRA DE LIMA Declinou no dia 18/06 FRANCIELE DOS SANTOS VIEIRA </t>
  </si>
  <si>
    <t xml:space="preserve">19 95321 2139 </t>
  </si>
  <si>
    <t xml:space="preserve">KAREN CAROLINA DE LIMA FELIX </t>
  </si>
  <si>
    <t xml:space="preserve">19 98305 9150 </t>
  </si>
  <si>
    <t xml:space="preserve">DAYANE REGINA MOISÉIS  CORRÊA </t>
  </si>
  <si>
    <t>19 97829-0970</t>
  </si>
  <si>
    <t>MARLUCE DO NASCIMENTO ALVES</t>
  </si>
  <si>
    <t xml:space="preserve">Declinou no dia 16/06 GLORIA DOS SANTOS  </t>
  </si>
  <si>
    <t>19 98881 4879</t>
  </si>
  <si>
    <t xml:space="preserve">PATRICIA REGINA JOAQUIM AMARAL </t>
  </si>
  <si>
    <t xml:space="preserve">19 99315 5517 </t>
  </si>
  <si>
    <t xml:space="preserve">JOSÉ VIEIRA DA SILVA FILHO </t>
  </si>
  <si>
    <t xml:space="preserve">19 98933 0304 </t>
  </si>
  <si>
    <t xml:space="preserve">MARICLEIA VITORINO DE CRUZ </t>
  </si>
  <si>
    <t>11 91219-7596</t>
  </si>
  <si>
    <t>ELIANE DE JESUS ARVELINO</t>
  </si>
  <si>
    <t>11 99152-1305</t>
  </si>
  <si>
    <t>FERNANDA CARNEIRO MARQUES PASSOS</t>
  </si>
  <si>
    <t>MARIA DO ROSARIO</t>
  </si>
  <si>
    <t>quadro completo</t>
  </si>
  <si>
    <t>23/06/26</t>
  </si>
  <si>
    <t>6X1 FOL DOM/FER</t>
  </si>
  <si>
    <t xml:space="preserve">MARIA MONALISA FERREIRA OLIVEIRA  declinou no dia da integração 08/06 Declinou no dia 19/06 GEADINA FERREIRA SEARA  </t>
  </si>
  <si>
    <t>19 999786583</t>
  </si>
  <si>
    <t>THIAGO CAVALCANTI</t>
  </si>
  <si>
    <t>11 91991-1112</t>
  </si>
  <si>
    <t>JOSE CARLOS PEREIRA DA COSTA</t>
  </si>
  <si>
    <t>11 99750-1522</t>
  </si>
  <si>
    <t>ADAILTO FRANCISCO DOS SANTOS</t>
  </si>
  <si>
    <t>11 99389-5599</t>
  </si>
  <si>
    <t>COSMA MARIA DA SILVA LUCIANO</t>
  </si>
  <si>
    <t xml:space="preserve"> Candidata Kailane parou de responder 09/06</t>
  </si>
  <si>
    <t>Cancelada em função de duplicidade de vaga - Cod da original 30326</t>
  </si>
  <si>
    <t>SABRINA EMANUELA FAGUNDES</t>
  </si>
  <si>
    <t>FABIO JUNIOR JORGE DA SILVA</t>
  </si>
  <si>
    <t>@Elizeu Filho - Delphos, houve remanejamento interno</t>
  </si>
  <si>
    <t>DANIELA GUEIROS DA SILVA FERNANDES</t>
  </si>
  <si>
    <t>Vaga oriunda da vaga 30285 que foi cancelada</t>
  </si>
  <si>
    <t>BOREALIS</t>
  </si>
  <si>
    <t>Wingberto Vicente ap 23/04| cand Isaias aprovado</t>
  </si>
  <si>
    <t>cat</t>
  </si>
  <si>
    <t>11 954735840</t>
  </si>
  <si>
    <t>ISAIAS LOPES MARTINS</t>
  </si>
  <si>
    <t>CANDIDATO WIGBERTO VICENTE NUNES , declinou em 25/06 após informar que aceitou outra proposta de emprego.</t>
  </si>
  <si>
    <t>RODRIGO VIEIRA DA SILVA</t>
  </si>
  <si>
    <t>11 91511-1677</t>
  </si>
  <si>
    <t xml:space="preserve">NATASHA OCTAVIANO PEREIRA </t>
  </si>
  <si>
    <t>12H - 10:00 - 22:00 C/ 1H INTERV</t>
  </si>
  <si>
    <t>19 99427-4345</t>
  </si>
  <si>
    <t>MARIA RITA DA LUZ DA SILVA</t>
  </si>
  <si>
    <t>19 98872 5278</t>
  </si>
  <si>
    <t xml:space="preserve">ELISABETH VICENTE DE SOUSA </t>
  </si>
  <si>
    <t>19 99787 8543</t>
  </si>
  <si>
    <t xml:space="preserve">KAIAM REIS DA SILVA </t>
  </si>
  <si>
    <t xml:space="preserve">declinou no dia 15/06  WILLIAM DE JESUS GAMA  </t>
  </si>
  <si>
    <t>19 98140 2677</t>
  </si>
  <si>
    <t xml:space="preserve">PAULO ROBERTO DE OLIVEIRA </t>
  </si>
  <si>
    <t xml:space="preserve">INDIQUE UM AMIGO </t>
  </si>
  <si>
    <t>11 95080-6608</t>
  </si>
  <si>
    <t xml:space="preserve">DANIEL PIRES MACIEL </t>
  </si>
  <si>
    <t>11 94059-6404</t>
  </si>
  <si>
    <t>MONILA FARIAS DA SILVA</t>
  </si>
  <si>
    <t>Daniel csndidato Nathalia</t>
  </si>
  <si>
    <t>DANIEL GOMES DE ARAUJO</t>
  </si>
  <si>
    <t>08:20H-13:25-21:45 C/ INT</t>
  </si>
  <si>
    <t>SANDRA MARIA DE OLIVEIRA SANTOS</t>
  </si>
  <si>
    <t>Exame médico 01/07 - aguardando resultado do exame 03/07</t>
  </si>
  <si>
    <t xml:space="preserve">ELISANGELA MARIA </t>
  </si>
  <si>
    <t xml:space="preserve">Agurdando indicação da surpevição </t>
  </si>
  <si>
    <t>19 98978 7782</t>
  </si>
  <si>
    <t xml:space="preserve">22/06 </t>
  </si>
  <si>
    <t xml:space="preserve">GABRIELA VITORIA DE OLIVEIRA </t>
  </si>
  <si>
    <t>MARLI MOREIRA DO PRADO</t>
  </si>
  <si>
    <t>LUCIANA MARIA DE SANTANA, não veio na integração. Não atende as diversas tentativas de contato. CANDIDATA: GEISIANE DA COSTA declinou após desistir da vaga alegando ter recebido uma outra proposta. - Em 25.06 a candidata Lenice Santos da Silva Rocha desistiu da vaga</t>
  </si>
  <si>
    <t>11 965846818</t>
  </si>
  <si>
    <t>CARLOS EDUARDO COSTA</t>
  </si>
  <si>
    <t>19 98269-8184</t>
  </si>
  <si>
    <t>MICHELLY PEREIRA DA SILVA</t>
  </si>
  <si>
    <t xml:space="preserve">Declinou no dia 18/06 LETICIA ANNAMARIA MACULLO  </t>
  </si>
  <si>
    <t xml:space="preserve">INIDCAÇÃO ANDERSON RE: </t>
  </si>
  <si>
    <t>PALOMA ROSENO DA SILVA</t>
  </si>
  <si>
    <t>19 99308 0178</t>
  </si>
  <si>
    <t>GABRIELA COLAÇO</t>
  </si>
  <si>
    <t>ANALISTA DE MARKETING</t>
  </si>
  <si>
    <t>MARKETING</t>
  </si>
  <si>
    <t>PROCESSO INTERNO PRISCILA</t>
  </si>
  <si>
    <t xml:space="preserve">LAYENE VICTOR DA SILVA </t>
  </si>
  <si>
    <t>NR CONDOMINIO EMPRESARIAL INDAIATUBA</t>
  </si>
  <si>
    <t>11/06 Adriana de Fátima Barbosa - Ex Delphos (Pesquisa Reprovada)</t>
  </si>
  <si>
    <t>88 9288 5909</t>
  </si>
  <si>
    <t>23/07</t>
  </si>
  <si>
    <t xml:space="preserve">ERLANDIA MACEDO BATISTA </t>
  </si>
  <si>
    <t xml:space="preserve">Declinou no dia 08/07 MICHELLI CRISTINA DA SILVA PEREIRA </t>
  </si>
  <si>
    <t>ANA BEATRIZ MELO DA SILVA - Declinou poucos minutos depois de termos entrado em contato pois arrumou outro emprego , CandidataSilvana Maria da Silva RE 914389 alocada no Posto Resort Santa Angela que no dia 15 de Junho ao pedir deslgamento foi retida</t>
  </si>
  <si>
    <t>09H - 09:30-18:30 C/ INT SEG-SEX/04H SAB</t>
  </si>
  <si>
    <t xml:space="preserve">MARIA DA CONCEIÇÃO DAMASCENO </t>
  </si>
  <si>
    <t>Em 01.07 Daniele Cabral Pociano de Souza, desistiu da vaga, por não conseguir ninguém pra cuidar do filho</t>
  </si>
  <si>
    <t>11 96686 8287</t>
  </si>
  <si>
    <t>MARIA DAS GRAÇAS DE OLIVEIRA</t>
  </si>
  <si>
    <t xml:space="preserve">MARCELA ALVES LIRIO OLIVEIRA </t>
  </si>
  <si>
    <t xml:space="preserve">JANECLEIDE GOMES DA SILVA </t>
  </si>
  <si>
    <t>CPE - COMPOSTOS (FREGUESIA DO Ó)</t>
  </si>
  <si>
    <t>29/06 - SOLANGE APARECIDANÃO COMPARECEU PARA ASSINAR CONTRATO - 10/07 - Lidiane não compareceu para assinar contrato por 2x - 16/07 - Evelyn desistiu.</t>
  </si>
  <si>
    <t>EXAME: 22/07</t>
  </si>
  <si>
    <t>21/07/2026</t>
  </si>
  <si>
    <t xml:space="preserve">MARIANA FELIX QUARESMA </t>
  </si>
  <si>
    <t>+55 75 7400-0011</t>
  </si>
  <si>
    <t>EMANOEL LIMA SANTOS</t>
  </si>
  <si>
    <t>GEOVANNA THAYS DA SILVA GIULIANGELI CEZARINI</t>
  </si>
  <si>
    <t>nova vaga - 30684</t>
  </si>
  <si>
    <t>10/06/26</t>
  </si>
  <si>
    <t xml:space="preserve">DANIELE BARROS BARBOSA </t>
  </si>
  <si>
    <t>+55 82 9674-4404</t>
  </si>
  <si>
    <t xml:space="preserve">LAIANE SOUZA DOS SANTOS </t>
  </si>
  <si>
    <t>10.06.2026  Candidata JOSEFA CRISTINA SILVA, informou para a recrutadora que não possuia mais interesse na vaga (canditada desistente pela segunda vez). // 11.06.2026 KARLA APARECIDA DE OLIVEIRA DIAS, candidata declinou do processo no dia que deveria realizar o exame admissional . 15/06/2026 Candidato ADRIANO DA SILVA COSTA declinou devido a falta de retorno através de ligação e mensagens, também não compareceu ao exame agendado.</t>
  </si>
  <si>
    <t>---INGRID DE AA1005FELICIANO, AB1006diversas x o exame e não compareceu AC1006</t>
  </si>
  <si>
    <t>1196534-3455</t>
  </si>
  <si>
    <t xml:space="preserve">KARINA OLIVEIRA DE JESUS </t>
  </si>
  <si>
    <t>15.06.2025 Candidata ANDREIA GONÇALVES DA SILVA  desistiu da vaga informando problemas familiares, não compareceu ao Aso que já estava agendado, também não enviou documentação. // ANA KARLA DOS SANTOS - Candidata não responde mais as mensagens, declinamos do processo dia 15.06.2026. CANDIDATA: ANA PAULA SOUZA declinou após não comparecer ao Aso agendado, nem retorno nas mensagens e ligações,  também não enviou nenhuma documentação.</t>
  </si>
  <si>
    <t>HYG SYSTEMS - PA AROMATICS FLAVORS</t>
  </si>
  <si>
    <t>JUNDIAI</t>
  </si>
  <si>
    <t>candidata Maria Ivinete aprovada 23/06</t>
  </si>
  <si>
    <t xml:space="preserve">SIMONE CRISTINA DOS SANTOS </t>
  </si>
  <si>
    <t xml:space="preserve">MARIA IVONETE DA SILVA, desistiu em ASO. </t>
  </si>
  <si>
    <t>Acordo Erik mesa vai consultar o Souza sobre possível duplicidade de vaga - 10/06</t>
  </si>
  <si>
    <t xml:space="preserve">INDICAÇÃO </t>
  </si>
  <si>
    <t>+55 11 99586-6384</t>
  </si>
  <si>
    <t>THAMIRES CAETANO CARDOSO</t>
  </si>
  <si>
    <t>Entrevistas com a cliente 22/06</t>
  </si>
  <si>
    <t>11 94866-2073</t>
  </si>
  <si>
    <t>KAMILA FARIA DA SILVA</t>
  </si>
  <si>
    <t>nova vaga - 30676</t>
  </si>
  <si>
    <t xml:space="preserve">EMERSON ADÃO RODRIGUES </t>
  </si>
  <si>
    <t xml:space="preserve">OLIVER VALENTIM CARVALHO SANTOS </t>
  </si>
  <si>
    <t>ANA CAROLINA APARECIDA DOS SANTOS DE FREITAS</t>
  </si>
  <si>
    <t>Candidata Millena parou de responder 23/07</t>
  </si>
  <si>
    <t>Janaina aprovada dia 11/06</t>
  </si>
  <si>
    <t>JANAINA ALVES DE MACIEL</t>
  </si>
  <si>
    <t>QUEREM STEFANY</t>
  </si>
  <si>
    <t>4 CANDIDATOS EM ENTREVISTA COM A COORDENADORA  - 03/07</t>
  </si>
  <si>
    <t>SONOCO</t>
  </si>
  <si>
    <t xml:space="preserve">19 99827 7859 </t>
  </si>
  <si>
    <t>JOABIO PEREIRA FLORES</t>
  </si>
  <si>
    <t>Solicitação Ademir</t>
  </si>
  <si>
    <t>+55 11 94779-5947</t>
  </si>
  <si>
    <t xml:space="preserve">CASSIANA ARAUJO MATOS </t>
  </si>
  <si>
    <t>15/06/26</t>
  </si>
  <si>
    <t>19 98154 9457</t>
  </si>
  <si>
    <t xml:space="preserve">VANESSA BORGES LOPES </t>
  </si>
  <si>
    <t>ANA PAULA DE SOUZA FERNANDES</t>
  </si>
  <si>
    <t>agendado exame para 12/06</t>
  </si>
  <si>
    <r>
      <t xml:space="preserve">BRICKLOG GUARULHOS </t>
    </r>
    <r>
      <rPr>
        <b/>
        <sz val="11"/>
        <color theme="1"/>
        <rFont val="Calibri Light"/>
        <family val="2"/>
        <scheme val="major"/>
      </rPr>
      <t>(FEM)</t>
    </r>
  </si>
  <si>
    <t>15/06 - MARIA JOSE DOS SANTOS desistiu da vaga</t>
  </si>
  <si>
    <t>RENATA SOUZA BRITO</t>
  </si>
  <si>
    <r>
      <t xml:space="preserve">BRICKLOG GUARULHOS </t>
    </r>
    <r>
      <rPr>
        <sz val="11"/>
        <color theme="1"/>
        <rFont val="Calibri Light"/>
        <family val="2"/>
        <scheme val="major"/>
      </rPr>
      <t>(FEM)</t>
    </r>
  </si>
  <si>
    <t>03/07 - MARIA DE FÁTIMA, desistiu da vaga</t>
  </si>
  <si>
    <t>AMX</t>
  </si>
  <si>
    <t>VERONICA SOARES DA SILVA</t>
  </si>
  <si>
    <t>Exame: 16/07</t>
  </si>
  <si>
    <t>29/06 - KATIA BARBOSA e 01/07 VILMA MEIRELES,07/07MARIA DE FATIMA - 13/07 - FRANCISCA, JÉSSIKA, 22/07 Ana Claudia, DESISTIRAM DA VAGA</t>
  </si>
  <si>
    <t>MARIA RITA FERREIRA ELENTERIO</t>
  </si>
  <si>
    <t>Exame: 24/07/26</t>
  </si>
  <si>
    <t>Vaga cancelada por duplicidade</t>
  </si>
  <si>
    <t>11 97981-7535</t>
  </si>
  <si>
    <t>KAUANY BARBOSA PARMINONDI</t>
  </si>
  <si>
    <t>Cand Debora aprovada 18/06 - declinou pois achou outra vaga</t>
  </si>
  <si>
    <t>Captação</t>
  </si>
  <si>
    <t xml:space="preserve">TALITA FERNANDA SANTANA </t>
  </si>
  <si>
    <t>Canditada: DEBORA EVILIN DUTRA DE SOUSA, informou que aceitou outra proposta de emprego.</t>
  </si>
  <si>
    <t>19 99171 8506</t>
  </si>
  <si>
    <t xml:space="preserve">DANIELE GORCONI DA ROSA GALVÃO </t>
  </si>
  <si>
    <t>19 98942-9017</t>
  </si>
  <si>
    <t>NATACHA APARECIDA MONTEIRO</t>
  </si>
  <si>
    <t xml:space="preserve">19 99286 7160 </t>
  </si>
  <si>
    <t xml:space="preserve">IARA DA SILVA FRANÇA BATISTA </t>
  </si>
  <si>
    <t xml:space="preserve">19 99292 7226 </t>
  </si>
  <si>
    <t xml:space="preserve">ELENICE ARAÚJO RIBEIRO </t>
  </si>
  <si>
    <t>19 98829-6007</t>
  </si>
  <si>
    <t>THAIS APARECIDA RODRIGUES DA SILVA</t>
  </si>
  <si>
    <t>19 99254 0492</t>
  </si>
  <si>
    <t xml:space="preserve">WILLIAM DE JESUS SILVA </t>
  </si>
  <si>
    <t>SANDRA PEREIRA</t>
  </si>
  <si>
    <t>19 99419-7933</t>
  </si>
  <si>
    <t xml:space="preserve">ROSANGELA DA SILVA VITORIO </t>
  </si>
  <si>
    <t xml:space="preserve">Declinou no dia 16/06 LUCIANA SOUZA SANTOS Declinou no dia 22/06 HEIDY BATATA DE LIMA  </t>
  </si>
  <si>
    <r>
      <t>MANDICS - SP1 - ITAPEVA</t>
    </r>
    <r>
      <rPr>
        <b/>
        <sz val="11"/>
        <color theme="1"/>
        <rFont val="Calibri Light"/>
        <family val="2"/>
        <scheme val="major"/>
      </rPr>
      <t>(FEM)</t>
    </r>
  </si>
  <si>
    <t>08:20H - 06:00-14:20 SAB:07-15 C/ 1H INT</t>
  </si>
  <si>
    <t>22/06 - Lidiane desistiu da vaga - 26/06 - Reaproveitamento interno</t>
  </si>
  <si>
    <t>reaproveitamento interrno</t>
  </si>
  <si>
    <t xml:space="preserve">19 98249 7515 </t>
  </si>
  <si>
    <t xml:space="preserve">ALEIR TEIXEIRA DOS ANJOS </t>
  </si>
  <si>
    <t>EZEQUIEL REVOREDO DA SILVA</t>
  </si>
  <si>
    <t>exame agendado para 16/06</t>
  </si>
  <si>
    <r>
      <t xml:space="preserve">AUXILIAR DE LIMPEZA </t>
    </r>
    <r>
      <rPr>
        <b/>
        <sz val="11"/>
        <color theme="1"/>
        <rFont val="Calibri Light"/>
        <family val="2"/>
        <scheme val="major"/>
      </rPr>
      <t>(FEM)</t>
    </r>
  </si>
  <si>
    <t>ANDREIA ALVES DOS SANTOS</t>
  </si>
  <si>
    <t xml:space="preserve">19 99282 0335 </t>
  </si>
  <si>
    <t>24/06</t>
  </si>
  <si>
    <t xml:space="preserve">IGOR FERREIRA SANTOS </t>
  </si>
  <si>
    <t>MATHEUS PEDROSO</t>
  </si>
  <si>
    <t>11 99021-2533</t>
  </si>
  <si>
    <t>FLAVIANA OLIVEIRA PAULA</t>
  </si>
  <si>
    <t>CACAU SHOW - COMPLEXO INTENSIDADE</t>
  </si>
  <si>
    <t>indeed</t>
  </si>
  <si>
    <t>YASMIN DOS SANTOS</t>
  </si>
  <si>
    <t>EXAME 15/06</t>
  </si>
  <si>
    <t>Cand Antonio Augusto asprovado 29/06 | Cand Juliano aprovado</t>
  </si>
  <si>
    <t>presencial</t>
  </si>
  <si>
    <t xml:space="preserve">JULIANO GUSTAVO ARAUJO DE OLIVEIRA </t>
  </si>
  <si>
    <t>CANDIDATO ANTONIO AUGUSTO DOS SANTOS , declinou em 01/07/2026 após não enviar documetação e não comparecer ao ASO por 2x.</t>
  </si>
  <si>
    <t>VIGIA 16</t>
  </si>
  <si>
    <t>19 99536 5593</t>
  </si>
  <si>
    <t xml:space="preserve">ROBERTO SANTOS SOARES </t>
  </si>
  <si>
    <t>LA VITE PIEMONTE</t>
  </si>
  <si>
    <t xml:space="preserve">ANA KARINE CERQUEIRA NASCIMENTO </t>
  </si>
  <si>
    <t>11 97163-1670</t>
  </si>
  <si>
    <t>ANA BEATRIZ NOGUEIRA DONA</t>
  </si>
  <si>
    <t>CANDIDATA KAREN SILVA, declinou em 03.07.2026  ex-funcionaria</t>
  </si>
  <si>
    <t>Indicação Jacira</t>
  </si>
  <si>
    <t>ANDERSON LUIS GALVAO PROENÇA</t>
  </si>
  <si>
    <t>Em 23.06 Paulo Sérgio de Oliveira Muniz declinou, por conta do horário</t>
  </si>
  <si>
    <t>19 99014 4815</t>
  </si>
  <si>
    <t xml:space="preserve">GARDENIA LOPES DA SILVA </t>
  </si>
  <si>
    <t>NINE OFFICE BOUTIQUE</t>
  </si>
  <si>
    <t>11 92197-1011</t>
  </si>
  <si>
    <t>JACYARA ROCHA MELO DE ARAUJO</t>
  </si>
  <si>
    <t>CANDIDATO BRENNO PALHANO DOS SANTOS, desistiu da vaga.22/06/2026.</t>
  </si>
  <si>
    <t xml:space="preserve"> 71 9221-5690</t>
  </si>
  <si>
    <t>VANESSA SOUZA DOS SANTOS</t>
  </si>
  <si>
    <t xml:space="preserve">KALIANE OLIVEIRA CAMARA - Declinamos do processo por falta de retorno </t>
  </si>
  <si>
    <t>SERRA DOS CRISTAIS</t>
  </si>
  <si>
    <t xml:space="preserve">RAILANE CARVALHO SOUZA </t>
  </si>
  <si>
    <t xml:space="preserve">RENATA TEIXEIRA DE FARIAS , namorado diz que ela se encontra internada. </t>
  </si>
  <si>
    <t>RECEPCIONISTA 2</t>
  </si>
  <si>
    <t>INDICAÇÃO CONSUELO MANDIC</t>
  </si>
  <si>
    <t>FABIANA RODRIGUES DOS SANTOS</t>
  </si>
  <si>
    <t>JOSEFA AMANDA DA CONCEIÇÃO OLIVEIRA</t>
  </si>
  <si>
    <t>11 99228-3186</t>
  </si>
  <si>
    <t>FABIANA MARIA DO NASCIMENTO</t>
  </si>
  <si>
    <t>INDICAÇÃO LUZIA URBAN LIVING</t>
  </si>
  <si>
    <t>GIOVANI CAVALCANTI DE GOIS</t>
  </si>
  <si>
    <t>EXAME AGENDADO 15/06</t>
  </si>
  <si>
    <t xml:space="preserve">TIAGO MATIAS DE CALDAS </t>
  </si>
  <si>
    <t>ZIMBA - AYRTON SENNA</t>
  </si>
  <si>
    <t xml:space="preserve">JANETE FERREIRA DE SOUZA </t>
  </si>
  <si>
    <t xml:space="preserve">ALEXANDRE FERNANDES DA SILVA </t>
  </si>
  <si>
    <t xml:space="preserve">JAIR MARTINS DE OLIVEIRA </t>
  </si>
  <si>
    <t xml:space="preserve">MATHEUS HENRIQUE FLORENCIO DA SILVA - Declinou do processo </t>
  </si>
  <si>
    <t xml:space="preserve">MAQUISOEL </t>
  </si>
  <si>
    <t xml:space="preserve">RAMON RIBEIRO DOS SANTOS </t>
  </si>
  <si>
    <t>VALDIR DE SOUZA TILL</t>
  </si>
  <si>
    <t xml:space="preserve">LUCAS AQUILA DA SILVA RODRIGUES </t>
  </si>
  <si>
    <t xml:space="preserve">JOSE EVANGELISTA ARAUJO DA SILVA </t>
  </si>
  <si>
    <t>ZIMBA - CASTELO BRANCO</t>
  </si>
  <si>
    <t>11 99635-1361</t>
  </si>
  <si>
    <t>MARIA OLIVENE DA SILVA SANTOS</t>
  </si>
  <si>
    <t>AGENDADO P/ 19/06</t>
  </si>
  <si>
    <t>EMILLY PEREIRA DOS SANTOS</t>
  </si>
  <si>
    <t>aso agendado para 17/06</t>
  </si>
  <si>
    <t>11 92091-2350</t>
  </si>
  <si>
    <t>ROSANGELA MONALISA DE FREITAS</t>
  </si>
  <si>
    <t>11 91373-2523</t>
  </si>
  <si>
    <t>ATILA ALVES DOS SANTOS</t>
  </si>
  <si>
    <t>ASO agendado p/ 17/06</t>
  </si>
  <si>
    <t>11 93719-3627</t>
  </si>
  <si>
    <t>BIANCA VITORIA DE PAULA SILVA</t>
  </si>
  <si>
    <t>11 96392-6238</t>
  </si>
  <si>
    <t>DANIEL FERNANDO ROSARIO DOS SANTOS</t>
  </si>
  <si>
    <t>ASO - AGENDADO P/18/06</t>
  </si>
  <si>
    <t xml:space="preserve">11 94480-8600 </t>
  </si>
  <si>
    <t>SAMUEL RIBEIRO PATRICIO</t>
  </si>
  <si>
    <t>ASO AGENDADO PARA 18/06</t>
  </si>
  <si>
    <t>11 97297-7091</t>
  </si>
  <si>
    <t>MICHAEL DOUGLAS SANTOS DE LARA</t>
  </si>
  <si>
    <t>15 99713-2631</t>
  </si>
  <si>
    <t>CÍCERO JANIELSE DE MEDEIROS</t>
  </si>
  <si>
    <t>ZIMBA - DOM PEDRO</t>
  </si>
  <si>
    <t xml:space="preserve">VILMA RODRIGUES DA SILVA </t>
  </si>
  <si>
    <t>09:50H - 07:00 - 16:50 C/ 1H INTERV</t>
  </si>
  <si>
    <t xml:space="preserve">FABIOLA CORDEIRO DOS SANTOS </t>
  </si>
  <si>
    <t xml:space="preserve">PABLO HENRIQUE DA SILVA </t>
  </si>
  <si>
    <t xml:space="preserve">CAMILA ANDRADE DE SOUZA </t>
  </si>
  <si>
    <t xml:space="preserve">CAIANE FIGUEIREDO DA SILVA </t>
  </si>
  <si>
    <t xml:space="preserve">ALEXANDRE PINHEIRO DA SILVA </t>
  </si>
  <si>
    <t xml:space="preserve">JULIA DE FARIA SILVA </t>
  </si>
  <si>
    <t xml:space="preserve">THAIS VITORIA FONSECA </t>
  </si>
  <si>
    <t xml:space="preserve">HIANDRA JENIFER MORAES RIBEIRO </t>
  </si>
  <si>
    <t>FERNANDA BUZINARI</t>
  </si>
  <si>
    <t xml:space="preserve">LUANA CRISTINA DE SOUZA MEDINA  - PAROU DE DE RESPONDER EM 23/06, pediu para reagendar e novante não compareceu. </t>
  </si>
  <si>
    <t>06/0/26</t>
  </si>
  <si>
    <t xml:space="preserve">19 99983 3610 </t>
  </si>
  <si>
    <t xml:space="preserve">MAICON DOUGLAS CALVALCANTE DE SOUSA </t>
  </si>
  <si>
    <t>Reaproveitamento do RE99407</t>
  </si>
  <si>
    <t xml:space="preserve">19 99856 8264 </t>
  </si>
  <si>
    <t xml:space="preserve">JOSIVAL TELES DE SIQUEIRA SILVA </t>
  </si>
  <si>
    <t xml:space="preserve">JULIANA APARECIDA DOS SANTOS </t>
  </si>
  <si>
    <t>INDICAÇÃO SUP. EMERSON</t>
  </si>
  <si>
    <t>19 99158-5754</t>
  </si>
  <si>
    <t>ADILSON GONCALVES</t>
  </si>
  <si>
    <t xml:space="preserve">PATRICIA DAMACENO GREGORIO </t>
  </si>
  <si>
    <t>Cand Leandro do William aprovado</t>
  </si>
  <si>
    <t>LEANDRO ZAVAN</t>
  </si>
  <si>
    <t>19 97600 3109</t>
  </si>
  <si>
    <t xml:space="preserve">SIRLENE SOUZA DE LIMA </t>
  </si>
  <si>
    <t xml:space="preserve">Declinou no dia 17/06 ANA CAROLINA RODRIGUES </t>
  </si>
  <si>
    <t>16/06/26</t>
  </si>
  <si>
    <t>SUMIDENSO ESCRITORIO</t>
  </si>
  <si>
    <t>INDICAÇÃO SUP. MAIARA</t>
  </si>
  <si>
    <t>11 95336-2497</t>
  </si>
  <si>
    <t>CAMYLLY VITORIA DOS SANTOS SLGADO</t>
  </si>
  <si>
    <t xml:space="preserve">ANDRESSA PASSARELI DA SILVA MORAES </t>
  </si>
  <si>
    <t xml:space="preserve">SONIA CARDOSO - Candidata não compareceu na integração e não nos respondeu mais </t>
  </si>
  <si>
    <t>ANALISTA ADM VENDAS</t>
  </si>
  <si>
    <t>Em ASO 16/06</t>
  </si>
  <si>
    <t xml:space="preserve">KATIA ALESSANDRA CARRASCO </t>
  </si>
  <si>
    <t>Candidatas encaminhada para entrevista com o Hernane 22/06</t>
  </si>
  <si>
    <t>11 98978-9590</t>
  </si>
  <si>
    <t xml:space="preserve">JOÃO ADALBERTO DOS SANTOS </t>
  </si>
  <si>
    <t>CAMPINAS4 - FERISTA - SEGURANCA</t>
  </si>
  <si>
    <t>feirista região de Americana - masculino</t>
  </si>
  <si>
    <t>CENTRO TECNOLOGICO - (KIA SALTO)</t>
  </si>
  <si>
    <r>
      <t xml:space="preserve">12X36 </t>
    </r>
    <r>
      <rPr>
        <b/>
        <sz val="11"/>
        <color theme="1"/>
        <rFont val="Calibri Light"/>
        <family val="2"/>
        <scheme val="major"/>
      </rPr>
      <t>(plantão par)</t>
    </r>
  </si>
  <si>
    <t>INDICAÇÃO SUPERVISOR</t>
  </si>
  <si>
    <t>REGINALDO APARECIDO FERRAZ PIO</t>
  </si>
  <si>
    <t>ANDERSON IILVA</t>
  </si>
  <si>
    <r>
      <t xml:space="preserve">12X36 </t>
    </r>
    <r>
      <rPr>
        <b/>
        <sz val="11"/>
        <color theme="1"/>
        <rFont val="Calibri Light"/>
        <family val="2"/>
        <scheme val="major"/>
      </rPr>
      <t>(plantão impar)</t>
    </r>
  </si>
  <si>
    <t>MARCOS APARECIDO DE LIMA AMORIM</t>
  </si>
  <si>
    <t>ASO agendado p/ 18/06</t>
  </si>
  <si>
    <t>19 98219-3541</t>
  </si>
  <si>
    <t>GEOVANA SANTANA</t>
  </si>
  <si>
    <t>Declinou no dia 24/06 CAROLINA SILVA SANTOS</t>
  </si>
  <si>
    <t>Monica aprovada 25/06| Naiara aprovada 14/07</t>
  </si>
  <si>
    <t>1199446-8748</t>
  </si>
  <si>
    <t>NAIARA PEREIRA BISPO</t>
  </si>
  <si>
    <t>MONICA PEREIRA DE OLIVEIRA - Declinamos do processo pois esta de mudança CANDIDATA LUANA APARECIDA DE SOUZA, declinou em 07/07 após não comparecer a dois agendamentos da integração.</t>
  </si>
  <si>
    <t>KSB BRASIL - UNID. VARZEA PAULISTA</t>
  </si>
  <si>
    <t>DANIELE DOMINGAS</t>
  </si>
  <si>
    <t>Cand.  Mario aprovado</t>
  </si>
  <si>
    <t>Indicação Sup Adriana</t>
  </si>
  <si>
    <t xml:space="preserve">MARIO ROBERTO LEME </t>
  </si>
  <si>
    <t>Cand Maria aprovada| Eliana aprovada|</t>
  </si>
  <si>
    <t xml:space="preserve">ELIANA DE SOUZA </t>
  </si>
  <si>
    <t>CANDIDATA MARIA DE LURDES DOS ANJOS, declinou em 22/06/2026 após diversas tentativas de contato, aso agendado e não comparecimento a mesma informou apenas que desistiu da vaga. CANDIDATA SILVANIA DOS SANTOS, declinou no dia 26/06/2026 mesmo dia da integração após desitir da vaga (não informou o motivo)</t>
  </si>
  <si>
    <t>cand Adriana ap 30/06</t>
  </si>
  <si>
    <t xml:space="preserve">ADRIANE REGINA DOS SANTOS </t>
  </si>
  <si>
    <t>indicação cliente</t>
  </si>
  <si>
    <t>+55 11 98553-6475</t>
  </si>
  <si>
    <t>DALILA FIGUEIREDO</t>
  </si>
  <si>
    <t xml:space="preserve">ANA PAULA RAMOS DOS SANTOS </t>
  </si>
  <si>
    <t>Canditada: MARIA RENILDA DA SILVA OLIVEIRA, declinou dia 17.06.2026, alegando apenas  não possuir mais interesse na vaga, não compareceu ao agendamento do Aso, nem realizou a abertura de conta que era necessario.</t>
  </si>
  <si>
    <t>PORTARIA BASE - CAMPINAS</t>
  </si>
  <si>
    <t>Declinou no dia 17/06 VALDIRENE DE FRANÇA ALVES DA SILVA - email Gabriela</t>
  </si>
  <si>
    <t>15 99700-3379</t>
  </si>
  <si>
    <t>MAXWILHIAN ADRIANO SANTOS OLIVEIRA</t>
  </si>
  <si>
    <t>+55 11 99779-1406</t>
  </si>
  <si>
    <t>CLEIDANE FERREIRA GUEDES</t>
  </si>
  <si>
    <t xml:space="preserve">RAFAEL DA COSTA OLIVEIRA </t>
  </si>
  <si>
    <t>CANDIDATO FELIPE CHINARELLI RAIMUNDO, declinou em 24/06/2026 após informar não conseguir conciliar escala com outra trabalho.</t>
  </si>
  <si>
    <t>11 99815-1688</t>
  </si>
  <si>
    <t xml:space="preserve">VITOR APARECIDO LUCHESI SIMÃO </t>
  </si>
  <si>
    <t>ANDRESSA DE SOUSA SOARES</t>
  </si>
  <si>
    <t>ANDRESSA DE SOUSA SOARES - Declinou do processo mas retornou</t>
  </si>
  <si>
    <t>11 91125-3346</t>
  </si>
  <si>
    <t xml:space="preserve">MARINALVA LEITE DE OLIVEIRA </t>
  </si>
  <si>
    <t>GEMINA TEIXEIRA CORDEIRO, desistiu de vir no dia da integração.--- TAMIRES NASCIMENTO, diversos contato sem retorno.</t>
  </si>
  <si>
    <t>11 94013-9489</t>
  </si>
  <si>
    <t>MEIRIELE MARIA DA SILVA</t>
  </si>
  <si>
    <t>11 99353 1491</t>
  </si>
  <si>
    <t xml:space="preserve">ANA CLAUDIA BRITO DE OLIVEIRA </t>
  </si>
  <si>
    <t>RAFAEL LIMA DA SILVA</t>
  </si>
  <si>
    <t>KROMBERG &amp; SCHUBERT</t>
  </si>
  <si>
    <t>AGNE MINDONSA</t>
  </si>
  <si>
    <t xml:space="preserve">GRACIELA FERNANDA MENDES - Declinou do processo pois mudará de estado </t>
  </si>
  <si>
    <t xml:space="preserve">ERIDAN DOS REIS CERQUEIRA </t>
  </si>
  <si>
    <t>LUCIVAL VENERANDO RIBEIRO</t>
  </si>
  <si>
    <t xml:space="preserve">LUCIANA LOPES DA SILVA </t>
  </si>
  <si>
    <t xml:space="preserve">MARLON JOSE GONÇALVES MOREIRA </t>
  </si>
  <si>
    <t>LEA CRISTINA DE TOLEDO</t>
  </si>
  <si>
    <t>RICKSON SODRÉ CAMARGO</t>
  </si>
  <si>
    <t>MONICA ALESSANDRA CARVALHO</t>
  </si>
  <si>
    <t>VINICIUS MATEUS VIEGAS</t>
  </si>
  <si>
    <t>KROMBERG &amp; SCHUBERT MG</t>
  </si>
  <si>
    <t>THAIS APARECIDA PEREIRA SILVA</t>
  </si>
  <si>
    <t>ANGELA APARECIDA DA SILVA</t>
  </si>
  <si>
    <t>LUCAS DOS SANTOS BARBOSA JUNIOR</t>
  </si>
  <si>
    <t>MARCOS FLAVIO DE SALLES</t>
  </si>
  <si>
    <t>RAQUEL LIMA ROSA</t>
  </si>
  <si>
    <t>ALESSANDRO SIDNEY DE OLIVEIRA</t>
  </si>
  <si>
    <t>AMANDA CAROLINE DE SOUZA FRIAS</t>
  </si>
  <si>
    <t>DOUGLAS WERTON DOS SANTOS</t>
  </si>
  <si>
    <t>ELIANE DO PRADO BENTO</t>
  </si>
  <si>
    <t>JOSE VICTOR</t>
  </si>
  <si>
    <t xml:space="preserve">ELISANE LEITE </t>
  </si>
  <si>
    <t>CANDIDATA: RAFAELA DE JESUS DOS SANTOS, declinou em 29/06/2026 após informar que irá cuidar do pai após o mesmo sofrer um acidente. CANDIDATA: ANDREIA BERNARDO DA SILVA, declinou em 01.07.2026, após varias tentativas de contato após o envio da documentação, não compareceu ao Aso, não atende ligações, visualiza mensagens e não responde.</t>
  </si>
  <si>
    <t>LIDER MONITORAMENTO A</t>
  </si>
  <si>
    <t>ARTHUR GONCALVES</t>
  </si>
  <si>
    <t>C.M.O.</t>
  </si>
  <si>
    <t>PROMOÇÃO</t>
  </si>
  <si>
    <t xml:space="preserve">VIULLIAN VALVICK LIMA DIAS </t>
  </si>
  <si>
    <t xml:space="preserve">VINICIUS PALMEIRA DE SOUZA </t>
  </si>
  <si>
    <t xml:space="preserve">MAGALI OLIVEIRA DA LUZ </t>
  </si>
  <si>
    <t>ASO AGENDADO P/ 24.06 NA ITA - JUNDIAÍ</t>
  </si>
  <si>
    <t>CLAUDIA DE PAULA FELIX</t>
  </si>
  <si>
    <t xml:space="preserve">MARIA LUCIA DA SILVA </t>
  </si>
  <si>
    <t xml:space="preserve">ELIANE DIAS BESERRA </t>
  </si>
  <si>
    <t>CANDIDATA: CARINE DE JESUS  Declinou em 01.07.2026, após o não comparecimento por 2x no exame admissional, dificil contato, e falta de envio da documentação.Candidata ROSINEIDE SANTOS DE OLIVEIRA, declinou em 10/07 após não ter retorno de ligações e mensagens.</t>
  </si>
  <si>
    <t xml:space="preserve">ELISETE RODRIGUES </t>
  </si>
  <si>
    <t>CANDIDATA DAIANE AMARAL, declinou em 26/06 após o não comparecimento por duas vezes na realização do Aso, e não retornando as mensagens e ligações.</t>
  </si>
  <si>
    <t>RENATA GOUVEIA</t>
  </si>
  <si>
    <t>em 25.06 Luana Santos da Silva, declinou, pois arrumou outro trabalho - em 16.07 declinamos com a Geovana Fazolin da Paz, pois não fez exame. CANDIDATA GABRIELLE LORAYNE IZABEL declinou em 21/07 após não comparecer ao Aso, nem retorno por mensagem e ligações.</t>
  </si>
  <si>
    <t xml:space="preserve">19 99947 8803 </t>
  </si>
  <si>
    <t xml:space="preserve">LEONARDO FURTADO CALIXTO </t>
  </si>
  <si>
    <t>Candidata :ELAINE APARECIDA DOS SANTOS  declinou em 18.06.2026, após não comparecer ao Aso, não retornar mensagens e ligações.</t>
  </si>
  <si>
    <t>08:20H - 13:40  - 22:00  C/ 1H INTERV</t>
  </si>
  <si>
    <t xml:space="preserve">Indicação da supervisão - Sthephany </t>
  </si>
  <si>
    <t>19 99726 6784</t>
  </si>
  <si>
    <t xml:space="preserve">MARCELO  ASSIS DOS SANTOS </t>
  </si>
  <si>
    <t xml:space="preserve">Declinou no dia 18/o06 STHEPHANY COSTA SANTANA DEBONIS </t>
  </si>
  <si>
    <t>Cand Jane aprovada 23/06|</t>
  </si>
  <si>
    <t>Em 24.06 Jane Moreira Mendes desisitu da vaga - vaga caneçada por alteração de escopo</t>
  </si>
  <si>
    <t>01/07/26</t>
  </si>
  <si>
    <t>11 96188-1334</t>
  </si>
  <si>
    <t>NATAN MOREIRA DA SILVA</t>
  </si>
  <si>
    <t xml:space="preserve">ALINE APARECIDA ALVES DA SILVA </t>
  </si>
  <si>
    <t>ANA CRISTINA DINIZ</t>
  </si>
  <si>
    <t>ABNER SANTOS</t>
  </si>
  <si>
    <t>VIGIA MONITOR</t>
  </si>
  <si>
    <t>ARTE PRIME RESIDENCE</t>
  </si>
  <si>
    <t>Cand Marcos aprovado 26/06 E DECLINOU| CAND Rodolfo ap 06/07</t>
  </si>
  <si>
    <t xml:space="preserve">RODOLFO SANTOS MOTTA </t>
  </si>
  <si>
    <t>Em 01.07 declinamos com Marcos Vinícius Pereira Cury, pois não fez o exame admissional, pois não tem RG Físico</t>
  </si>
  <si>
    <t>Indaiatuba - mulher</t>
  </si>
  <si>
    <t>08/07/26</t>
  </si>
  <si>
    <t>19 98948-5397</t>
  </si>
  <si>
    <t>VALERIA REGINA MIGUEL DOS SANTOS</t>
  </si>
  <si>
    <t>11 95059-2088</t>
  </si>
  <si>
    <t>ALANA MARTINS SOUZA</t>
  </si>
  <si>
    <t xml:space="preserve">Integração Malote </t>
  </si>
  <si>
    <t>11 97870-1305</t>
  </si>
  <si>
    <t>LUCAS GABRIEL REZENDE INACIO</t>
  </si>
  <si>
    <t>Luana Aprovada</t>
  </si>
  <si>
    <t xml:space="preserve">JOSE ROBERTO DIAS JUNIOR </t>
  </si>
  <si>
    <t xml:space="preserve">LUANA DE OLIVEIRA COSTA GONÇALVES  - Desistencia </t>
  </si>
  <si>
    <t>cand Leandro ap</t>
  </si>
  <si>
    <t xml:space="preserve">LEANDRO LONGO DA SILVA </t>
  </si>
  <si>
    <t>INSPETOR 2</t>
  </si>
  <si>
    <t>MARCELO NEJO</t>
  </si>
  <si>
    <t>SUPERVISAO SEGURANCA CAMPINAS-MOGI AREA 04</t>
  </si>
  <si>
    <t>4X1</t>
  </si>
  <si>
    <t>19 98242-1833</t>
  </si>
  <si>
    <t xml:space="preserve">LEANDRO DA SILVA RUIZ BRABO </t>
  </si>
  <si>
    <t>11 96081-9341</t>
  </si>
  <si>
    <t>JADSON MORAES</t>
  </si>
  <si>
    <t>Candidato Gilson aprovado 26/06 desistiu da vaga devido a distancia e analisar melhor a proposta</t>
  </si>
  <si>
    <t>em 24.06 - declinamos com Vagner Machado de Brito, por falta de envio de documentos--- GILSON DE JESUS DOS SANTOS, DESISTIU NO DIA DO EXAME, recorrente age dessa forma, candidato ADRIANO DA SILVA desistiu durante a inteqração no dia 13/07</t>
  </si>
  <si>
    <t xml:space="preserve">19 98224 0457 </t>
  </si>
  <si>
    <t xml:space="preserve">KAUAN APARECIDO DE OLIVEIRA DA SILVA </t>
  </si>
  <si>
    <t>EUDILEIA DA SILVA SALOMÉ</t>
  </si>
  <si>
    <t>INDICAÇÃO SUPERVISOR ELIZEU</t>
  </si>
  <si>
    <t>+55 15 99705-6930</t>
  </si>
  <si>
    <t>19/06</t>
  </si>
  <si>
    <t>VANESSA DA COSTA</t>
  </si>
  <si>
    <t>11 99318-6652</t>
  </si>
  <si>
    <t>CHARLES DE BRITO</t>
  </si>
  <si>
    <t>ZIMBA - AIRTON SENA</t>
  </si>
  <si>
    <t>ITAQUAQUECETUBA</t>
  </si>
  <si>
    <t xml:space="preserve">JESSICA SALOMÃO NASCIMENTO DA SILVA </t>
  </si>
  <si>
    <t xml:space="preserve">ONEI CARLOS ALVES DE ASSUNÇÃO </t>
  </si>
  <si>
    <t>GABRIEL GOMES DA SILVIA</t>
  </si>
  <si>
    <t>PAULO FERNANDES ROCHA</t>
  </si>
  <si>
    <t>ZIMBA - D PEDRO</t>
  </si>
  <si>
    <t xml:space="preserve">WALLACE LEONARDO RAMOS SILVA </t>
  </si>
  <si>
    <t>1194110-3925</t>
  </si>
  <si>
    <t>RONEY CARLOS AGUIRRA</t>
  </si>
  <si>
    <t>Email enviado 13/07 - Não tem vaga na escala 6x1.</t>
  </si>
  <si>
    <t>13/07/26</t>
  </si>
  <si>
    <t>24/06/26</t>
  </si>
  <si>
    <t>BOREALIS BRASIL SA</t>
  </si>
  <si>
    <t>JOSÉ ANTONIO AVELINO DOS REIS</t>
  </si>
  <si>
    <t>CAMPINAS7 - RESERVA TÉCNICA - FACILITIES</t>
  </si>
  <si>
    <t>Karry Center</t>
  </si>
  <si>
    <t>ANALISTA FINANCEIRO JR</t>
  </si>
  <si>
    <t>MARIA ELENA</t>
  </si>
  <si>
    <t>FINANCEIRO</t>
  </si>
  <si>
    <t>2 DESISTÊNCIAS NA PROPOSTA (01/07)</t>
  </si>
  <si>
    <t>NATALIA MATIASSI ALTEZANI CESARINO - Declinou do processo pois irá passar por uma cirurgia de emergência, desistencia dia 22/06</t>
  </si>
  <si>
    <t>14/07/26</t>
  </si>
  <si>
    <t>ROSEMEIRE ALVES BEZERRA</t>
  </si>
  <si>
    <t>+55 11 97378-3212</t>
  </si>
  <si>
    <t>ALEXSANDRO DINIZ MARINHO</t>
  </si>
  <si>
    <t>19 98235-8955</t>
  </si>
  <si>
    <t>22/07</t>
  </si>
  <si>
    <t>STHEFANY RUANA SOUZA DE ASSIS</t>
  </si>
  <si>
    <t>declinou no dia 08/07 JANAINA TAVARES PEREIRA  Declinou no dia 14/07 CAMILA OLIVEIRA PACHECO</t>
  </si>
  <si>
    <t>11 91558-7723</t>
  </si>
  <si>
    <t>EVERTON SILVA DE OLIVEIRA</t>
  </si>
  <si>
    <t>11 93731-6068</t>
  </si>
  <si>
    <t>CLARA MORAES</t>
  </si>
  <si>
    <t>Candidata LEIDEJANE SANTOS DE SOUSA declinou em 02.07.2026 após não comparecer na integração, sem retorno por ligação e mensagens.</t>
  </si>
  <si>
    <t>19 99255 4402</t>
  </si>
  <si>
    <t xml:space="preserve">STEFANI CRISTINA BRETH DA SILVA </t>
  </si>
  <si>
    <t>Cnad Eduardoi aprovado dia 30/06</t>
  </si>
  <si>
    <t>EDUARDO DE CAMARGO</t>
  </si>
  <si>
    <t>Cand Maria aprovada</t>
  </si>
  <si>
    <t xml:space="preserve">Declinou no dia 17/07 SIMONE BARBOSA DOS SANTOS   Declinou no dia 2/07 JOYCE QUEIROZ FARIAS </t>
  </si>
  <si>
    <t>19 99398 2044</t>
  </si>
  <si>
    <t xml:space="preserve">INGRID MAYSES LINS TIGRE </t>
  </si>
  <si>
    <t>Aberta em duplicidade vaga sendo usada é a 30873</t>
  </si>
  <si>
    <t>Cand Sergio aprovado, declinou</t>
  </si>
  <si>
    <t>119  1296-3939</t>
  </si>
  <si>
    <t xml:space="preserve">SERGIO PETRONI </t>
  </si>
  <si>
    <t>19 99291-1681</t>
  </si>
  <si>
    <t>25/06</t>
  </si>
  <si>
    <t>CINTHIA KELLY DA PENHA GOMES</t>
  </si>
  <si>
    <t>INDICAÇÃO ANTONIO SERGIO CLIENTE</t>
  </si>
  <si>
    <t>MARCIO CORREIA DA SILVA</t>
  </si>
  <si>
    <t>ASO - AGENDADO  P/ 23.06 NA CLÍNICA MEDNET - SOROCABA</t>
  </si>
  <si>
    <t>11 98599 5684</t>
  </si>
  <si>
    <t xml:space="preserve">MARIA DA CONCEIÇÃO SOUZA RODRIGUES </t>
  </si>
  <si>
    <t xml:space="preserve">MARCOS FABIO DE SOUZA </t>
  </si>
  <si>
    <t>Candidato fELIPE jOSÉ DOS SANTOS declinado do processo por ser ex-funcionário e não ter informado em entrevista</t>
  </si>
  <si>
    <t>TARDE</t>
  </si>
  <si>
    <t>JOANA PEREIRA FEITOSA DA SILVA</t>
  </si>
  <si>
    <t>Exame 06/07/26</t>
  </si>
  <si>
    <t>03/07 - ANA JULIA CARVALHO DOS REIS, desistiu da vaga</t>
  </si>
  <si>
    <t>KATIA REGINA MOREIRA DE JESUS</t>
  </si>
  <si>
    <t>Exame agendado: 08/07</t>
  </si>
  <si>
    <t>19 98277 4535</t>
  </si>
  <si>
    <t>22/06</t>
  </si>
  <si>
    <t xml:space="preserve">THALIA CRISTINE COSTA GARCIA </t>
  </si>
  <si>
    <t>(11)98044-8407</t>
  </si>
  <si>
    <t>JULIA CAROLINE MUNIZ DA SILVA</t>
  </si>
  <si>
    <t>11 98372-7250</t>
  </si>
  <si>
    <t>IZINELI LILIAN ROSA</t>
  </si>
  <si>
    <t>11 93201-6900</t>
  </si>
  <si>
    <t>JOSE RODRIGO APARECIDO DA SILVA ROCHA</t>
  </si>
  <si>
    <t>OURO VERDE</t>
  </si>
  <si>
    <t>CERQUILHO</t>
  </si>
  <si>
    <t xml:space="preserve">ROSICLEIA GONZAGA VIANA </t>
  </si>
  <si>
    <t>23/06 - Documentação OK, ASO dia 23/06 periodo da tarde</t>
  </si>
  <si>
    <t xml:space="preserve">SOLANGE VIEIRA DA SILVA </t>
  </si>
  <si>
    <t xml:space="preserve">WANDERSON VIEIRA </t>
  </si>
  <si>
    <t>23/06 - Falta PIS, Banco, Escolaridade  - ASO dia 24/06 em função do complementar</t>
  </si>
  <si>
    <t>15-996477105</t>
  </si>
  <si>
    <t>EWERTON ALVES MATOSO</t>
  </si>
  <si>
    <t xml:space="preserve">23/06 - Falta PIS, Banco, SUS, Certidão Nascimento e  Escolaridade  - ASO OK </t>
  </si>
  <si>
    <t>15 991695027</t>
  </si>
  <si>
    <t>JEAN RICARDO DA SILVA MOREIRA</t>
  </si>
  <si>
    <t xml:space="preserve">23/06 - Falta RG e CPF , Titulo, Reservista, SUS , Certidão Nascimento e  Escolaridade  - ASO OK </t>
  </si>
  <si>
    <t xml:space="preserve">GIOVANE LEANDRO DA COSTA DIAS DE OLIVEIRA </t>
  </si>
  <si>
    <t>23/06 - Documentação OK - so falta o resultado do ASO</t>
  </si>
  <si>
    <t>LUCAS MARÇOLA PORTASIO</t>
  </si>
  <si>
    <t>ALINE DIAS DE MENDONÇA DUTRA</t>
  </si>
  <si>
    <t>23/06 - Falta o título de eleitor -ASO dia 23/06 período da tarde</t>
  </si>
  <si>
    <t>SAO GABRIEL</t>
  </si>
  <si>
    <t>PEDRO HENRIQUE DA HORA</t>
  </si>
  <si>
    <t>12X37</t>
  </si>
  <si>
    <t>MARCELO GOMES</t>
  </si>
  <si>
    <t>ANA PAULA DA SILVA N. AMARAL</t>
  </si>
  <si>
    <t>EMm 25.06 declinamos com o Felipe Ribeiro Breviglieri, por falta de envio dos documentos</t>
  </si>
  <si>
    <t>1197178-9852</t>
  </si>
  <si>
    <t xml:space="preserve">SONIA DE AZEVEDO MARQUES </t>
  </si>
  <si>
    <t>CESTA CLIENTE 151,91 - LEANDRO MOREIRA, DESISTIU-10/07 - Rogerio desistiu</t>
  </si>
  <si>
    <t>INDICAÇÃO AMIGO</t>
  </si>
  <si>
    <t>SERGIO COSTA</t>
  </si>
  <si>
    <t>26/06 - MARTA APARECIDA GOMES NEGRAO DESISTIU  15/07 - THAISI DA SILVA MENDES (reprovada pesquisa)</t>
  </si>
  <si>
    <t>19 97816-8656</t>
  </si>
  <si>
    <t>PATRICIA DE OLIVEIRA AUGUSTO NETTO</t>
  </si>
  <si>
    <t>INDICAÇÃO GISLENE SUPERVISORA</t>
  </si>
  <si>
    <t>19 99310-4965</t>
  </si>
  <si>
    <t>ZILDA DE SOUZA PEREIRA CANO</t>
  </si>
  <si>
    <t>LÍDER DE LIMPEZA 27</t>
  </si>
  <si>
    <t>06/07/26</t>
  </si>
  <si>
    <t>ALINE APARECIDA DE MATOS</t>
  </si>
  <si>
    <t>FACILITIES5 - FERISTA</t>
  </si>
  <si>
    <t xml:space="preserve">NICOLE DOS SANTOS- Declinamos do processo por falta de retorno </t>
  </si>
  <si>
    <t>10/07/2026</t>
  </si>
  <si>
    <t>Indicação Andrea Encarregada Fareva</t>
  </si>
  <si>
    <t xml:space="preserve">KAYLANE DE BRITO SIQUEIRA </t>
  </si>
  <si>
    <t>em 03.07 declinamos com a Renata Alexandre da Silva, pois não enviou enviou os documentos</t>
  </si>
  <si>
    <t>19 99344-4368</t>
  </si>
  <si>
    <t>VITOR SALOMAO TELES DOS SANTOS</t>
  </si>
  <si>
    <t>PORTAL DA PRIMAVERA</t>
  </si>
  <si>
    <t>Entrevista com o Lucas 23/06</t>
  </si>
  <si>
    <t>11 93298-5336</t>
  </si>
  <si>
    <t>PEDRO TOMAZ PESSOA FILHO</t>
  </si>
  <si>
    <t xml:space="preserve">ADRIANA LOPES GOMES </t>
  </si>
  <si>
    <r>
      <t xml:space="preserve">SP3 - RESERVA TECNICA - FACILITIES </t>
    </r>
    <r>
      <rPr>
        <b/>
        <sz val="11"/>
        <color theme="1"/>
        <rFont val="Calibri Light"/>
        <family val="2"/>
        <scheme val="major"/>
      </rPr>
      <t>(BUTANTÃ, JABAQUARA)</t>
    </r>
  </si>
  <si>
    <t>INDICAÇÃO DE AMIGAS</t>
  </si>
  <si>
    <t>VALDIRENE DOS SANTOS CORREIA</t>
  </si>
  <si>
    <r>
      <t xml:space="preserve">SP3 - RESERVA TECNICA - FACILITIES </t>
    </r>
    <r>
      <rPr>
        <b/>
        <sz val="11"/>
        <color theme="1"/>
        <rFont val="Calibri Light"/>
        <family val="2"/>
        <scheme val="major"/>
      </rPr>
      <t>(FERISTA PROMAX)</t>
    </r>
  </si>
  <si>
    <t>CREUZA DOS SANTOS DIAS</t>
  </si>
  <si>
    <t>ROSANA GOMES DOS SANTOS</t>
  </si>
  <si>
    <t xml:space="preserve">JOSILENE OLIVEIRA SANTOS </t>
  </si>
  <si>
    <t>CLEONARIA ESTRELA MACEDO, desistiu pois encotrou outro mais perto.</t>
  </si>
  <si>
    <t>19 98199 9525</t>
  </si>
  <si>
    <t xml:space="preserve">JULIO CESAR DE OLIVEIRA </t>
  </si>
  <si>
    <t>SUPERVISOR DE LIMPEZA 6</t>
  </si>
  <si>
    <t>4 clientes com entrevista agendada com o cliente dia 24/07</t>
  </si>
  <si>
    <t>IDIAMARIA</t>
  </si>
  <si>
    <t>Candidata MARIA VITORIA BARBOSA SILVA, declinou em 02/07 após não enviar documentação nem comparecer ao ASO, sem contato através de ligação e mensagens.</t>
  </si>
  <si>
    <t>19 97167-0394</t>
  </si>
  <si>
    <t>ANDRESSA EMANUELLE MENDES</t>
  </si>
  <si>
    <t>Candidata informou ter recebido proposta melhor (06/07)</t>
  </si>
  <si>
    <t>NAARA MELO SANTOS</t>
  </si>
  <si>
    <t>Exame 29/06</t>
  </si>
  <si>
    <t xml:space="preserve">SARA ORTEGA PERES, desistência </t>
  </si>
  <si>
    <t>19 98120-3330</t>
  </si>
  <si>
    <t>CARLOS EDUARDO PEREIRA</t>
  </si>
  <si>
    <t>LUIZ FELIPE OLIVEIRA GOMES</t>
  </si>
  <si>
    <t>MARIA JARDENIA, desistência</t>
  </si>
  <si>
    <t>TK LOGISTICA DO BRASIL LTDA.</t>
  </si>
  <si>
    <t>PAULO CESAR MARTINS ALVES</t>
  </si>
  <si>
    <t>03/07 - Aloísio José Rodrigues Santos  (Reprovado pesquisa)</t>
  </si>
  <si>
    <t>19 99846-3929</t>
  </si>
  <si>
    <t>MIRLANGE RODRIGUES DOS SANTOS</t>
  </si>
  <si>
    <t>Ana Maria aprovada 25/06</t>
  </si>
  <si>
    <t>indicação CRIS</t>
  </si>
  <si>
    <t>1999907-9288</t>
  </si>
  <si>
    <t>CANDIDATA ANA MARIA DA COSTA, declinou em 29/06 após desistir da vaga informando que irá viajar sem previsão de retorno.</t>
  </si>
  <si>
    <t>Parabéns! Em breve entraremos em contato com as próximas etapas e orientações para admissão.</t>
  </si>
  <si>
    <t>Grupo de Vagas Watsapp</t>
  </si>
  <si>
    <t>HENRIQUE PEREIRA DA SILVA</t>
  </si>
  <si>
    <t>Exame: 14/07</t>
  </si>
  <si>
    <t>Ficamos felizes com seu desempenho e desejamos boas-vindas à equipe!</t>
  </si>
  <si>
    <t xml:space="preserve">Candidato PATRICK LUIZ DE OLIVEIRA, declinou em 02/07/2026 no dia da integração, por motivos pessoais. JADSON MOTA CARNEIRO CUNHA, desistencia </t>
  </si>
  <si>
    <t>11 93093-5073</t>
  </si>
  <si>
    <t>Atenciosamente,</t>
  </si>
  <si>
    <t>Gabriela Moraes</t>
  </si>
  <si>
    <t xml:space="preserve">DAISY DIOGO AMANCIO </t>
  </si>
  <si>
    <t>JOSIVAN MIRANDA DE SOUSA</t>
  </si>
  <si>
    <t>ANGELICA APARECIDA ALVES</t>
  </si>
  <si>
    <t>11 91715-6988</t>
  </si>
  <si>
    <t>MARIA HELENAILDE DOS SANTOS PEREIRA</t>
  </si>
  <si>
    <t>11 91434-3889</t>
  </si>
  <si>
    <t xml:space="preserve">ALEXSANDRO RODRIGUES DA CRUZ </t>
  </si>
  <si>
    <t>11 94981-4635</t>
  </si>
  <si>
    <t>Maria de Lourdes Alves de Lima</t>
  </si>
  <si>
    <t>11 91877-4744</t>
  </si>
  <si>
    <t>PRISCILA SALDANHA DE ALMEIDA</t>
  </si>
  <si>
    <t>FRANCILDA BEZERRA DOS SANTOS</t>
  </si>
  <si>
    <t>Exame: 01/07</t>
  </si>
  <si>
    <t>DANIEL DA SILVA</t>
  </si>
  <si>
    <t>11 91308-2817</t>
  </si>
  <si>
    <t xml:space="preserve">FABIANA OLIVEIRA </t>
  </si>
  <si>
    <t>GUILHERME ANDRADE MOTTA</t>
  </si>
  <si>
    <t>11 95375-5460</t>
  </si>
  <si>
    <t>21/07</t>
  </si>
  <si>
    <t>EUNICE OLIVEIRA DOS SANTOS</t>
  </si>
  <si>
    <t>Candidata declinou da vaga por problemas pessoais 29/06</t>
  </si>
  <si>
    <t xml:space="preserve">LUCINEIDE DOS SANTOS </t>
  </si>
  <si>
    <t>Candidata Daniela informou declinar da vaga devido a problemas pessoais 29/06</t>
  </si>
  <si>
    <t>09H-07:00-16:00 C/INT SEG- SEX/ 04H SD</t>
  </si>
  <si>
    <t xml:space="preserve">RAISSA VITORIA, DESISTENCIA </t>
  </si>
  <si>
    <t>11 99441-8642</t>
  </si>
  <si>
    <t>BEATRIZ APARECIDA DE OLIVEIRA</t>
  </si>
  <si>
    <t>Candidata Irani estava com integração agendada (08/07) porém não compareceu e informou que torceu o pé</t>
  </si>
  <si>
    <t>11 99601-8007</t>
  </si>
  <si>
    <t>MARIA CRISTINA DA SILVA ARCANJO</t>
  </si>
  <si>
    <t>cand Maria aprovada</t>
  </si>
  <si>
    <t>SCARLEES MARIA TINEO DIAZ</t>
  </si>
  <si>
    <t>indicação Elizeu</t>
  </si>
  <si>
    <t xml:space="preserve">ALTAMIRO ROSA </t>
  </si>
  <si>
    <r>
      <t xml:space="preserve">SP3 - RESERVA TECNICA - FACILITIES </t>
    </r>
    <r>
      <rPr>
        <b/>
        <sz val="11"/>
        <color theme="1"/>
        <rFont val="Calibri Light"/>
        <family val="2"/>
        <scheme val="major"/>
      </rPr>
      <t>(LESTE, GUARULHOS CENTRO)</t>
    </r>
  </si>
  <si>
    <t>13/07 - Cinthia quebrou o braço desistiu da vaga</t>
  </si>
  <si>
    <t>Grupo Watsapp</t>
  </si>
  <si>
    <t>LILIANE SANTOS DA SILVA SÁ</t>
  </si>
  <si>
    <t>SUPERVISOR DE FACILITIES</t>
  </si>
  <si>
    <t>FERNANDO PRATES</t>
  </si>
  <si>
    <t>SUPERVISÃO FACILITIES SP AREA 03</t>
  </si>
  <si>
    <t>INDICAÇÃO</t>
  </si>
  <si>
    <t>11 98551-0716</t>
  </si>
  <si>
    <t>RONALDO GUEZINE PIRES</t>
  </si>
  <si>
    <t>Exame médico 09/07/26</t>
  </si>
  <si>
    <t>WATSAPP DELPHOS</t>
  </si>
  <si>
    <t>SOLANGE APARECIDA MORAIS</t>
  </si>
  <si>
    <t>Exame 30/06</t>
  </si>
  <si>
    <t>JOSE FERNANDO BENTO DE AMORIM</t>
  </si>
  <si>
    <t>11 92194-4593</t>
  </si>
  <si>
    <t>CARLA DANIELLI BARBOZA</t>
  </si>
  <si>
    <t>FERNANDA SOARES DE ATAIDE DA ROCHA - desistiu da vaga em 10/07</t>
  </si>
  <si>
    <t>Candidata Regislaine não compareceu para integração por 2x, considerando como desistencia da vaga 21/07</t>
  </si>
  <si>
    <t>71 9713-9618</t>
  </si>
  <si>
    <t xml:space="preserve">REJANE MARIA </t>
  </si>
  <si>
    <t>Em 01.07 declinamos com Kátia Simone Barbosa de Araújo, pois não compareceu na integração</t>
  </si>
  <si>
    <t>+55 11 91270-2248</t>
  </si>
  <si>
    <t xml:space="preserve">MARIA EDUARDA RODRIGUES DOS SANTOS </t>
  </si>
  <si>
    <t>TV ALIANCA - SOROCABA</t>
  </si>
  <si>
    <t>LUIZ OTAVIO FERREIRA CANABRAVA</t>
  </si>
  <si>
    <t xml:space="preserve">FRANCISCA RAQUEL BATISTA SOUSA </t>
  </si>
  <si>
    <t xml:space="preserve">LEANDRO LEONAN GRUBE DOS SANTOS </t>
  </si>
  <si>
    <t xml:space="preserve">MAYRA GOMES DA SILVA </t>
  </si>
  <si>
    <t>COORD ADM VENDAS</t>
  </si>
  <si>
    <t>INÍCIO 06/07</t>
  </si>
  <si>
    <t>VANDERLEIA FARIDE</t>
  </si>
  <si>
    <t>ANPPLA SHOPPING</t>
  </si>
  <si>
    <t>INDICAÇÃO SUPERVISOR EMERSON</t>
  </si>
  <si>
    <t xml:space="preserve"> 11 98427-3617</t>
  </si>
  <si>
    <t>TIAGO CARVALHO DA SILVA</t>
  </si>
  <si>
    <t>campinas - mulher pelo menos a CNH A</t>
  </si>
  <si>
    <t>FRANCIELI DA SILVA</t>
  </si>
  <si>
    <t>RECEPCIONISTA 28</t>
  </si>
  <si>
    <t>09:30H - 08:00 - 17:30 C/ 1H INTERV</t>
  </si>
  <si>
    <t>LIDIANE GRAZIELE</t>
  </si>
  <si>
    <t>ALINE DE OLIVEIRA COSTA</t>
  </si>
  <si>
    <t>19 99306 4672</t>
  </si>
  <si>
    <t xml:space="preserve">SHIRLEY MARIANA BARBOSA FERNANDES </t>
  </si>
  <si>
    <t>Facebook</t>
  </si>
  <si>
    <t>MONICA CARVALHO SATURNINO</t>
  </si>
  <si>
    <t>SUPERVISOR3 - FERISTA - SEGURANCA</t>
  </si>
  <si>
    <t>Cand Marcelo ap 20/07</t>
  </si>
  <si>
    <t>MARCELO LIMA DA SILVA, desistência no dia da integração, veiculo quebrou</t>
  </si>
  <si>
    <t>BRUNA OLIVEIRA</t>
  </si>
  <si>
    <t>Robson aprovado 17/07</t>
  </si>
  <si>
    <t>CANDIDATO ROBSON FERREIRA, declinou em 22/07 após não retornar as mensagens e ligações.</t>
  </si>
  <si>
    <t>19 99528 2256</t>
  </si>
  <si>
    <t xml:space="preserve">30/06 </t>
  </si>
  <si>
    <t xml:space="preserve">DENISE MACEDO VITOR </t>
  </si>
  <si>
    <t>07/07 - ROBERTA BERNARDINO DE SELES DECLINOU</t>
  </si>
  <si>
    <t>12H-06:00-18:00 C/ INT SEG-SAB S/INT DF</t>
  </si>
  <si>
    <t>CAT</t>
  </si>
  <si>
    <t>RENATA APARECIDA DA SILVA</t>
  </si>
  <si>
    <t>Exame agendado 02/07</t>
  </si>
  <si>
    <t xml:space="preserve"> 73 9918-9180</t>
  </si>
  <si>
    <t>MANOELA LIMA DA SILVA</t>
  </si>
  <si>
    <t>Candidata Adeildes estava com integração agendada (08/07) porém não compareceu e não deu retorno. CANDIDATA GILMARA CAMPOS SILVA, declinou em 13/07 após desistir da vaga e não comparecer por 2x no agendamento do ASO. Candidata Viviane indicação da supervisora Maiara informou que desiste da vaga por estar trabalhando 21/07</t>
  </si>
  <si>
    <t xml:space="preserve">DIRLENE MARIA DA SILVA </t>
  </si>
  <si>
    <t>Candidata Gabriela estava com integração e exame agendado para data (08/07) porém não compareceu para exame e nem para integração // SANDRA AMÉLIA - Declinamos do processo pois não veio na integração e não respondeu as mensagens dia 15.07</t>
  </si>
  <si>
    <t>ZELADOR 7</t>
  </si>
  <si>
    <t>MIRANTE DO JAPI</t>
  </si>
  <si>
    <t xml:space="preserve">MANOEL CAIRES </t>
  </si>
  <si>
    <t>VIGILANTE 3</t>
  </si>
  <si>
    <t>JULIANA APARECIDA CANDIDO</t>
  </si>
  <si>
    <t>08:30H - 14:00 - 22:30 C/INT 06H SAB</t>
  </si>
  <si>
    <t>indicação de uma candidata</t>
  </si>
  <si>
    <t xml:space="preserve">ISABELLE CRISTINA </t>
  </si>
  <si>
    <t xml:space="preserve">SP3 - FERISTA - FACILITIES </t>
  </si>
  <si>
    <t>01/07 - JOVITA EMILIA DESISTIU DA VAGA - 07/07 - Daiana Marceli, faltou no exame médico por 2x, retirada do processo</t>
  </si>
  <si>
    <t>Watsapp</t>
  </si>
  <si>
    <t>MARIA DAS MERCES SILVA BATISTA</t>
  </si>
  <si>
    <t>SYNVIA</t>
  </si>
  <si>
    <t>PAULÍNIA</t>
  </si>
  <si>
    <t>09H - 6:00 ás 14:40  C/INT SEG- SEX/04H SAB</t>
  </si>
  <si>
    <t xml:space="preserve">19 98210 7208 </t>
  </si>
  <si>
    <t xml:space="preserve">GISLAINE DE JESUS ROCHA </t>
  </si>
  <si>
    <t>92 8181 3424</t>
  </si>
  <si>
    <t xml:space="preserve">IZOLINA DE SOUSA COSTA </t>
  </si>
  <si>
    <t>12H - 06:00-18:00 C/ 1H INTERV</t>
  </si>
  <si>
    <t>06:00 AS 18:00 HORÁRIO CORRETO</t>
  </si>
  <si>
    <t xml:space="preserve">13 98216 8778 </t>
  </si>
  <si>
    <t xml:space="preserve">CAMILLY PEREIRA DE OLIVEIRA </t>
  </si>
  <si>
    <t>ROBERTSON PETER SILVA DOS SANTOS</t>
  </si>
  <si>
    <t>cand sara</t>
  </si>
  <si>
    <t>SARA PEREIRA CHAGAS</t>
  </si>
  <si>
    <t>em 10.07 declinamos com a Caroline Domingues, por falta de retorno</t>
  </si>
  <si>
    <t>OPERADOR DE MONITORAMENTO 3</t>
  </si>
  <si>
    <t>CINTIA</t>
  </si>
  <si>
    <t>VALIDAÇÃO DE PERFIL COM A SUPERVISÃO</t>
  </si>
  <si>
    <t>Cand Arnanldo ap 13/07</t>
  </si>
  <si>
    <t>CANDIDATA DARIELLY DE OLIVEIRA, desistiu da vaga em 21/07 por problemas pessoais com a mãe.</t>
  </si>
  <si>
    <t>LEANDRO FARIAS DE OLIVEIRA</t>
  </si>
  <si>
    <t>CP KELCO - MATÃO</t>
  </si>
  <si>
    <t>MATÃO</t>
  </si>
  <si>
    <t>aguardando Leandro encaminhar a indicação</t>
  </si>
  <si>
    <t>16 99797-0312</t>
  </si>
  <si>
    <t>ALESSANDRA FELIX DE SOUZA</t>
  </si>
  <si>
    <t xml:space="preserve">INTEGRAÇÃO PROGAMADA </t>
  </si>
  <si>
    <t xml:space="preserve">19 98992 3513 </t>
  </si>
  <si>
    <t xml:space="preserve">PATRICIA SOUZA ROBEIRO </t>
  </si>
  <si>
    <t xml:space="preserve">19 99332 1818 </t>
  </si>
  <si>
    <t xml:space="preserve">23/07 </t>
  </si>
  <si>
    <t xml:space="preserve">RAILDA SOUZA DE OLIVEIRA NASCIMENTO </t>
  </si>
  <si>
    <t>Declinou no dia 21/07 ANGELA APARECIDA DE OLIVEIRA</t>
  </si>
  <si>
    <t>base</t>
  </si>
  <si>
    <t xml:space="preserve">DOUGLAS BESERRA DOS SANTOS </t>
  </si>
  <si>
    <t xml:space="preserve">NR CONDOMINIO EMPRESÁRIAL </t>
  </si>
  <si>
    <t>mulher</t>
  </si>
  <si>
    <t xml:space="preserve">19 99796 6545 </t>
  </si>
  <si>
    <t xml:space="preserve">GRACIETE MARIA DO BOMFIM </t>
  </si>
  <si>
    <t xml:space="preserve">Declinou no dia 21/07 GRACIETE MARIA DO BOMFIM </t>
  </si>
  <si>
    <t>LARISSA MORAIS KILL</t>
  </si>
  <si>
    <t>BIANCA ALVES DA SILVA JACOME</t>
  </si>
  <si>
    <t xml:space="preserve">DAVI MOREIRA DE LIMA </t>
  </si>
  <si>
    <t>19 99138 6327</t>
  </si>
  <si>
    <t xml:space="preserve">IVANI CARLA GOMES </t>
  </si>
  <si>
    <t xml:space="preserve">vaga cancelada em função de perda de contrato </t>
  </si>
  <si>
    <t>02/07/26</t>
  </si>
  <si>
    <t>SUZANA DA SILVA GOMES</t>
  </si>
  <si>
    <t>19 99547-6287</t>
  </si>
  <si>
    <t>MARCOS ROBERTO DE SIQUEIRA MELO</t>
  </si>
  <si>
    <t>Candidata Tamires retornou para a vaga 08/07</t>
  </si>
  <si>
    <t>19 99907-9288</t>
  </si>
  <si>
    <t>TAMIRES DOS SANTOS SOBRAL</t>
  </si>
  <si>
    <t xml:space="preserve">VANESSA DE SOUZA ROQUE </t>
  </si>
  <si>
    <t>em 21.07 a Estefany Ribeiro de souza. Declinamos coma Estefany, por falta de retorno dos documentos e exame admissional</t>
  </si>
  <si>
    <t>FATIMA APARECIDA SANTOS</t>
  </si>
  <si>
    <t>EXAME 16/07</t>
  </si>
  <si>
    <t>16/07 - Bruna faltou no exame sem justificativa, retirada do processo - 17/07 - Pamela Tamara, desistiu da vaga</t>
  </si>
  <si>
    <t>MARIA CLEIDE DA SILVA</t>
  </si>
  <si>
    <t>Exame: 21/07 em 17/07  Pâmela Tamara dos Santos desistiu da vaga</t>
  </si>
  <si>
    <r>
      <t>AUXILIAR DE SERVIÇOS GERAIS</t>
    </r>
    <r>
      <rPr>
        <b/>
        <sz val="11"/>
        <color theme="1"/>
        <rFont val="Calibri Light"/>
        <family val="2"/>
        <scheme val="major"/>
      </rPr>
      <t>(MASC)</t>
    </r>
  </si>
  <si>
    <t>14/07 -Julio desistiu da vaga</t>
  </si>
  <si>
    <t>LUIS EDUARDO CAETANO DOS SANTOS</t>
  </si>
  <si>
    <t>Acumulo de Função 20%</t>
  </si>
  <si>
    <t>INDICAÇÃO MARIA</t>
  </si>
  <si>
    <t>CARLOS DERQUIAN DE SOUZA DOS SANTOS</t>
  </si>
  <si>
    <t>Exame: 13/07</t>
  </si>
  <si>
    <t>LEANDRO DA SILVA RUIZ BRABO</t>
  </si>
  <si>
    <t>19 99214-6099</t>
  </si>
  <si>
    <t>CAMILA LIMA DA SILVA</t>
  </si>
  <si>
    <t>Cnad Milena aprovada 14/07</t>
  </si>
  <si>
    <t xml:space="preserve">MILENE ALVES DA SILVEIRA </t>
  </si>
  <si>
    <t>Valdete aprovada 15/07</t>
  </si>
  <si>
    <t xml:space="preserve">SHIRLEI ANDRADE DOS SANTOS </t>
  </si>
  <si>
    <t>Cand Julio ap 16/07</t>
  </si>
  <si>
    <t>19 99146 8187</t>
  </si>
  <si>
    <t xml:space="preserve">SHAYENE CRISTINE DE ALMEIDA ZIMBO </t>
  </si>
  <si>
    <t xml:space="preserve">11 96957 0265 </t>
  </si>
  <si>
    <t xml:space="preserve">EVERTON VALERIANO DOS SANTOS </t>
  </si>
  <si>
    <t>KATIA MARIA</t>
  </si>
  <si>
    <t xml:space="preserve"> EDSON TIBURCIO ALVES</t>
  </si>
  <si>
    <t>A RAYMOND DO BRASIL</t>
  </si>
  <si>
    <t>LUCIANO MARQUES DA SILVA</t>
  </si>
  <si>
    <t>ASK RIO CLARO</t>
  </si>
  <si>
    <t>RIO CLARO</t>
  </si>
  <si>
    <t>19 98118 9496</t>
  </si>
  <si>
    <t xml:space="preserve">MARCELO SANTANA BARBOSA </t>
  </si>
  <si>
    <t>09H-09:30-18:30 C/INTSEG- SEX/04HSDF.</t>
  </si>
  <si>
    <t>INDICAÇAO SUP VALDINEY</t>
  </si>
  <si>
    <t>ERICKSON VINICIO</t>
  </si>
  <si>
    <t>11 91180-1517</t>
  </si>
  <si>
    <t>ALEXSSANDRO MERLIN DE OLIVEIRA</t>
  </si>
  <si>
    <t>43 984840179</t>
  </si>
  <si>
    <t>DAIANE REGINA GOMES DUARTE</t>
  </si>
  <si>
    <t xml:space="preserve">19 99292 4143 </t>
  </si>
  <si>
    <t xml:space="preserve">BRUNA REGINA FERREIRA COSTA </t>
  </si>
  <si>
    <t>19 98738-3833</t>
  </si>
  <si>
    <t>ROSANGELA MENDES ALVES</t>
  </si>
  <si>
    <t>Declinou no dia 07/07 VANESSA CARDOSO DA SILVA      Declinou no dia 10/07 SIMONI DE OLIVEIRA Declinou no dia 15/07 VANESSA CARDOSO DA SILVA</t>
  </si>
  <si>
    <t>19 99107-2764</t>
  </si>
  <si>
    <t>ELIENE SOUZA NOVAIS</t>
  </si>
  <si>
    <t>19 98335-4547</t>
  </si>
  <si>
    <t>DAYANE REGINA MOISES CORREA</t>
  </si>
  <si>
    <t>19 98378 5529</t>
  </si>
  <si>
    <t xml:space="preserve">Declinou no dia 22/07 LARISSA THAIS AMBRÓSIO DA SILVA  Declinou no dia 22/07 DEBORA AGUIAR DE MORAES </t>
  </si>
  <si>
    <t>19 98101 1013</t>
  </si>
  <si>
    <t xml:space="preserve">LUCIA RIBEIRO DOS SANTOS </t>
  </si>
  <si>
    <t xml:space="preserve">Declinou no dia 23/07 KLEBER FRANCISCO DE BARROS </t>
  </si>
  <si>
    <t xml:space="preserve">Declinou no dia 22/07 TANIA THEREZA BASTO </t>
  </si>
  <si>
    <t>71 9116-4238</t>
  </si>
  <si>
    <t>RAFAELA ALMEIDA DA SILVA</t>
  </si>
  <si>
    <t xml:space="preserve">Declinou no dia 16/07 DANIELLY MARQUES DE OLIVEIRA Declinou no dia 23/07 JANAINA REGIANE LOPES </t>
  </si>
  <si>
    <t>Declinou no dia 23/07 ROSELI ANANIAS SAMPAIO</t>
  </si>
  <si>
    <t>Gezislaine ap 23/07</t>
  </si>
  <si>
    <t xml:space="preserve">GEZISLAINE BIANQUI DOS SANTOS </t>
  </si>
  <si>
    <t>11 96645-7615</t>
  </si>
  <si>
    <t>LIDIANE CRISTINA DE ANDRADE FLORES</t>
  </si>
  <si>
    <t xml:space="preserve">19 98252 2507 </t>
  </si>
  <si>
    <t xml:space="preserve">14/07 </t>
  </si>
  <si>
    <t xml:space="preserve">LAURA SANCHES </t>
  </si>
  <si>
    <t>Eduardo aprovado 06/07</t>
  </si>
  <si>
    <t>EDUARDO DE CAMARGO MARIN</t>
  </si>
  <si>
    <t>FABIO LUCINDO</t>
  </si>
  <si>
    <t>SUPERVISAO SEGURANÇA AREA 04</t>
  </si>
  <si>
    <t>09:48H - 18:00 - 03:48 C/ 1H INTERV</t>
  </si>
  <si>
    <t>GIOVANI</t>
  </si>
  <si>
    <t>candidato Anselmo declinou da vaga em 09/07</t>
  </si>
  <si>
    <t>SUPRENS ABRACADEIRAS</t>
  </si>
  <si>
    <t>CAMPO LIMPO PAULISTA</t>
  </si>
  <si>
    <t>CANDIDATA IONE ALVES desistencia em 23/07, informando que teve outra oportunidade que já estava no aguardo.</t>
  </si>
  <si>
    <t>PORTAL DELPHOS</t>
  </si>
  <si>
    <t>VALDIRENE BATISTA DE OLIVEIRA</t>
  </si>
  <si>
    <t>Cand Cristiane ap 17/07|</t>
  </si>
  <si>
    <t xml:space="preserve">CRISTIANA AMÉRICO DOS SANTOS </t>
  </si>
  <si>
    <t>12H - 06:00 - 18:00 C/ 01H INTERV</t>
  </si>
  <si>
    <t>19 98249 3649</t>
  </si>
  <si>
    <t xml:space="preserve">GABRIEL HENRIQUE DE PAULA </t>
  </si>
  <si>
    <t xml:space="preserve">Declinou no dia 20/07 ALESSANDRO FERREIRA MARTINS </t>
  </si>
  <si>
    <t>16 981417696</t>
  </si>
  <si>
    <t>ROSEMEIRE DA COSTA  GABRIEL</t>
  </si>
  <si>
    <t xml:space="preserve"> 11 96616-8387</t>
  </si>
  <si>
    <t>LEYLIANE DE LIMA SOUSA</t>
  </si>
  <si>
    <t>Maria regina aprovada 10/07</t>
  </si>
  <si>
    <t>MARIA REGINA SICHIERI</t>
  </si>
  <si>
    <t xml:space="preserve">MARIA APARECIDA GARCIA </t>
  </si>
  <si>
    <t>DIEGO PACHECO ADAMECZ GONCALVES DE AQUINO</t>
  </si>
  <si>
    <t xml:space="preserve">GABRIEL PACHECO, desistencia </t>
  </si>
  <si>
    <t>ARNALDO DE JESUS VIANA PIRES</t>
  </si>
  <si>
    <t>Cand Samara aprovada</t>
  </si>
  <si>
    <t xml:space="preserve">SAMIRA DOS SANTOS RIBEIRO </t>
  </si>
  <si>
    <t xml:space="preserve">KEITHILIN LANE FERREIRA DA SILVA </t>
  </si>
  <si>
    <t xml:space="preserve">AMANDA SILVA CALDEIRA </t>
  </si>
  <si>
    <t xml:space="preserve">GRAZIELE GOMES PEREIRA DA SILVA </t>
  </si>
  <si>
    <t xml:space="preserve">IVAN DE ALESSANDRO SALES </t>
  </si>
  <si>
    <t>CARLOS ALBERTO PICCIOLI - Declinamos do processo por falta de retorno</t>
  </si>
  <si>
    <t>09H - 07:30-16:30 C/INT SEG- SEX/04H SD</t>
  </si>
  <si>
    <t xml:space="preserve">EVELYN CRISTINA </t>
  </si>
  <si>
    <t>em 20.07 declinamos com a Camila Mirely Fazolini, por falta de retorno. CANDIDATA LUANA MENDES CHAVES BATISTA, declinou após não comparecer ao Aso e não ter mais retorno por ligação e mensagem(23/07).</t>
  </si>
  <si>
    <t>ALTRATINO FELIX LOBO</t>
  </si>
  <si>
    <r>
      <t xml:space="preserve">NEO PARTS </t>
    </r>
    <r>
      <rPr>
        <b/>
        <sz val="11"/>
        <color theme="1"/>
        <rFont val="Calibri Light"/>
        <family val="2"/>
        <scheme val="major"/>
      </rPr>
      <t>(FEM)</t>
    </r>
  </si>
  <si>
    <t>INDICAÇÃO ENCARREGADA JACIRA</t>
  </si>
  <si>
    <t>ALINE GEOVANA XAVIER SCHRAMM</t>
  </si>
  <si>
    <t>Maria aprovada 14/07</t>
  </si>
  <si>
    <t xml:space="preserve">MARIA IZABEL GOMES DE LIMA </t>
  </si>
  <si>
    <t>Diana - 15/07 - Gilmara desistiu da vaga</t>
  </si>
  <si>
    <t>CRISLAINI SANTOS DE AZEVEDO</t>
  </si>
  <si>
    <t>ALPHAVILLE CENTRO DE APOIO</t>
  </si>
  <si>
    <t>Joao Vitor desistiu</t>
  </si>
  <si>
    <t>BAUMER</t>
  </si>
  <si>
    <t>MOGI MIRIM</t>
  </si>
  <si>
    <t xml:space="preserve">Declinou no dia 17/07 RODRIGO RIBEIRO </t>
  </si>
  <si>
    <t>MARILIA PESSOA DA SILVA</t>
  </si>
  <si>
    <t>TECNICO EM PREV. COMB. INCENDI</t>
  </si>
  <si>
    <t>JEFFERSON DESISTIU DA VAGA, SOFREU ACIDENTE DE MOTO - 14/07</t>
  </si>
  <si>
    <t>ESCOLA GLOBAL</t>
  </si>
  <si>
    <t>LORRAN DA SILVA BORGES</t>
  </si>
  <si>
    <t>JESSICA SILVANA A. SILVA</t>
  </si>
  <si>
    <t>em 10.07 a Maria Isabel Gomes, foi remanejada para outra vaga</t>
  </si>
  <si>
    <t>JEFERSON ALVES LIMA</t>
  </si>
  <si>
    <t>GO BARRA FUNDA</t>
  </si>
  <si>
    <t>INDICAÇÃO DE AMIGOS</t>
  </si>
  <si>
    <t>LAERCIO DE SOUZA</t>
  </si>
  <si>
    <t>Exame agendado: 13/07</t>
  </si>
  <si>
    <t>10H - 07:45 - 17:45 C/ 1HR12 MIN INTERV</t>
  </si>
  <si>
    <t>Vaga cancelada de acordo com cliente por Marcelo Carnaval</t>
  </si>
  <si>
    <t>VIGIA OP. DE MONITORAMENTO11</t>
  </si>
  <si>
    <t>COLABORADORA ROSA DO CAEP ESTA COTADA PARA A VAGA</t>
  </si>
  <si>
    <t>Solicitação Ademir Supervisor Campinas</t>
  </si>
  <si>
    <t>site</t>
  </si>
  <si>
    <t>EDILENE DE JESUS OLIVEIRA</t>
  </si>
  <si>
    <t>Exame 14/07</t>
  </si>
  <si>
    <t>ROSANGELA CASTOR DOS SANTOS</t>
  </si>
  <si>
    <t>ZELENI CRAS</t>
  </si>
  <si>
    <t>em 15.07 declinamos com a Yasmin Kailainy de Oliviera Botim, por falta de envio de documentos e não fez o exame admissional</t>
  </si>
  <si>
    <t>09:48H - 12:12 - 22:00 C/ 1H INTERV</t>
  </si>
  <si>
    <t>18:00 as 06:00 - horário certo - 13/07  •	ELISANGELA PEREIRA PIOVESAN  (ex func. souza não autorizou)</t>
  </si>
  <si>
    <t xml:space="preserve">11 92183 1860 </t>
  </si>
  <si>
    <t>14/07</t>
  </si>
  <si>
    <t xml:space="preserve">JÉSSICA PRATA PEIXOTO DA SILVA </t>
  </si>
  <si>
    <t>valdete ap e declinou</t>
  </si>
  <si>
    <t xml:space="preserve">IRENE XAVIER DOS SANTOS </t>
  </si>
  <si>
    <t>VALDETE MARIANO DE CARVALHO- Declinou do processo no dia da integração 23/07</t>
  </si>
  <si>
    <t>ELIANA DA SILVA</t>
  </si>
  <si>
    <t>16 97603-8169</t>
  </si>
  <si>
    <t>DANIELA CRISTINA FERREIRA NASCIMENTO</t>
  </si>
  <si>
    <t>ANA, ASSIM QUE O EXAME SAIR, VER COM O CLIENTE QUE DIA PODE COLOCAR A DATA DE ADMISSÃO,</t>
  </si>
  <si>
    <t>16 99141-9697</t>
  </si>
  <si>
    <t>SUELI LUANA OLIVEIRA FELIPE</t>
  </si>
  <si>
    <t>16 99623-2566</t>
  </si>
  <si>
    <t>ISABEL CRISTINA BONFIM</t>
  </si>
  <si>
    <t>16 99386-7910</t>
  </si>
  <si>
    <t>MAGNA CARLOS DE LIMA</t>
  </si>
  <si>
    <t>Jessica de sousa aprovada 13/07</t>
  </si>
  <si>
    <t>JESSICA DE SOUZA ALMEIDA</t>
  </si>
  <si>
    <t>Por malote</t>
  </si>
  <si>
    <t xml:space="preserve">DANIELLE FERREIRA </t>
  </si>
  <si>
    <t>19 99801-2145</t>
  </si>
  <si>
    <t>JORGE MARQUES DOS SANTOS</t>
  </si>
  <si>
    <t>AUXILIAR DE PORTARIA 2</t>
  </si>
  <si>
    <t>11 97732-3377</t>
  </si>
  <si>
    <t>ANA CAROLINA FERREIRA DE OLIVEIRA</t>
  </si>
  <si>
    <t>PET MANIA</t>
  </si>
  <si>
    <t>Cand Noemia aprovada</t>
  </si>
  <si>
    <t>indicação sup SANDRO</t>
  </si>
  <si>
    <t>NOEMIA BIAJO DA COSTA</t>
  </si>
  <si>
    <t>VANESSA MERCES</t>
  </si>
  <si>
    <t>FABIANA ALVES MOLES DA CRUZ , desistiu da vaga 13/07</t>
  </si>
  <si>
    <t>PREMIER TECH</t>
  </si>
  <si>
    <t>(11)94124-0025</t>
  </si>
  <si>
    <t>CLAUDIO ALVES CARDOSO</t>
  </si>
  <si>
    <t>Candidato desistiu da vaga, informou que não pode traballhar mais aos domingos 21/07</t>
  </si>
  <si>
    <t>AUXILIAR DE SERVIÇOS GERAIS 4</t>
  </si>
  <si>
    <t>SIBELCO AMERICA SOUTH-PEDRA DO INDAIA-MG</t>
  </si>
  <si>
    <t>THAIS CRISTINA DE MOURA NASCIMENTO</t>
  </si>
  <si>
    <t xml:space="preserve">VALERIA XAVIER </t>
  </si>
  <si>
    <t xml:space="preserve">Declinou no dia 15/07 GABRIELLA SILVA DO NASCIMENTO </t>
  </si>
  <si>
    <t xml:space="preserve"> 11 91306-3485</t>
  </si>
  <si>
    <t>WILLIAN RENATO RASSE</t>
  </si>
  <si>
    <t>GREEN VILLAGE</t>
  </si>
  <si>
    <t>global cursos</t>
  </si>
  <si>
    <t>ERICA ANDRADE APOLINARIO</t>
  </si>
  <si>
    <t>14 99105-3987</t>
  </si>
  <si>
    <t>REBEKHA IRYS DO NASCIMENTO SILVEIRA, sem retorno</t>
  </si>
  <si>
    <t>11 94388-0159</t>
  </si>
  <si>
    <t>ANDREA FERREIRA SANTOS</t>
  </si>
  <si>
    <t>LUCIANA RAFAEL SILVA CARVALHO</t>
  </si>
  <si>
    <t>INDICAÇÃO SUPERVISOR JULIANO</t>
  </si>
  <si>
    <t>JUCILENE RAQUEL DE OLIVEIRA OMENA</t>
  </si>
  <si>
    <t>ADEMAR FERNANDO DE SOUZA</t>
  </si>
  <si>
    <t>ANGELICA MARIA DE SOUZA, não compareceu na integração.</t>
  </si>
  <si>
    <t>FULWOOD BANDEIRANTES BUSINESS PARK - JUNDIAÍ</t>
  </si>
  <si>
    <t>11 93292-8779</t>
  </si>
  <si>
    <t xml:space="preserve">	CAMILA PRADO CONEJERO DOS SANTOS</t>
  </si>
  <si>
    <t>11 96263-6095</t>
  </si>
  <si>
    <t>DIEGO COSMA DA SILVA</t>
  </si>
  <si>
    <t>09H - 06:00-1500 C/INT SEG-SEX/04H SAB</t>
  </si>
  <si>
    <t xml:space="preserve">CAROLINE SANTOS E SILVA </t>
  </si>
  <si>
    <t>WESLLY TAYRONE RAMALHO DE MELO</t>
  </si>
  <si>
    <t>17 99618-2498</t>
  </si>
  <si>
    <t>RINALDO ALMEIDA DE SOUZA</t>
  </si>
  <si>
    <t>11 94350-2783</t>
  </si>
  <si>
    <t>KELVIN KAUE</t>
  </si>
  <si>
    <t>11 97343-8788</t>
  </si>
  <si>
    <t>CAIO GUILHERME ALVES DE SOUZA</t>
  </si>
  <si>
    <t>25/07</t>
  </si>
  <si>
    <t>09:48H - 11:12 - 21:00 C/ 1H INTERV</t>
  </si>
  <si>
    <t>ERICA BISPO DO NASCIMENTO</t>
  </si>
  <si>
    <t>VIGIA CONDUTOR 12</t>
  </si>
  <si>
    <t>11 91304-9891</t>
  </si>
  <si>
    <t>ALUIZIO BRUNO DOS SANTOS</t>
  </si>
  <si>
    <t>WHATSAPP DELPHOS</t>
  </si>
  <si>
    <t>ADRIANO TONELLI</t>
  </si>
  <si>
    <t>Cand Gesiane aprovada 15/07 e declinou| cand Liliane ap 21/07</t>
  </si>
  <si>
    <t>LILIAN CARNEIRO DA SILVA</t>
  </si>
  <si>
    <t>CANDIDATA GESIANE HERMENEGILDO desistiu da vaga durante a integração por motivos pessoais</t>
  </si>
  <si>
    <t>RIO DA PRATA</t>
  </si>
  <si>
    <t>SANTO ANTÔNIO DE POSSE</t>
  </si>
  <si>
    <t>IDALIA MARIA BARBOSA SILVA</t>
  </si>
  <si>
    <t>11 94708-4553</t>
  </si>
  <si>
    <t>ANA CLAUDIA PEREIRA ALVES</t>
  </si>
  <si>
    <t>GABRIELA CRISTINE LIMA VIEIRA, filha internada. desistiu da vaga, Candidata Ana Cristina desistiu da vaga 22/07</t>
  </si>
  <si>
    <t>11 96888-2130</t>
  </si>
  <si>
    <t>RODRIGO RODRIGUES LEITE</t>
  </si>
  <si>
    <t>MANUTENTOR 6</t>
  </si>
  <si>
    <t>CANDIDATO ADENILSON DA SILVA, REPROVADO EM ASO 17/07/2026.</t>
  </si>
  <si>
    <t>AUXILIAR DE LIMPEZA 4</t>
  </si>
  <si>
    <t>ADP BRASIL - FILIAL PORTO ALEGRE</t>
  </si>
  <si>
    <t>PORTO ALEGRE</t>
  </si>
  <si>
    <t>INDICAÇÃO KATIA</t>
  </si>
  <si>
    <t>NARA HELENA GOMES</t>
  </si>
  <si>
    <t xml:space="preserve">19 9572 8078 </t>
  </si>
  <si>
    <t>19 99572 8078</t>
  </si>
  <si>
    <t xml:space="preserve">JULIANA DA SILVA CASONATO </t>
  </si>
  <si>
    <t>(11) 99581-0695</t>
  </si>
  <si>
    <t>ALEX RAMOS CHRISTOVAM</t>
  </si>
  <si>
    <t>CANDIDATO MARCELO GOMES  desistiu da vaga por motivos pessoais em 20/07.</t>
  </si>
  <si>
    <t>11 97059-0293</t>
  </si>
  <si>
    <t>THAIZA CRISTIANE ROCHA RAMOS</t>
  </si>
  <si>
    <t>Candidata desistiu da vaga, informou que recebeu uma proposta melhor 21/07</t>
  </si>
  <si>
    <t>Candidata Luzinete desistiu da vaga 21/07, Janaina desistiu da vaga 22/07</t>
  </si>
  <si>
    <t>CLEIDE CARDOSO DA SILVA</t>
  </si>
  <si>
    <t xml:space="preserve">JUAN GARCIA MARTINS DE SOUZA </t>
  </si>
  <si>
    <t>FULWOOD SOROCABA BUSINESS PARK</t>
  </si>
  <si>
    <t>08:48H-06:00-14:48 C/INT SEG-SEX/04H SAB</t>
  </si>
  <si>
    <t>INDICAÇÃO SUPERVSORA</t>
  </si>
  <si>
    <t>MARIA ISABEL GOMES</t>
  </si>
  <si>
    <t>AGENDADO: 16/07</t>
  </si>
  <si>
    <t xml:space="preserve"> 19 98143-0693</t>
  </si>
  <si>
    <t>MARIA APARECIDA PATRICIO DA COSTA</t>
  </si>
  <si>
    <t xml:space="preserve">BEATRIZ CHRISTINE FERREIRA DOS SANTOS </t>
  </si>
  <si>
    <t>Candidata Regiane não deu mais retorno 23/07</t>
  </si>
  <si>
    <t>11 95986-3955</t>
  </si>
  <si>
    <t xml:space="preserve">KAREN CRISTIANE </t>
  </si>
  <si>
    <t>19 99674-5915</t>
  </si>
  <si>
    <t>ANA PAULA MAXIMILIANO</t>
  </si>
  <si>
    <t>DANIELE PEREIRA DE ALMEIDA</t>
  </si>
  <si>
    <t>11 91343-0189</t>
  </si>
  <si>
    <t>GABRIELA CRISTINE LIMA VIEIRA</t>
  </si>
  <si>
    <t>Candidata Michele desistiiu da vaga informando estar com virose 21/07</t>
  </si>
  <si>
    <t>TRB PHARMA- CAMPINAS</t>
  </si>
  <si>
    <t>Declinou 23/07/26 - MARIA DE FATIMA DA SILVA</t>
  </si>
  <si>
    <t>ANDERSON DOS SANTOS ASSUNÇÃO</t>
  </si>
  <si>
    <t>Exame: 16/07/26</t>
  </si>
  <si>
    <t>GERALDO LOPES SOBRINHO</t>
  </si>
  <si>
    <t>Exame : 16/07/26</t>
  </si>
  <si>
    <t>CRISTIANE RODRIGUES DA SILVA FERREIRA</t>
  </si>
  <si>
    <t>11 97427 2583</t>
  </si>
  <si>
    <t xml:space="preserve">22/07 </t>
  </si>
  <si>
    <t xml:space="preserve">DIEGO DE JESUS SENA </t>
  </si>
  <si>
    <t>Horário correto: 5x2 - Horario: 11:12 ás 21:00 - 5 candidatas agendadas 22/07</t>
  </si>
  <si>
    <t xml:space="preserve"> 11 91324-9198</t>
  </si>
  <si>
    <t>WILLIAN RODRIGUES BATISTA</t>
  </si>
  <si>
    <t>RESERVA EPR - EQUIPE PRONTA RESPOSTA</t>
  </si>
  <si>
    <t>MATHEUS DE JESUS PINHEIRO</t>
  </si>
  <si>
    <t>Cand Juan aprovado 14/07| teve q tirar pq precisa de veículo</t>
  </si>
  <si>
    <t xml:space="preserve">JUAN GARCIA </t>
  </si>
  <si>
    <t>Cand Patrick aprovado</t>
  </si>
  <si>
    <t>CANDIDATO PATRICK HENRIQUE BARBOSA DOS SANTOS, Declinou após desistir da vaga por motivos pessoais com a esposa em 17/07.</t>
  </si>
  <si>
    <t>1</t>
  </si>
  <si>
    <t>cand Eduardo aprovado 21/07</t>
  </si>
  <si>
    <t>EDUARDO GONÇALVES ESTEVES</t>
  </si>
  <si>
    <t xml:space="preserve">ANA CRISTINA ALVES </t>
  </si>
  <si>
    <t>cand Everton ap 17/07</t>
  </si>
  <si>
    <t>EVERTON DA SILVA VALENÇA DE MELO</t>
  </si>
  <si>
    <t>cand Francisco</t>
  </si>
  <si>
    <t xml:space="preserve">FRANCISCO AURÉLIO SEVERINO CAVALCANTE </t>
  </si>
  <si>
    <t>CARLOS HENRIQUE ALVES DE LIMA, desistiu pois a esposa vai passar por círurgia</t>
  </si>
  <si>
    <t>QUENSLI NILZELENE PEDRETTE</t>
  </si>
  <si>
    <t>TALITA CLARA DE JESUS SOARES MELO</t>
  </si>
  <si>
    <t>EVERTON PEREIRA SILVA DA PAIXÃO</t>
  </si>
  <si>
    <t>11 97241-7940</t>
  </si>
  <si>
    <t>GABRIELY</t>
  </si>
  <si>
    <t>TRAB. SEG/QUA/SEX</t>
  </si>
  <si>
    <t>06H - 09:00 - 15:00 C/ 15 MIN INTERV</t>
  </si>
  <si>
    <t>Grupos Watsapp</t>
  </si>
  <si>
    <t>WESLEY AUGUSTO DA SILVA</t>
  </si>
  <si>
    <t>Exame: 20/07/26</t>
  </si>
  <si>
    <t>AMERICA EMBALAGENS</t>
  </si>
  <si>
    <t xml:space="preserve">MARIA QUITÉRIA DA SILVA </t>
  </si>
  <si>
    <t>THALES AUGUSTO DE SOUZA SILVA</t>
  </si>
  <si>
    <t xml:space="preserve">CARLOS HENRIQUE ANTUNES RODRIGUES </t>
  </si>
  <si>
    <t>DANIELA DE BARROS SIMIONI</t>
  </si>
  <si>
    <t>BRUNA KETLLEY SILVA</t>
  </si>
  <si>
    <t xml:space="preserve">SILVIA DE JESUS BRITO DE FARIAS </t>
  </si>
  <si>
    <t>JULIA VERONEZ DE SOUZA</t>
  </si>
  <si>
    <t>ELZA DA SILVA CARDOSO</t>
  </si>
  <si>
    <t>GLEYCE KELLEN MATEUS</t>
  </si>
  <si>
    <t>AZZURE</t>
  </si>
  <si>
    <t>CABREUVA</t>
  </si>
  <si>
    <t>ANAIS ELENA ANZOATEGUI JIMENEZ</t>
  </si>
  <si>
    <t>LUIS ANTONIO BUENO DE CAMARGO</t>
  </si>
  <si>
    <t>REGINALDO CRISTIANO BENEDITO</t>
  </si>
  <si>
    <t>JOSÉ APARECIDO DE FREITAS BALBINO</t>
  </si>
  <si>
    <t>CÉLIO TOBIAS DE JESUS BARBOSA</t>
  </si>
  <si>
    <t>09:48H - 07:00 - 16:48 S/ INTERV</t>
  </si>
  <si>
    <t>DRUSILA PEREIRA DE SEIXAS OLIVEIRA</t>
  </si>
  <si>
    <t>LEIVA EMILIA DO NASCIMENTO BARBARESCO</t>
  </si>
  <si>
    <t>LILIAN CRISTINA FRAUZINO</t>
  </si>
  <si>
    <t xml:space="preserve">ALEXSSANDRO RODRIGUES DA SILVA </t>
  </si>
  <si>
    <t>CARLOS HENRIQUE CONCEIÇÃO</t>
  </si>
  <si>
    <t>ZAQUEU RIBEIRO DA SILVA</t>
  </si>
  <si>
    <t xml:space="preserve">EZEQUIAS PEREIRA DOS SANTOS </t>
  </si>
  <si>
    <t xml:space="preserve">RILDO DE MELO CELESTINO CAVALCANTE </t>
  </si>
  <si>
    <t xml:space="preserve">CRISTIANO RAMOS </t>
  </si>
  <si>
    <t>ZELADOR 38</t>
  </si>
  <si>
    <t>JOSÉ APARECIDO MARTINS</t>
  </si>
  <si>
    <t xml:space="preserve">Cand Oziel aprovado </t>
  </si>
  <si>
    <t xml:space="preserve">OZIEL BASTO, desitencia motivo pessoal </t>
  </si>
  <si>
    <t>10:00H-07:00-17:00 C/ 1H INT FER S/ INT</t>
  </si>
  <si>
    <t>DAVID DE FREITAS GOMES</t>
  </si>
  <si>
    <t>HYGSYSTEMS - PA AROMATICS FLAVORS</t>
  </si>
  <si>
    <t>cand Francielly ap 21/07</t>
  </si>
  <si>
    <t xml:space="preserve">FRANCIELLY MOSCARDI DAMACENA </t>
  </si>
  <si>
    <t xml:space="preserve">JAQUELINE DA SILVA DOS SANTOS </t>
  </si>
  <si>
    <t>William ap 22/07</t>
  </si>
  <si>
    <t>indic Sup Adriana</t>
  </si>
  <si>
    <t xml:space="preserve">WILLIAM TADEU DE FREITAS </t>
  </si>
  <si>
    <t>CANDIDATO GABRIEL DA SILVA ROSA DOS SANTOS, desistiu da vaga, não informando o motivo.</t>
  </si>
  <si>
    <t>08:25H - 05:35 - 14:00 C/ INT 5:25H SAB</t>
  </si>
  <si>
    <t>WHATS</t>
  </si>
  <si>
    <t xml:space="preserve">KEVIN OLIVEIRA </t>
  </si>
  <si>
    <t>JOSIMAR</t>
  </si>
  <si>
    <t>FERNANDA ELOA DE CARVALHO</t>
  </si>
  <si>
    <t xml:space="preserve">NAHELLY KELLY DA SILVA FERREIRA </t>
  </si>
  <si>
    <t xml:space="preserve">STEFANY SOARES DA SILVA </t>
  </si>
  <si>
    <t>LUIS FELIPE DOS SANTOS RIBEIRO</t>
  </si>
  <si>
    <t>RODRIGO BRUDER</t>
  </si>
  <si>
    <t>KERRY  - CAMPINAS7 - RESERVA TÉCNICA - FACILITIES</t>
  </si>
  <si>
    <t>feirista kerry</t>
  </si>
  <si>
    <t xml:space="preserve">Declinou no dia 21/07 MARIA APARECIDA ISSA </t>
  </si>
  <si>
    <t>ANALISTA CONTABIL SR</t>
  </si>
  <si>
    <t xml:space="preserve">ROSIMEIRE JUSTINO DA SILVA </t>
  </si>
  <si>
    <t>23/07 - Mara Teixeira, desistiu</t>
  </si>
  <si>
    <t>ANA CASSIA SOUZA DE BRITO</t>
  </si>
  <si>
    <t>EXAME 27/04/26</t>
  </si>
  <si>
    <t xml:space="preserve">CRISTIENE REZENDE </t>
  </si>
  <si>
    <t xml:space="preserve">JOSILENE PEREIRA DO NASCIMENTO, desistencia </t>
  </si>
  <si>
    <t>CANDIDATA CARLA PROVENÇALI desistiu durante a integração.</t>
  </si>
  <si>
    <t xml:space="preserve">19 99956 7559 </t>
  </si>
  <si>
    <t xml:space="preserve">WERICLIS LEONARDO DOS SANTOS RODRIGUES </t>
  </si>
  <si>
    <t>FRANCISCA BEZTRIZ ANASTACIO</t>
  </si>
  <si>
    <t xml:space="preserve">19 98146 3369 </t>
  </si>
  <si>
    <t xml:space="preserve">24/07 </t>
  </si>
  <si>
    <t xml:space="preserve">TALITA DE SOUSA MONTEIRO </t>
  </si>
  <si>
    <t xml:space="preserve">19 98829 3926 </t>
  </si>
  <si>
    <t>24/07</t>
  </si>
  <si>
    <t xml:space="preserve">LAIANE DE SILVA SOUZA </t>
  </si>
  <si>
    <t xml:space="preserve">19 99516 7912 </t>
  </si>
  <si>
    <t xml:space="preserve">ERIC LOPES DA CRUZ </t>
  </si>
  <si>
    <t>19 99640-0832</t>
  </si>
  <si>
    <t>ALESSANDRA JANAINA DE OLIVEIRA DIAS</t>
  </si>
  <si>
    <t xml:space="preserve">Declinou no dia 23/07 ALBANIZA MARIA COSTA ALVARENGA </t>
  </si>
  <si>
    <t>JUARES CLEBER CALDEIRA</t>
  </si>
  <si>
    <t>Candidato João Paulo desistiu da vaga por motivos familiares 23/07</t>
  </si>
  <si>
    <t>TULIPAS LOTEAMENTO (UNITY)</t>
  </si>
  <si>
    <t>NATHALIA CAROLINE</t>
  </si>
  <si>
    <t xml:space="preserve"> 11 91108-9537</t>
  </si>
  <si>
    <t>Candidato Fabiano desistiu da vaga 22/07</t>
  </si>
  <si>
    <t xml:space="preserve">RENATA GIESSIA </t>
  </si>
  <si>
    <t>19 99141 7282</t>
  </si>
  <si>
    <t xml:space="preserve">BRUNA STEFANO BATISTA GOMES </t>
  </si>
  <si>
    <t>EDNANDA SILVA DE MELO</t>
  </si>
  <si>
    <t>11 91143-4009</t>
  </si>
  <si>
    <t>GABRIEL HENRIQUE DA CONCEICAO</t>
  </si>
  <si>
    <t>ZANINI (FATOR ASSESSORIA)</t>
  </si>
  <si>
    <t>CARLA CRUZ TAVARES DE JESUS</t>
  </si>
  <si>
    <t>EXAME: 24/07/26</t>
  </si>
  <si>
    <t>22/07 - YNGRID, DESISTIU</t>
  </si>
  <si>
    <t>SABRINA DA SILVA SANTOS</t>
  </si>
  <si>
    <t>EXAME 24/07</t>
  </si>
  <si>
    <t>ROSELANDE AUTA DO NASCIMENTO</t>
  </si>
  <si>
    <t>EXAME 27/07</t>
  </si>
  <si>
    <t>ERICA ALVES DE ARAGÃO</t>
  </si>
  <si>
    <t>ANGELICA DA SILVA MOREIRA</t>
  </si>
  <si>
    <t>TATIANE OLIVEIRA SANTOS</t>
  </si>
  <si>
    <t>KAREN</t>
  </si>
  <si>
    <t>PORTEIRO MONITOR</t>
  </si>
  <si>
    <t>CRIWA - UNID. OSASCO</t>
  </si>
  <si>
    <t>OSASCO</t>
  </si>
  <si>
    <t>RICARDO HONORIO DIAS</t>
  </si>
  <si>
    <t>SELEÇÃO BASE</t>
  </si>
  <si>
    <t>ALISSON NOGUEIRA DE BRITO</t>
  </si>
  <si>
    <t xml:space="preserve"> 19 99284-9368</t>
  </si>
  <si>
    <t>EDILENE DA SILVA</t>
  </si>
  <si>
    <t xml:space="preserve">DOCUMENTACAO </t>
  </si>
  <si>
    <t>ANDREIA AMANDA GAIA</t>
  </si>
  <si>
    <t>LUIS CARLOS CASTILHO MARTINS</t>
  </si>
  <si>
    <t xml:space="preserve">FERDINANDO APARECIDO </t>
  </si>
  <si>
    <t>MINAS</t>
  </si>
  <si>
    <t>NO PRAZO</t>
  </si>
  <si>
    <t xml:space="preserve">MOACIR MENDONÇA DE OLIVEIRA </t>
  </si>
  <si>
    <t>3 candidatos para entrevista 27/07/26</t>
  </si>
  <si>
    <t>08:20H-07:00-15:20 C/ 1H INT SD 07:20H</t>
  </si>
  <si>
    <t xml:space="preserve">19 99154 7384 </t>
  </si>
  <si>
    <t xml:space="preserve">EDUARDO MOURA DA SILVA </t>
  </si>
  <si>
    <t>KSB BRASIL - UNID. AMERICANA</t>
  </si>
  <si>
    <t xml:space="preserve">KLEBER FRANCISCO DE BARROS </t>
  </si>
  <si>
    <t xml:space="preserve">STEFFANI SANTANA MOLITOR </t>
  </si>
  <si>
    <t>JOSE CARLOS FREIRES</t>
  </si>
  <si>
    <t>09:48H - 12:00 - 21:48 C/ 1H INTERV</t>
  </si>
  <si>
    <t>19 98303 6179</t>
  </si>
  <si>
    <t xml:space="preserve">JULIO CESAR DE OLIVEIRA FILHO </t>
  </si>
  <si>
    <t>ATMOSFERA</t>
  </si>
  <si>
    <t>09H-08:00-17:00 C/INTSEG-SEX/04H SAB.</t>
  </si>
  <si>
    <t>ESTAGIARIO (A)</t>
  </si>
  <si>
    <t>07H - 09:00 - 16:00 C/ 1H INTERV</t>
  </si>
  <si>
    <t>EMULZINT ADITIVOS ALIMENTICIOS</t>
  </si>
  <si>
    <t>ELONI</t>
  </si>
  <si>
    <t>6X1</t>
  </si>
  <si>
    <t>09H - 07:00 - 16:00 C/ 1H INTERV</t>
  </si>
  <si>
    <t>MERSEN DO BRASIL</t>
  </si>
  <si>
    <t>TERUEL</t>
  </si>
  <si>
    <t>d</t>
  </si>
  <si>
    <t>LOCAL</t>
  </si>
  <si>
    <t>Vagas</t>
  </si>
  <si>
    <t>Dias Aberto</t>
  </si>
  <si>
    <t>Cód</t>
  </si>
  <si>
    <t>Turno</t>
  </si>
  <si>
    <t>Escala</t>
  </si>
  <si>
    <t>Jornada</t>
  </si>
  <si>
    <t>Cidade</t>
  </si>
  <si>
    <t>DTAPROVACAO</t>
  </si>
  <si>
    <t>SELECIONADOR</t>
  </si>
  <si>
    <t>13/07/2026</t>
  </si>
  <si>
    <t>DESISTENCIA DA VAGA</t>
  </si>
  <si>
    <t>30/04/2026</t>
  </si>
  <si>
    <t>SUBSTITUIÇÃO</t>
  </si>
  <si>
    <t>REMANEJAMENTO</t>
  </si>
  <si>
    <t>13/05/2026</t>
  </si>
  <si>
    <t>26/05/2026</t>
  </si>
  <si>
    <t>VIRA PEDIR DEMISSÃO</t>
  </si>
  <si>
    <t>27/05/2026</t>
  </si>
  <si>
    <t>28/05/2026</t>
  </si>
  <si>
    <t>29/05/2026</t>
  </si>
  <si>
    <t>DEMISSÃO NA EXPERIENCIA</t>
  </si>
  <si>
    <t>PEDIDO DE DEMISSÃO</t>
  </si>
  <si>
    <t>16/07/2026</t>
  </si>
  <si>
    <t>COBERTURA DE FÉRIAS</t>
  </si>
  <si>
    <t>16/06/2026</t>
  </si>
  <si>
    <t>15/06/2026</t>
  </si>
  <si>
    <t>18/06/2026</t>
  </si>
  <si>
    <t>19/06/2026</t>
  </si>
  <si>
    <t>22/06/2026</t>
  </si>
  <si>
    <t>AUMENTO DE EFETIVO</t>
  </si>
  <si>
    <t>23/06/2026</t>
  </si>
  <si>
    <t>DEMISSÃO SEM JUSTA CAUSA</t>
  </si>
  <si>
    <t>24/06/2026</t>
  </si>
  <si>
    <t>25/06/2026</t>
  </si>
  <si>
    <t>26/06/2026</t>
  </si>
  <si>
    <t>29/06/2026</t>
  </si>
  <si>
    <t>30/06/2026</t>
  </si>
  <si>
    <t>ALTERACAO ESCOPO</t>
  </si>
  <si>
    <t>DEMISSÃO JUSTA CAUSA</t>
  </si>
  <si>
    <t>AFASTAMENTO INSS</t>
  </si>
  <si>
    <t>14/07/2026</t>
  </si>
  <si>
    <t>15/07/2026</t>
  </si>
  <si>
    <t>IMPLANTAÇÃO</t>
  </si>
  <si>
    <t>17/07/2026</t>
  </si>
  <si>
    <t>20/07/2026</t>
  </si>
  <si>
    <t>NÃO INFORMADO</t>
  </si>
  <si>
    <t>22/07/2026</t>
  </si>
  <si>
    <t>23/07/2026</t>
  </si>
  <si>
    <t>STATUS DAS VAGA</t>
  </si>
  <si>
    <t>RECRUTADORES</t>
  </si>
  <si>
    <t>FILIAL</t>
  </si>
  <si>
    <t>PRE-ADMISSÃO</t>
  </si>
  <si>
    <t xml:space="preserve">PORTAL </t>
  </si>
  <si>
    <t>STATUS DA VAGA</t>
  </si>
  <si>
    <t>ETAPA MACRO</t>
  </si>
  <si>
    <t>SIM</t>
  </si>
  <si>
    <t>NÃO</t>
  </si>
  <si>
    <t>PESQUISA</t>
  </si>
  <si>
    <t>ENTREVISTA RH 2</t>
  </si>
  <si>
    <t>PESQUISA SOCIAL 2</t>
  </si>
  <si>
    <t>PESQUISA SOCIAL 3</t>
  </si>
  <si>
    <t>ENTREVISTA RH</t>
  </si>
  <si>
    <t>EFETIVA</t>
  </si>
  <si>
    <t>ENTREVISTA OPS 3</t>
  </si>
  <si>
    <t>ENTREVISTA OPS</t>
  </si>
  <si>
    <t>ENTREVISTA CLIENTE</t>
  </si>
  <si>
    <t>ENTREVISTA CLIENTE 2</t>
  </si>
  <si>
    <t>ENTREVISTA CLIENTE 3</t>
  </si>
  <si>
    <t>DOCUMENTAÇÃO</t>
  </si>
  <si>
    <t>TESTE PSICOLOGICO</t>
  </si>
  <si>
    <t>TESTE PSICOLÓGICO</t>
  </si>
  <si>
    <t>TESTE</t>
  </si>
  <si>
    <t>ANÁLISE CANCELAMENTO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</si>
</sst>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;@"/>
    <numFmt numFmtId="165" formatCode="dd/mm/yy;@"/>
  </numFmts>
  <fonts count="46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name val="Aptos Narrow"/>
      <family val="2"/>
    </font>
    <font>
      <sz val="11"/>
      <name val="Aptos Narrow"/>
      <family val="2"/>
    </font>
    <font>
      <u/>
      <sz val="11"/>
      <name val="Aptos Narrow"/>
      <family val="2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sz val="11"/>
      <color rgb="FF242424"/>
      <name val="Calibri Light"/>
      <family val="2"/>
      <scheme val="major"/>
    </font>
    <font>
      <sz val="11"/>
      <color rgb="FF000000"/>
      <name val="Source Sans Pro"/>
      <family val="2"/>
    </font>
    <font>
      <sz val="10"/>
      <color rgb="FF000000"/>
      <name val="Arial"/>
      <family val="2"/>
    </font>
    <font>
      <sz val="11"/>
      <color rgb="FF000000"/>
      <name val="Calibri Light"/>
      <charset val="1"/>
    </font>
    <font>
      <sz val="11"/>
      <name val="Calibri Light"/>
      <scheme val="major"/>
    </font>
    <font>
      <sz val="11"/>
      <color theme="1"/>
      <name val="Calibri Light"/>
      <scheme val="major"/>
    </font>
    <font>
      <sz val="11"/>
      <name val="Aptos Narrow"/>
    </font>
    <font>
      <sz val="11"/>
      <color rgb="FF000000"/>
      <name val="Calibri Light"/>
      <scheme val="major"/>
    </font>
    <font>
      <b/>
      <sz val="11"/>
      <color rgb="FF000000"/>
      <name val="Calibri Light"/>
      <scheme val="major"/>
    </font>
    <font>
      <b/>
      <sz val="11"/>
      <name val="Calibri Light"/>
      <scheme val="major"/>
    </font>
    <font>
      <b/>
      <sz val="11"/>
      <color theme="1"/>
      <name val="Calibri Light"/>
      <scheme val="major"/>
    </font>
    <font>
      <sz val="8"/>
      <color theme="1"/>
      <name val="Calibri Light"/>
      <family val="2"/>
      <scheme val="major"/>
    </font>
    <font>
      <sz val="8"/>
      <color rgb="FF000000"/>
      <name val="Calibri Light"/>
      <family val="2"/>
      <scheme val="major"/>
    </font>
    <font>
      <b/>
      <sz val="8"/>
      <color rgb="FF000000"/>
      <name val="Calibri Light"/>
      <family val="2"/>
      <scheme val="major"/>
    </font>
    <font>
      <sz val="11"/>
      <color rgb="FF242424"/>
      <name val="Aptos Narrow"/>
      <charset val="1"/>
    </font>
    <font>
      <sz val="12"/>
      <color theme="1"/>
      <name val="Aptos"/>
      <family val="2"/>
      <charset val="1"/>
    </font>
    <font>
      <b/>
      <sz val="11"/>
      <color theme="0"/>
      <name val="Calibri"/>
      <family val="2"/>
      <scheme val="minor"/>
    </font>
    <font>
      <sz val="11"/>
      <color rgb="FF000000"/>
      <name val="Source Sans Pro"/>
      <charset val="1"/>
    </font>
    <font>
      <b/>
      <sz val="11"/>
      <color theme="0"/>
      <name val="Calibri Light"/>
      <family val="2"/>
      <scheme val="major"/>
    </font>
    <font>
      <sz val="12"/>
      <color theme="1"/>
      <name val="Calibri Light"/>
      <scheme val="major"/>
    </font>
    <font>
      <sz val="11"/>
      <color rgb="FF242424"/>
      <name val="Calibri Light"/>
      <scheme val="major"/>
    </font>
    <font>
      <sz val="12"/>
      <color rgb="FF000000"/>
      <name val="Calibri Light"/>
      <scheme val="major"/>
    </font>
    <font>
      <b/>
      <sz val="8"/>
      <color theme="1"/>
      <name val="Calibri Light"/>
      <scheme val="major"/>
    </font>
    <font>
      <sz val="8"/>
      <color theme="1"/>
      <name val="Calibri Light"/>
      <scheme val="major"/>
    </font>
    <font>
      <u/>
      <sz val="11"/>
      <color theme="10"/>
      <name val="Calibri"/>
      <family val="2"/>
      <scheme val="minor"/>
    </font>
    <font>
      <sz val="10"/>
      <color theme="1"/>
      <name val="Calibri Light"/>
      <scheme val="major"/>
    </font>
    <font>
      <sz val="11.5"/>
      <color rgb="FF000000"/>
      <name val="Calibri Light"/>
      <scheme val="major"/>
    </font>
    <font>
      <u/>
      <sz val="11"/>
      <color theme="10"/>
      <name val="Calibri Light"/>
      <scheme val="major"/>
    </font>
    <font>
      <sz val="10"/>
      <color rgb="FF000000"/>
      <name val="Arial"/>
    </font>
    <font>
      <sz val="12"/>
      <color theme="1"/>
      <name val="Aptos"/>
      <charset val="1"/>
    </font>
    <font>
      <sz val="10"/>
      <color rgb="FF000000"/>
      <name val="Calibri Light"/>
      <scheme val="major"/>
    </font>
    <font>
      <b/>
      <sz val="12"/>
      <color rgb="FF000000"/>
      <name val="Calibri"/>
    </font>
    <font>
      <sz val="9"/>
      <color rgb="FF000000"/>
      <name val="Segoe UI"/>
      <charset val="1"/>
    </font>
    <font>
      <sz val="11"/>
      <color rgb="FF697A8D"/>
      <name val="Public Sans"/>
      <charset val="1"/>
    </font>
    <font>
      <sz val="11"/>
      <color theme="1"/>
      <name val="Public Sans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CED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3D3D3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5" fillId="0" borderId="0" applyNumberFormat="0" applyFill="0" applyBorder="0" applyAlignment="0" applyProtection="0"/>
  </cellStyleXfs>
  <cellXfs count="615">
    <xf numFmtId="0" fontId="0" fillId="0" borderId="0" xfId="0"/>
    <xf numFmtId="0" fontId="0" fillId="0" borderId="1" xfId="0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0" fillId="8" borderId="0" xfId="0" applyFill="1"/>
    <xf numFmtId="0" fontId="7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 wrapText="1"/>
    </xf>
    <xf numFmtId="1" fontId="1" fillId="0" borderId="1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horizontal="left" vertical="center" wrapText="1"/>
    </xf>
    <xf numFmtId="0" fontId="9" fillId="0" borderId="0" xfId="0" applyFont="1"/>
    <xf numFmtId="49" fontId="1" fillId="4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49" fontId="1" fillId="0" borderId="6" xfId="0" applyNumberFormat="1" applyFont="1" applyBorder="1" applyAlignment="1">
      <alignment horizontal="left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left" vertical="center"/>
    </xf>
    <xf numFmtId="1" fontId="1" fillId="0" borderId="3" xfId="0" applyNumberFormat="1" applyFont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164" fontId="1" fillId="0" borderId="1" xfId="0" applyNumberFormat="1" applyFont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49" fontId="1" fillId="0" borderId="5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4" borderId="6" xfId="0" applyNumberFormat="1" applyFont="1" applyFill="1" applyBorder="1" applyAlignment="1">
      <alignment horizontal="left" vertical="center"/>
    </xf>
    <xf numFmtId="0" fontId="1" fillId="0" borderId="0" xfId="0" applyFont="1"/>
    <xf numFmtId="0" fontId="7" fillId="0" borderId="7" xfId="0" applyFont="1" applyBorder="1"/>
    <xf numFmtId="2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2" fillId="9" borderId="8" xfId="0" applyFont="1" applyFill="1" applyBorder="1" applyAlignment="1">
      <alignment wrapText="1"/>
    </xf>
    <xf numFmtId="0" fontId="13" fillId="0" borderId="7" xfId="0" applyFont="1" applyBorder="1"/>
    <xf numFmtId="0" fontId="14" fillId="0" borderId="0" xfId="0" applyFont="1"/>
    <xf numFmtId="0" fontId="16" fillId="0" borderId="1" xfId="0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 wrapText="1"/>
    </xf>
    <xf numFmtId="0" fontId="1" fillId="4" borderId="3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9" xfId="0" applyNumberFormat="1" applyFont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/>
    </xf>
    <xf numFmtId="49" fontId="22" fillId="0" borderId="1" xfId="0" applyNumberFormat="1" applyFont="1" applyBorder="1" applyAlignment="1">
      <alignment horizontal="left" vertical="center" wrapText="1"/>
    </xf>
    <xf numFmtId="49" fontId="22" fillId="4" borderId="1" xfId="0" applyNumberFormat="1" applyFont="1" applyFill="1" applyBorder="1" applyAlignment="1">
      <alignment horizontal="left" vertical="center" wrapText="1"/>
    </xf>
    <xf numFmtId="49" fontId="22" fillId="0" borderId="2" xfId="0" applyNumberFormat="1" applyFont="1" applyBorder="1" applyAlignment="1">
      <alignment horizontal="left" vertical="center" wrapText="1"/>
    </xf>
    <xf numFmtId="49" fontId="22" fillId="0" borderId="3" xfId="0" applyNumberFormat="1" applyFont="1" applyBorder="1" applyAlignment="1">
      <alignment horizontal="left" vertical="center" wrapText="1"/>
    </xf>
    <xf numFmtId="49" fontId="22" fillId="2" borderId="1" xfId="0" applyNumberFormat="1" applyFont="1" applyFill="1" applyBorder="1" applyAlignment="1">
      <alignment horizontal="left" vertical="center" wrapText="1"/>
    </xf>
    <xf numFmtId="49" fontId="24" fillId="0" borderId="1" xfId="0" applyNumberFormat="1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/>
    </xf>
    <xf numFmtId="164" fontId="16" fillId="4" borderId="1" xfId="0" applyNumberFormat="1" applyFont="1" applyFill="1" applyBorder="1" applyAlignment="1">
      <alignment horizontal="left" vertical="center"/>
    </xf>
    <xf numFmtId="0" fontId="16" fillId="4" borderId="1" xfId="0" applyFont="1" applyFill="1" applyBorder="1" applyAlignment="1">
      <alignment vertical="center"/>
    </xf>
    <xf numFmtId="164" fontId="16" fillId="4" borderId="1" xfId="0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8" fillId="0" borderId="1" xfId="0" applyFont="1" applyBorder="1"/>
    <xf numFmtId="164" fontId="1" fillId="0" borderId="4" xfId="0" applyNumberFormat="1" applyFont="1" applyBorder="1" applyAlignment="1">
      <alignment horizontal="left" vertical="center"/>
    </xf>
    <xf numFmtId="164" fontId="1" fillId="4" borderId="3" xfId="0" applyNumberFormat="1" applyFont="1" applyFill="1" applyBorder="1" applyAlignment="1">
      <alignment horizontal="left" vertical="center"/>
    </xf>
    <xf numFmtId="164" fontId="1" fillId="0" borderId="12" xfId="0" applyNumberFormat="1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64" fontId="1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164" fontId="1" fillId="0" borderId="13" xfId="0" applyNumberFormat="1" applyFont="1" applyBorder="1" applyAlignment="1">
      <alignment horizontal="left" vertical="center"/>
    </xf>
    <xf numFmtId="0" fontId="13" fillId="0" borderId="7" xfId="0" applyFont="1" applyBorder="1" applyAlignment="1">
      <alignment horizontal="center"/>
    </xf>
    <xf numFmtId="164" fontId="1" fillId="0" borderId="2" xfId="0" applyNumberFormat="1" applyFont="1" applyBorder="1" applyAlignment="1">
      <alignment horizontal="left" vertical="center" wrapText="1"/>
    </xf>
    <xf numFmtId="0" fontId="17" fillId="4" borderId="11" xfId="0" applyFont="1" applyFill="1" applyBorder="1"/>
    <xf numFmtId="0" fontId="0" fillId="4" borderId="0" xfId="0" applyFill="1"/>
    <xf numFmtId="1" fontId="21" fillId="10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16" fillId="4" borderId="3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7" fillId="4" borderId="6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27" fillId="11" borderId="0" xfId="0" applyFont="1" applyFill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49" fontId="1" fillId="4" borderId="6" xfId="0" applyNumberFormat="1" applyFont="1" applyFill="1" applyBorder="1" applyAlignment="1">
      <alignment horizontal="left" vertical="center" wrapText="1"/>
    </xf>
    <xf numFmtId="49" fontId="1" fillId="4" borderId="6" xfId="0" applyNumberFormat="1" applyFont="1" applyFill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4" borderId="14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left" vertical="center" wrapText="1"/>
    </xf>
    <xf numFmtId="164" fontId="16" fillId="0" borderId="6" xfId="0" applyNumberFormat="1" applyFont="1" applyBorder="1" applyAlignment="1">
      <alignment horizontal="left" vertical="center"/>
    </xf>
    <xf numFmtId="14" fontId="21" fillId="10" borderId="1" xfId="0" applyNumberFormat="1" applyFont="1" applyFill="1" applyBorder="1" applyAlignment="1">
      <alignment horizontal="center" vertical="center"/>
    </xf>
    <xf numFmtId="2" fontId="21" fillId="10" borderId="1" xfId="0" applyNumberFormat="1" applyFont="1" applyFill="1" applyBorder="1" applyAlignment="1">
      <alignment horizontal="center" vertical="center"/>
    </xf>
    <xf numFmtId="49" fontId="21" fillId="10" borderId="1" xfId="0" applyNumberFormat="1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49" fontId="21" fillId="10" borderId="1" xfId="0" applyNumberFormat="1" applyFont="1" applyFill="1" applyBorder="1" applyAlignment="1">
      <alignment horizontal="center" vertical="center" wrapText="1"/>
    </xf>
    <xf numFmtId="1" fontId="21" fillId="10" borderId="1" xfId="0" applyNumberFormat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/>
    </xf>
    <xf numFmtId="164" fontId="21" fillId="6" borderId="1" xfId="0" applyNumberFormat="1" applyFont="1" applyFill="1" applyBorder="1" applyAlignment="1">
      <alignment horizontal="center" vertical="center"/>
    </xf>
    <xf numFmtId="49" fontId="21" fillId="6" borderId="1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2" fontId="16" fillId="0" borderId="1" xfId="0" applyNumberFormat="1" applyFont="1" applyBorder="1" applyAlignment="1">
      <alignment horizontal="left" vertical="center"/>
    </xf>
    <xf numFmtId="0" fontId="15" fillId="4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" fontId="1" fillId="0" borderId="6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0" fontId="1" fillId="4" borderId="4" xfId="0" applyFont="1" applyFill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164" fontId="1" fillId="0" borderId="14" xfId="0" applyNumberFormat="1" applyFont="1" applyBorder="1" applyAlignment="1">
      <alignment horizontal="left" vertical="center"/>
    </xf>
    <xf numFmtId="164" fontId="16" fillId="0" borderId="12" xfId="0" applyNumberFormat="1" applyFont="1" applyBorder="1" applyAlignment="1">
      <alignment horizontal="left" vertical="center"/>
    </xf>
    <xf numFmtId="164" fontId="1" fillId="4" borderId="14" xfId="0" applyNumberFormat="1" applyFont="1" applyFill="1" applyBorder="1" applyAlignment="1">
      <alignment horizontal="left" vertical="center"/>
    </xf>
    <xf numFmtId="164" fontId="1" fillId="0" borderId="12" xfId="0" applyNumberFormat="1" applyFont="1" applyBorder="1" applyAlignment="1">
      <alignment horizontal="left" vertical="center" wrapText="1"/>
    </xf>
    <xf numFmtId="0" fontId="25" fillId="0" borderId="6" xfId="0" applyFont="1" applyBorder="1"/>
    <xf numFmtId="164" fontId="1" fillId="4" borderId="13" xfId="0" applyNumberFormat="1" applyFont="1" applyFill="1" applyBorder="1" applyAlignment="1">
      <alignment horizontal="left" vertical="center"/>
    </xf>
    <xf numFmtId="0" fontId="7" fillId="0" borderId="6" xfId="0" applyFont="1" applyBorder="1"/>
    <xf numFmtId="0" fontId="13" fillId="0" borderId="15" xfId="0" applyFont="1" applyBorder="1"/>
    <xf numFmtId="0" fontId="1" fillId="0" borderId="16" xfId="0" applyFont="1" applyBorder="1" applyAlignment="1">
      <alignment vertical="center"/>
    </xf>
    <xf numFmtId="0" fontId="1" fillId="4" borderId="16" xfId="0" applyFont="1" applyFill="1" applyBorder="1" applyAlignment="1">
      <alignment vertical="center"/>
    </xf>
    <xf numFmtId="0" fontId="16" fillId="0" borderId="4" xfId="0" applyFont="1" applyBorder="1" applyAlignment="1">
      <alignment horizontal="left" vertical="center"/>
    </xf>
    <xf numFmtId="164" fontId="1" fillId="4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28" fillId="0" borderId="0" xfId="0" applyFont="1"/>
    <xf numFmtId="165" fontId="5" fillId="0" borderId="1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left" vertical="center"/>
    </xf>
    <xf numFmtId="164" fontId="16" fillId="0" borderId="1" xfId="0" applyNumberFormat="1" applyFont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26" fillId="0" borderId="1" xfId="0" applyFont="1" applyBorder="1"/>
    <xf numFmtId="0" fontId="1" fillId="4" borderId="17" xfId="0" applyFont="1" applyFill="1" applyBorder="1" applyAlignment="1">
      <alignment vertical="center"/>
    </xf>
    <xf numFmtId="0" fontId="1" fillId="4" borderId="18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3" fillId="0" borderId="0" xfId="0" applyFont="1"/>
    <xf numFmtId="165" fontId="1" fillId="0" borderId="2" xfId="0" applyNumberFormat="1" applyFont="1" applyBorder="1" applyAlignment="1">
      <alignment horizontal="left" vertical="center"/>
    </xf>
    <xf numFmtId="165" fontId="1" fillId="0" borderId="3" xfId="0" applyNumberFormat="1" applyFont="1" applyBorder="1" applyAlignment="1">
      <alignment horizontal="left" vertical="center"/>
    </xf>
    <xf numFmtId="165" fontId="1" fillId="0" borderId="6" xfId="0" applyNumberFormat="1" applyFont="1" applyBorder="1" applyAlignment="1">
      <alignment horizontal="left" vertical="center"/>
    </xf>
    <xf numFmtId="165" fontId="1" fillId="4" borderId="6" xfId="0" applyNumberFormat="1" applyFont="1" applyFill="1" applyBorder="1" applyAlignment="1">
      <alignment horizontal="left" vertical="center"/>
    </xf>
    <xf numFmtId="165" fontId="1" fillId="0" borderId="13" xfId="0" applyNumberFormat="1" applyFont="1" applyBorder="1" applyAlignment="1">
      <alignment horizontal="left" vertical="center"/>
    </xf>
    <xf numFmtId="165" fontId="16" fillId="4" borderId="1" xfId="0" applyNumberFormat="1" applyFont="1" applyFill="1" applyBorder="1" applyAlignment="1">
      <alignment horizontal="left" vertical="center"/>
    </xf>
    <xf numFmtId="165" fontId="1" fillId="0" borderId="14" xfId="0" applyNumberFormat="1" applyFont="1" applyBorder="1" applyAlignment="1">
      <alignment horizontal="left" vertical="center"/>
    </xf>
    <xf numFmtId="165" fontId="1" fillId="0" borderId="12" xfId="0" applyNumberFormat="1" applyFont="1" applyBorder="1" applyAlignment="1">
      <alignment horizontal="left" vertical="center"/>
    </xf>
    <xf numFmtId="165" fontId="1" fillId="0" borderId="4" xfId="0" applyNumberFormat="1" applyFont="1" applyBorder="1" applyAlignment="1">
      <alignment horizontal="left" vertical="center"/>
    </xf>
    <xf numFmtId="165" fontId="16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vertical="center"/>
    </xf>
    <xf numFmtId="0" fontId="29" fillId="11" borderId="0" xfId="0" applyFont="1" applyFill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5" fillId="0" borderId="1" xfId="0" applyFont="1" applyBorder="1"/>
    <xf numFmtId="49" fontId="16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49" fontId="16" fillId="0" borderId="1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49" fontId="16" fillId="4" borderId="1" xfId="0" applyNumberFormat="1" applyFont="1" applyFill="1" applyBorder="1" applyAlignment="1">
      <alignment horizontal="left" vertical="center"/>
    </xf>
    <xf numFmtId="49" fontId="6" fillId="6" borderId="0" xfId="0" applyNumberFormat="1" applyFont="1" applyFill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18" fillId="4" borderId="1" xfId="0" applyFont="1" applyFill="1" applyBorder="1"/>
    <xf numFmtId="0" fontId="16" fillId="4" borderId="1" xfId="0" applyFont="1" applyFill="1" applyBorder="1"/>
    <xf numFmtId="49" fontId="18" fillId="0" borderId="1" xfId="0" applyNumberFormat="1" applyFont="1" applyBorder="1" applyAlignment="1">
      <alignment vertical="center"/>
    </xf>
    <xf numFmtId="0" fontId="16" fillId="0" borderId="1" xfId="0" applyFont="1" applyBorder="1"/>
    <xf numFmtId="1" fontId="21" fillId="4" borderId="1" xfId="0" applyNumberFormat="1" applyFont="1" applyFill="1" applyBorder="1" applyAlignment="1">
      <alignment horizontal="center" vertical="center"/>
    </xf>
    <xf numFmtId="165" fontId="16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49" fontId="16" fillId="4" borderId="1" xfId="0" applyNumberFormat="1" applyFont="1" applyFill="1" applyBorder="1" applyAlignment="1">
      <alignment vertical="center"/>
    </xf>
    <xf numFmtId="49" fontId="16" fillId="4" borderId="1" xfId="0" applyNumberFormat="1" applyFont="1" applyFill="1" applyBorder="1" applyAlignment="1">
      <alignment horizontal="left" vertical="center" wrapText="1"/>
    </xf>
    <xf numFmtId="49" fontId="16" fillId="4" borderId="1" xfId="0" applyNumberFormat="1" applyFont="1" applyFill="1" applyBorder="1" applyAlignment="1">
      <alignment horizontal="center" vertical="center" wrapText="1"/>
    </xf>
    <xf numFmtId="1" fontId="16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30" fillId="0" borderId="1" xfId="0" applyFont="1" applyBorder="1"/>
    <xf numFmtId="0" fontId="20" fillId="4" borderId="1" xfId="0" applyFont="1" applyFill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left" vertical="center"/>
    </xf>
    <xf numFmtId="16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0" xfId="0" applyFont="1"/>
    <xf numFmtId="1" fontId="16" fillId="0" borderId="1" xfId="0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/>
    </xf>
    <xf numFmtId="1" fontId="16" fillId="0" borderId="1" xfId="0" applyNumberFormat="1" applyFont="1" applyBorder="1" applyAlignment="1">
      <alignment vertical="center" wrapText="1"/>
    </xf>
    <xf numFmtId="49" fontId="16" fillId="0" borderId="1" xfId="0" applyNumberFormat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165" fontId="15" fillId="4" borderId="1" xfId="0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/>
    </xf>
    <xf numFmtId="49" fontId="16" fillId="2" borderId="1" xfId="0" applyNumberFormat="1" applyFont="1" applyFill="1" applyBorder="1" applyAlignment="1">
      <alignment horizontal="left" vertical="center" wrapText="1"/>
    </xf>
    <xf numFmtId="49" fontId="16" fillId="0" borderId="1" xfId="0" applyNumberFormat="1" applyFont="1" applyBorder="1" applyAlignment="1">
      <alignment horizontal="left" vertical="top" wrapText="1"/>
    </xf>
    <xf numFmtId="49" fontId="18" fillId="0" borderId="1" xfId="0" applyNumberFormat="1" applyFont="1" applyBorder="1" applyAlignment="1">
      <alignment horizontal="left" vertical="center"/>
    </xf>
    <xf numFmtId="49" fontId="19" fillId="0" borderId="1" xfId="0" applyNumberFormat="1" applyFont="1" applyBorder="1" applyAlignment="1">
      <alignment horizontal="left" vertical="center" wrapText="1"/>
    </xf>
    <xf numFmtId="164" fontId="16" fillId="4" borderId="1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/>
    </xf>
    <xf numFmtId="0" fontId="16" fillId="12" borderId="1" xfId="0" applyFont="1" applyFill="1" applyBorder="1" applyAlignment="1">
      <alignment horizontal="left" vertical="center"/>
    </xf>
    <xf numFmtId="49" fontId="16" fillId="0" borderId="1" xfId="0" applyNumberFormat="1" applyFont="1" applyBorder="1" applyAlignment="1">
      <alignment horizontal="left" vertical="top"/>
    </xf>
    <xf numFmtId="0" fontId="16" fillId="4" borderId="0" xfId="0" applyFont="1" applyFill="1"/>
    <xf numFmtId="0" fontId="31" fillId="0" borderId="1" xfId="0" applyFont="1" applyBorder="1"/>
    <xf numFmtId="0" fontId="31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left"/>
    </xf>
    <xf numFmtId="0" fontId="1" fillId="0" borderId="1" xfId="0" applyFont="1" applyBorder="1"/>
    <xf numFmtId="0" fontId="32" fillId="0" borderId="1" xfId="0" applyFont="1" applyBorder="1"/>
    <xf numFmtId="0" fontId="34" fillId="0" borderId="1" xfId="0" applyFont="1" applyBorder="1"/>
    <xf numFmtId="0" fontId="37" fillId="0" borderId="1" xfId="0" applyFont="1" applyBorder="1"/>
    <xf numFmtId="0" fontId="16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15" fillId="13" borderId="1" xfId="0" applyFont="1" applyFill="1" applyBorder="1" applyAlignment="1">
      <alignment horizontal="left" vertical="center"/>
    </xf>
    <xf numFmtId="1" fontId="6" fillId="10" borderId="2" xfId="0" applyNumberFormat="1" applyFont="1" applyFill="1" applyBorder="1" applyAlignment="1">
      <alignment horizontal="center" vertical="center"/>
    </xf>
    <xf numFmtId="14" fontId="6" fillId="10" borderId="2" xfId="0" applyNumberFormat="1" applyFont="1" applyFill="1" applyBorder="1" applyAlignment="1">
      <alignment horizontal="center" vertical="center" wrapText="1"/>
    </xf>
    <xf numFmtId="2" fontId="6" fillId="10" borderId="2" xfId="0" applyNumberFormat="1" applyFont="1" applyFill="1" applyBorder="1" applyAlignment="1">
      <alignment horizontal="center" vertical="center" wrapText="1"/>
    </xf>
    <xf numFmtId="2" fontId="6" fillId="10" borderId="2" xfId="0" applyNumberFormat="1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 wrapText="1"/>
    </xf>
    <xf numFmtId="1" fontId="6" fillId="10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 wrapText="1"/>
    </xf>
    <xf numFmtId="164" fontId="21" fillId="6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18" fillId="0" borderId="0" xfId="0" applyFont="1"/>
    <xf numFmtId="0" fontId="39" fillId="0" borderId="7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165" fontId="16" fillId="4" borderId="6" xfId="0" applyNumberFormat="1" applyFont="1" applyFill="1" applyBorder="1" applyAlignment="1">
      <alignment horizontal="left" vertical="center"/>
    </xf>
    <xf numFmtId="164" fontId="16" fillId="4" borderId="5" xfId="0" applyNumberFormat="1" applyFont="1" applyFill="1" applyBorder="1" applyAlignment="1">
      <alignment horizontal="center" vertical="center"/>
    </xf>
    <xf numFmtId="164" fontId="16" fillId="4" borderId="2" xfId="0" applyNumberFormat="1" applyFont="1" applyFill="1" applyBorder="1" applyAlignment="1">
      <alignment horizontal="left" vertical="center"/>
    </xf>
    <xf numFmtId="0" fontId="16" fillId="4" borderId="2" xfId="0" applyFont="1" applyFill="1" applyBorder="1" applyAlignment="1">
      <alignment vertical="center"/>
    </xf>
    <xf numFmtId="164" fontId="16" fillId="4" borderId="2" xfId="0" applyNumberFormat="1" applyFont="1" applyFill="1" applyBorder="1" applyAlignment="1">
      <alignment horizontal="center" vertical="center"/>
    </xf>
    <xf numFmtId="164" fontId="16" fillId="4" borderId="4" xfId="0" applyNumberFormat="1" applyFont="1" applyFill="1" applyBorder="1" applyAlignment="1">
      <alignment horizontal="left" vertical="center"/>
    </xf>
    <xf numFmtId="0" fontId="16" fillId="4" borderId="4" xfId="0" applyFont="1" applyFill="1" applyBorder="1" applyAlignment="1">
      <alignment vertical="center"/>
    </xf>
    <xf numFmtId="164" fontId="16" fillId="4" borderId="4" xfId="0" applyNumberFormat="1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164" fontId="16" fillId="4" borderId="3" xfId="0" applyNumberFormat="1" applyFont="1" applyFill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49" fontId="16" fillId="4" borderId="5" xfId="0" applyNumberFormat="1" applyFont="1" applyFill="1" applyBorder="1" applyAlignment="1">
      <alignment horizontal="left" vertical="center" wrapText="1"/>
    </xf>
    <xf numFmtId="165" fontId="16" fillId="4" borderId="2" xfId="0" applyNumberFormat="1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center" vertical="center"/>
    </xf>
    <xf numFmtId="165" fontId="16" fillId="4" borderId="3" xfId="0" applyNumberFormat="1" applyFont="1" applyFill="1" applyBorder="1" applyAlignment="1">
      <alignment horizontal="left" vertical="center"/>
    </xf>
    <xf numFmtId="0" fontId="16" fillId="4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6" fillId="4" borderId="1" xfId="0" applyFont="1" applyFill="1" applyBorder="1" applyAlignment="1">
      <alignment horizontal="left" wrapText="1"/>
    </xf>
    <xf numFmtId="0" fontId="39" fillId="0" borderId="7" xfId="0" applyFont="1" applyBorder="1"/>
    <xf numFmtId="0" fontId="40" fillId="0" borderId="0" xfId="0" applyFont="1"/>
    <xf numFmtId="0" fontId="41" fillId="0" borderId="7" xfId="0" applyFont="1" applyBorder="1"/>
    <xf numFmtId="0" fontId="16" fillId="4" borderId="6" xfId="0" applyFont="1" applyFill="1" applyBorder="1" applyAlignment="1">
      <alignment horizontal="left"/>
    </xf>
    <xf numFmtId="164" fontId="16" fillId="4" borderId="5" xfId="0" applyNumberFormat="1" applyFont="1" applyFill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165" fontId="16" fillId="4" borderId="4" xfId="0" applyNumberFormat="1" applyFont="1" applyFill="1" applyBorder="1" applyAlignment="1">
      <alignment horizontal="left" vertical="center"/>
    </xf>
    <xf numFmtId="0" fontId="16" fillId="4" borderId="4" xfId="0" applyFont="1" applyFill="1" applyBorder="1" applyAlignment="1">
      <alignment horizontal="center" vertical="center"/>
    </xf>
    <xf numFmtId="14" fontId="16" fillId="4" borderId="1" xfId="0" applyNumberFormat="1" applyFont="1" applyFill="1" applyBorder="1"/>
    <xf numFmtId="0" fontId="18" fillId="14" borderId="1" xfId="0" applyFont="1" applyFill="1" applyBorder="1" applyAlignment="1">
      <alignment wrapText="1"/>
    </xf>
    <xf numFmtId="0" fontId="16" fillId="4" borderId="6" xfId="0" applyFont="1" applyFill="1" applyBorder="1"/>
    <xf numFmtId="0" fontId="16" fillId="4" borderId="9" xfId="0" applyFont="1" applyFill="1" applyBorder="1" applyAlignment="1">
      <alignment vertical="center"/>
    </xf>
    <xf numFmtId="0" fontId="16" fillId="4" borderId="5" xfId="0" applyFont="1" applyFill="1" applyBorder="1" applyAlignment="1">
      <alignment vertical="center"/>
    </xf>
    <xf numFmtId="165" fontId="16" fillId="0" borderId="2" xfId="0" applyNumberFormat="1" applyFont="1" applyBorder="1" applyAlignment="1">
      <alignment horizontal="left" vertical="center"/>
    </xf>
    <xf numFmtId="164" fontId="16" fillId="0" borderId="2" xfId="0" applyNumberFormat="1" applyFont="1" applyBorder="1" applyAlignment="1">
      <alignment horizontal="left" vertical="center"/>
    </xf>
    <xf numFmtId="165" fontId="16" fillId="0" borderId="3" xfId="0" applyNumberFormat="1" applyFont="1" applyBorder="1" applyAlignment="1">
      <alignment horizontal="left" vertical="center"/>
    </xf>
    <xf numFmtId="164" fontId="16" fillId="0" borderId="3" xfId="0" applyNumberFormat="1" applyFont="1" applyBorder="1" applyAlignment="1">
      <alignment horizontal="left" vertical="center"/>
    </xf>
    <xf numFmtId="165" fontId="16" fillId="4" borderId="14" xfId="0" applyNumberFormat="1" applyFont="1" applyFill="1" applyBorder="1" applyAlignment="1">
      <alignment horizontal="left" vertical="center"/>
    </xf>
    <xf numFmtId="0" fontId="16" fillId="0" borderId="3" xfId="0" applyFont="1" applyBorder="1"/>
    <xf numFmtId="0" fontId="16" fillId="0" borderId="2" xfId="0" applyFont="1" applyBorder="1"/>
    <xf numFmtId="1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/>
    </xf>
    <xf numFmtId="165" fontId="30" fillId="0" borderId="1" xfId="0" applyNumberFormat="1" applyFont="1" applyBorder="1" applyAlignment="1">
      <alignment horizontal="left" vertical="center"/>
    </xf>
    <xf numFmtId="0" fontId="16" fillId="4" borderId="2" xfId="0" applyFont="1" applyFill="1" applyBorder="1" applyAlignment="1">
      <alignment horizontal="left"/>
    </xf>
    <xf numFmtId="49" fontId="16" fillId="4" borderId="2" xfId="0" applyNumberFormat="1" applyFont="1" applyFill="1" applyBorder="1" applyAlignment="1">
      <alignment horizontal="left" vertical="center" wrapText="1"/>
    </xf>
    <xf numFmtId="0" fontId="16" fillId="4" borderId="13" xfId="0" applyFont="1" applyFill="1" applyBorder="1" applyAlignment="1">
      <alignment horizontal="left"/>
    </xf>
    <xf numFmtId="49" fontId="16" fillId="4" borderId="9" xfId="0" applyNumberFormat="1" applyFont="1" applyFill="1" applyBorder="1" applyAlignment="1">
      <alignment horizontal="left" vertical="center" wrapText="1"/>
    </xf>
    <xf numFmtId="0" fontId="16" fillId="4" borderId="14" xfId="0" applyFont="1" applyFill="1" applyBorder="1" applyAlignment="1">
      <alignment horizontal="left"/>
    </xf>
    <xf numFmtId="49" fontId="16" fillId="4" borderId="10" xfId="0" applyNumberFormat="1" applyFont="1" applyFill="1" applyBorder="1" applyAlignment="1">
      <alignment horizontal="left" vertical="center" wrapText="1"/>
    </xf>
    <xf numFmtId="49" fontId="16" fillId="4" borderId="3" xfId="0" applyNumberFormat="1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left"/>
    </xf>
    <xf numFmtId="1" fontId="16" fillId="4" borderId="6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164" fontId="16" fillId="0" borderId="3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49" fontId="16" fillId="0" borderId="5" xfId="0" applyNumberFormat="1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49" fontId="16" fillId="0" borderId="5" xfId="0" applyNumberFormat="1" applyFont="1" applyBorder="1" applyAlignment="1">
      <alignment vertical="center"/>
    </xf>
    <xf numFmtId="49" fontId="18" fillId="0" borderId="5" xfId="0" applyNumberFormat="1" applyFont="1" applyBorder="1" applyAlignment="1">
      <alignment vertical="center"/>
    </xf>
    <xf numFmtId="49" fontId="16" fillId="4" borderId="5" xfId="0" applyNumberFormat="1" applyFont="1" applyFill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5" fontId="16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left" vertical="center"/>
    </xf>
    <xf numFmtId="1" fontId="21" fillId="0" borderId="2" xfId="0" applyNumberFormat="1" applyFont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left" vertical="center"/>
    </xf>
    <xf numFmtId="0" fontId="15" fillId="0" borderId="2" xfId="0" applyFont="1" applyBorder="1"/>
    <xf numFmtId="0" fontId="15" fillId="3" borderId="2" xfId="0" applyFont="1" applyFill="1" applyBorder="1" applyAlignment="1">
      <alignment horizontal="left" vertical="center"/>
    </xf>
    <xf numFmtId="1" fontId="21" fillId="4" borderId="2" xfId="0" applyNumberFormat="1" applyFont="1" applyFill="1" applyBorder="1" applyAlignment="1">
      <alignment horizontal="center" vertical="center"/>
    </xf>
    <xf numFmtId="165" fontId="16" fillId="4" borderId="2" xfId="0" applyNumberFormat="1" applyFont="1" applyFill="1" applyBorder="1" applyAlignment="1">
      <alignment horizontal="center" vertical="center"/>
    </xf>
    <xf numFmtId="1" fontId="16" fillId="4" borderId="2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4" borderId="4" xfId="0" applyFont="1" applyFill="1" applyBorder="1" applyAlignment="1">
      <alignment horizontal="left" vertical="center"/>
    </xf>
    <xf numFmtId="0" fontId="16" fillId="4" borderId="4" xfId="0" applyFont="1" applyFill="1" applyBorder="1" applyAlignment="1">
      <alignment horizontal="left" vertical="center"/>
    </xf>
    <xf numFmtId="0" fontId="21" fillId="4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165" fontId="16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center"/>
    </xf>
    <xf numFmtId="0" fontId="18" fillId="4" borderId="3" xfId="0" applyFont="1" applyFill="1" applyBorder="1" applyAlignment="1">
      <alignment horizontal="left" vertical="center"/>
    </xf>
    <xf numFmtId="0" fontId="16" fillId="13" borderId="4" xfId="0" applyFont="1" applyFill="1" applyBorder="1" applyAlignment="1">
      <alignment horizontal="left" vertical="center"/>
    </xf>
    <xf numFmtId="1" fontId="21" fillId="0" borderId="4" xfId="0" applyNumberFormat="1" applyFont="1" applyBorder="1" applyAlignment="1">
      <alignment horizontal="center" vertical="center"/>
    </xf>
    <xf numFmtId="49" fontId="16" fillId="4" borderId="4" xfId="0" applyNumberFormat="1" applyFont="1" applyFill="1" applyBorder="1" applyAlignment="1">
      <alignment horizontal="left" vertical="center"/>
    </xf>
    <xf numFmtId="1" fontId="21" fillId="4" borderId="3" xfId="0" applyNumberFormat="1" applyFont="1" applyFill="1" applyBorder="1" applyAlignment="1">
      <alignment horizontal="center" vertical="center"/>
    </xf>
    <xf numFmtId="49" fontId="16" fillId="4" borderId="3" xfId="0" applyNumberFormat="1" applyFont="1" applyFill="1" applyBorder="1" applyAlignment="1">
      <alignment horizontal="left" vertical="center"/>
    </xf>
    <xf numFmtId="1" fontId="21" fillId="0" borderId="3" xfId="0" applyNumberFormat="1" applyFont="1" applyBorder="1" applyAlignment="1">
      <alignment horizontal="center" vertical="center"/>
    </xf>
    <xf numFmtId="1" fontId="16" fillId="0" borderId="4" xfId="0" applyNumberFormat="1" applyFont="1" applyBorder="1" applyAlignment="1">
      <alignment horizontal="center" vertical="center"/>
    </xf>
    <xf numFmtId="0" fontId="15" fillId="0" borderId="4" xfId="0" applyFont="1" applyBorder="1"/>
    <xf numFmtId="0" fontId="15" fillId="0" borderId="3" xfId="0" applyFont="1" applyBorder="1"/>
    <xf numFmtId="1" fontId="21" fillId="4" borderId="4" xfId="0" applyNumberFormat="1" applyFont="1" applyFill="1" applyBorder="1" applyAlignment="1">
      <alignment horizontal="center" vertical="center"/>
    </xf>
    <xf numFmtId="165" fontId="16" fillId="4" borderId="4" xfId="0" applyNumberFormat="1" applyFont="1" applyFill="1" applyBorder="1" applyAlignment="1">
      <alignment horizontal="center" vertical="center"/>
    </xf>
    <xf numFmtId="165" fontId="16" fillId="4" borderId="3" xfId="0" applyNumberFormat="1" applyFont="1" applyFill="1" applyBorder="1" applyAlignment="1">
      <alignment horizontal="center" vertical="center"/>
    </xf>
    <xf numFmtId="1" fontId="16" fillId="4" borderId="3" xfId="0" applyNumberFormat="1" applyFont="1" applyFill="1" applyBorder="1" applyAlignment="1">
      <alignment horizontal="center" vertical="center"/>
    </xf>
    <xf numFmtId="1" fontId="16" fillId="4" borderId="4" xfId="0" applyNumberFormat="1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left" vertical="center"/>
    </xf>
    <xf numFmtId="49" fontId="16" fillId="0" borderId="9" xfId="0" applyNumberFormat="1" applyFont="1" applyBorder="1" applyAlignment="1">
      <alignment horizontal="left" vertical="center"/>
    </xf>
    <xf numFmtId="49" fontId="16" fillId="0" borderId="2" xfId="0" applyNumberFormat="1" applyFont="1" applyBorder="1" applyAlignment="1">
      <alignment horizontal="left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1" fontId="16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left" vertical="center"/>
    </xf>
    <xf numFmtId="0" fontId="16" fillId="0" borderId="2" xfId="0" applyFont="1" applyBorder="1" applyAlignment="1">
      <alignment vertical="center"/>
    </xf>
    <xf numFmtId="49" fontId="16" fillId="4" borderId="9" xfId="0" applyNumberFormat="1" applyFont="1" applyFill="1" applyBorder="1" applyAlignment="1">
      <alignment vertical="center"/>
    </xf>
    <xf numFmtId="49" fontId="16" fillId="4" borderId="2" xfId="0" applyNumberFormat="1" applyFont="1" applyFill="1" applyBorder="1" applyAlignment="1">
      <alignment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" fontId="16" fillId="4" borderId="2" xfId="0" applyNumberFormat="1" applyFont="1" applyFill="1" applyBorder="1" applyAlignment="1">
      <alignment horizontal="left" vertical="center" wrapText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left" vertical="center"/>
    </xf>
    <xf numFmtId="49" fontId="16" fillId="0" borderId="10" xfId="0" applyNumberFormat="1" applyFont="1" applyBorder="1" applyAlignment="1">
      <alignment horizontal="left" vertical="center"/>
    </xf>
    <xf numFmtId="49" fontId="16" fillId="0" borderId="3" xfId="0" applyNumberFormat="1" applyFont="1" applyBorder="1" applyAlignment="1">
      <alignment horizontal="left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49" fontId="16" fillId="0" borderId="3" xfId="0" applyNumberFormat="1" applyFont="1" applyBorder="1" applyAlignment="1">
      <alignment horizontal="left" vertical="center"/>
    </xf>
    <xf numFmtId="49" fontId="16" fillId="4" borderId="10" xfId="0" applyNumberFormat="1" applyFont="1" applyFill="1" applyBorder="1" applyAlignment="1">
      <alignment vertical="center"/>
    </xf>
    <xf numFmtId="49" fontId="16" fillId="4" borderId="3" xfId="0" applyNumberFormat="1" applyFont="1" applyFill="1" applyBorder="1" applyAlignment="1">
      <alignment vertical="center"/>
    </xf>
    <xf numFmtId="49" fontId="16" fillId="4" borderId="3" xfId="0" applyNumberFormat="1" applyFont="1" applyFill="1" applyBorder="1" applyAlignment="1">
      <alignment horizontal="center" vertical="center" wrapText="1"/>
    </xf>
    <xf numFmtId="1" fontId="16" fillId="4" borderId="3" xfId="0" applyNumberFormat="1" applyFont="1" applyFill="1" applyBorder="1" applyAlignment="1">
      <alignment horizontal="center" vertical="center" wrapText="1"/>
    </xf>
    <xf numFmtId="0" fontId="16" fillId="4" borderId="3" xfId="0" applyFont="1" applyFill="1" applyBorder="1"/>
    <xf numFmtId="0" fontId="16" fillId="4" borderId="3" xfId="0" applyFont="1" applyFill="1" applyBorder="1" applyAlignment="1">
      <alignment horizontal="center"/>
    </xf>
    <xf numFmtId="164" fontId="16" fillId="4" borderId="10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left" vertical="center"/>
    </xf>
    <xf numFmtId="49" fontId="16" fillId="4" borderId="4" xfId="0" applyNumberFormat="1" applyFont="1" applyFill="1" applyBorder="1" applyAlignment="1">
      <alignment vertical="center"/>
    </xf>
    <xf numFmtId="0" fontId="16" fillId="4" borderId="4" xfId="0" applyFont="1" applyFill="1" applyBorder="1"/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left"/>
    </xf>
    <xf numFmtId="49" fontId="16" fillId="4" borderId="4" xfId="0" applyNumberFormat="1" applyFont="1" applyFill="1" applyBorder="1" applyAlignment="1">
      <alignment horizontal="left" vertical="center" wrapText="1"/>
    </xf>
    <xf numFmtId="0" fontId="16" fillId="4" borderId="14" xfId="0" applyFont="1" applyFill="1" applyBorder="1" applyAlignment="1">
      <alignment horizontal="center"/>
    </xf>
    <xf numFmtId="49" fontId="16" fillId="0" borderId="2" xfId="0" applyNumberFormat="1" applyFont="1" applyBorder="1" applyAlignment="1">
      <alignment horizontal="left" vertical="top" wrapText="1"/>
    </xf>
    <xf numFmtId="49" fontId="16" fillId="0" borderId="2" xfId="0" applyNumberFormat="1" applyFont="1" applyBorder="1" applyAlignment="1">
      <alignment horizontal="left" vertical="top"/>
    </xf>
    <xf numFmtId="49" fontId="16" fillId="0" borderId="2" xfId="0" applyNumberFormat="1" applyFont="1" applyBorder="1" applyAlignment="1">
      <alignment vertical="center"/>
    </xf>
    <xf numFmtId="49" fontId="16" fillId="0" borderId="9" xfId="0" applyNumberFormat="1" applyFont="1" applyBorder="1" applyAlignment="1">
      <alignment vertical="center"/>
    </xf>
    <xf numFmtId="1" fontId="16" fillId="0" borderId="2" xfId="0" applyNumberFormat="1" applyFont="1" applyBorder="1" applyAlignment="1">
      <alignment horizontal="left" vertical="center" wrapText="1"/>
    </xf>
    <xf numFmtId="1" fontId="16" fillId="4" borderId="2" xfId="0" applyNumberFormat="1" applyFont="1" applyFill="1" applyBorder="1" applyAlignment="1">
      <alignment horizontal="center" vertical="center" wrapText="1"/>
    </xf>
    <xf numFmtId="0" fontId="38" fillId="14" borderId="2" xfId="1" applyFont="1" applyFill="1" applyBorder="1"/>
    <xf numFmtId="165" fontId="16" fillId="4" borderId="13" xfId="0" applyNumberFormat="1" applyFont="1" applyFill="1" applyBorder="1" applyAlignment="1">
      <alignment horizontal="left" vertical="center"/>
    </xf>
    <xf numFmtId="164" fontId="16" fillId="4" borderId="9" xfId="0" applyNumberFormat="1" applyFont="1" applyFill="1" applyBorder="1" applyAlignment="1">
      <alignment horizontal="center" vertical="center"/>
    </xf>
    <xf numFmtId="49" fontId="16" fillId="0" borderId="16" xfId="0" applyNumberFormat="1" applyFont="1" applyBorder="1" applyAlignment="1">
      <alignment horizontal="left" vertical="center"/>
    </xf>
    <xf numFmtId="49" fontId="16" fillId="0" borderId="4" xfId="0" applyNumberFormat="1" applyFont="1" applyBorder="1" applyAlignment="1">
      <alignment horizontal="left" vertical="center"/>
    </xf>
    <xf numFmtId="49" fontId="16" fillId="0" borderId="4" xfId="0" applyNumberFormat="1" applyFont="1" applyBorder="1" applyAlignment="1">
      <alignment horizontal="left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1" fontId="16" fillId="0" borderId="12" xfId="0" applyNumberFormat="1" applyFont="1" applyBorder="1" applyAlignment="1">
      <alignment horizontal="center" vertical="center" wrapText="1"/>
    </xf>
    <xf numFmtId="0" fontId="16" fillId="0" borderId="4" xfId="0" applyFont="1" applyBorder="1"/>
    <xf numFmtId="165" fontId="16" fillId="0" borderId="4" xfId="0" applyNumberFormat="1" applyFont="1" applyBorder="1" applyAlignment="1">
      <alignment horizontal="left" vertical="center"/>
    </xf>
    <xf numFmtId="0" fontId="16" fillId="0" borderId="16" xfId="0" applyFont="1" applyBorder="1" applyAlignment="1">
      <alignment vertical="center"/>
    </xf>
    <xf numFmtId="164" fontId="16" fillId="0" borderId="4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left" vertical="center" wrapText="1"/>
    </xf>
    <xf numFmtId="49" fontId="16" fillId="0" borderId="3" xfId="0" applyNumberFormat="1" applyFont="1" applyBorder="1" applyAlignment="1">
      <alignment horizontal="left" vertical="top"/>
    </xf>
    <xf numFmtId="49" fontId="16" fillId="0" borderId="10" xfId="0" applyNumberFormat="1" applyFont="1" applyBorder="1" applyAlignment="1">
      <alignment vertical="center"/>
    </xf>
    <xf numFmtId="49" fontId="16" fillId="0" borderId="3" xfId="0" applyNumberFormat="1" applyFont="1" applyBorder="1" applyAlignment="1">
      <alignment vertical="center"/>
    </xf>
    <xf numFmtId="49" fontId="18" fillId="0" borderId="10" xfId="0" applyNumberFormat="1" applyFont="1" applyBorder="1" applyAlignment="1">
      <alignment vertical="center"/>
    </xf>
    <xf numFmtId="49" fontId="16" fillId="4" borderId="16" xfId="0" applyNumberFormat="1" applyFont="1" applyFill="1" applyBorder="1" applyAlignment="1">
      <alignment vertical="center"/>
    </xf>
    <xf numFmtId="49" fontId="16" fillId="4" borderId="4" xfId="0" applyNumberFormat="1" applyFont="1" applyFill="1" applyBorder="1" applyAlignment="1">
      <alignment horizontal="center" vertical="center" wrapText="1"/>
    </xf>
    <xf numFmtId="1" fontId="16" fillId="4" borderId="4" xfId="0" applyNumberFormat="1" applyFont="1" applyFill="1" applyBorder="1" applyAlignment="1">
      <alignment horizontal="left" vertical="center" wrapText="1"/>
    </xf>
    <xf numFmtId="1" fontId="16" fillId="4" borderId="4" xfId="0" applyNumberFormat="1" applyFont="1" applyFill="1" applyBorder="1" applyAlignment="1">
      <alignment horizontal="center" vertical="center" wrapText="1"/>
    </xf>
    <xf numFmtId="164" fontId="16" fillId="4" borderId="3" xfId="0" applyNumberFormat="1" applyFont="1" applyFill="1" applyBorder="1" applyAlignment="1">
      <alignment horizontal="left" vertical="center" wrapText="1"/>
    </xf>
    <xf numFmtId="0" fontId="16" fillId="4" borderId="14" xfId="0" applyFont="1" applyFill="1" applyBorder="1"/>
    <xf numFmtId="0" fontId="30" fillId="0" borderId="3" xfId="0" applyFont="1" applyBorder="1"/>
    <xf numFmtId="0" fontId="16" fillId="4" borderId="10" xfId="0" applyFont="1" applyFill="1" applyBorder="1" applyAlignment="1">
      <alignment vertical="center"/>
    </xf>
    <xf numFmtId="164" fontId="16" fillId="4" borderId="10" xfId="0" applyNumberFormat="1" applyFont="1" applyFill="1" applyBorder="1" applyAlignment="1">
      <alignment horizontal="left" vertical="center"/>
    </xf>
    <xf numFmtId="0" fontId="16" fillId="4" borderId="12" xfId="0" applyFont="1" applyFill="1" applyBorder="1" applyAlignment="1">
      <alignment horizontal="left"/>
    </xf>
    <xf numFmtId="49" fontId="16" fillId="4" borderId="16" xfId="0" applyNumberFormat="1" applyFont="1" applyFill="1" applyBorder="1" applyAlignment="1">
      <alignment horizontal="left" vertical="center" wrapText="1"/>
    </xf>
    <xf numFmtId="0" fontId="0" fillId="4" borderId="1" xfId="0" applyFill="1" applyBorder="1"/>
    <xf numFmtId="0" fontId="16" fillId="4" borderId="5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16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left" vertical="center"/>
    </xf>
    <xf numFmtId="0" fontId="16" fillId="4" borderId="9" xfId="0" applyFont="1" applyFill="1" applyBorder="1"/>
    <xf numFmtId="0" fontId="15" fillId="4" borderId="12" xfId="0" applyFont="1" applyFill="1" applyBorder="1" applyAlignment="1">
      <alignment horizontal="left" vertical="center"/>
    </xf>
    <xf numFmtId="0" fontId="15" fillId="4" borderId="14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left" vertical="center"/>
    </xf>
    <xf numFmtId="0" fontId="15" fillId="4" borderId="13" xfId="0" applyFont="1" applyFill="1" applyBorder="1" applyAlignment="1">
      <alignment horizontal="left" vertical="center"/>
    </xf>
    <xf numFmtId="1" fontId="21" fillId="4" borderId="7" xfId="0" applyNumberFormat="1" applyFont="1" applyFill="1" applyBorder="1" applyAlignment="1">
      <alignment horizontal="center" vertical="center"/>
    </xf>
    <xf numFmtId="1" fontId="16" fillId="4" borderId="7" xfId="0" applyNumberFormat="1" applyFont="1" applyFill="1" applyBorder="1" applyAlignment="1">
      <alignment horizontal="center" vertical="center"/>
    </xf>
    <xf numFmtId="165" fontId="16" fillId="4" borderId="7" xfId="0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4" borderId="7" xfId="0" applyFont="1" applyFill="1" applyBorder="1" applyAlignment="1">
      <alignment horizontal="left" vertical="center"/>
    </xf>
    <xf numFmtId="49" fontId="16" fillId="4" borderId="7" xfId="0" applyNumberFormat="1" applyFont="1" applyFill="1" applyBorder="1" applyAlignment="1">
      <alignment horizontal="left" vertical="center"/>
    </xf>
    <xf numFmtId="0" fontId="18" fillId="4" borderId="7" xfId="0" applyFont="1" applyFill="1" applyBorder="1" applyAlignment="1">
      <alignment horizontal="left" vertical="center"/>
    </xf>
    <xf numFmtId="0" fontId="16" fillId="4" borderId="7" xfId="0" applyFont="1" applyFill="1" applyBorder="1" applyAlignment="1">
      <alignment horizontal="left" vertical="center"/>
    </xf>
    <xf numFmtId="49" fontId="16" fillId="4" borderId="7" xfId="0" applyNumberFormat="1" applyFont="1" applyFill="1" applyBorder="1" applyAlignment="1">
      <alignment vertical="center"/>
    </xf>
    <xf numFmtId="0" fontId="16" fillId="4" borderId="7" xfId="0" applyFont="1" applyFill="1" applyBorder="1" applyAlignment="1">
      <alignment vertical="center"/>
    </xf>
    <xf numFmtId="0" fontId="16" fillId="4" borderId="7" xfId="0" applyFont="1" applyFill="1" applyBorder="1"/>
    <xf numFmtId="0" fontId="16" fillId="4" borderId="10" xfId="0" applyFont="1" applyFill="1" applyBorder="1"/>
    <xf numFmtId="1" fontId="21" fillId="4" borderId="19" xfId="0" applyNumberFormat="1" applyFont="1" applyFill="1" applyBorder="1" applyAlignment="1">
      <alignment horizontal="center" vertical="center"/>
    </xf>
    <xf numFmtId="1" fontId="16" fillId="4" borderId="19" xfId="0" applyNumberFormat="1" applyFont="1" applyFill="1" applyBorder="1" applyAlignment="1">
      <alignment horizontal="center" vertical="center"/>
    </xf>
    <xf numFmtId="165" fontId="16" fillId="4" borderId="19" xfId="0" applyNumberFormat="1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4" borderId="19" xfId="0" applyFont="1" applyFill="1" applyBorder="1" applyAlignment="1">
      <alignment horizontal="left" vertical="center"/>
    </xf>
    <xf numFmtId="49" fontId="16" fillId="4" borderId="19" xfId="0" applyNumberFormat="1" applyFont="1" applyFill="1" applyBorder="1" applyAlignment="1">
      <alignment horizontal="left" vertical="center"/>
    </xf>
    <xf numFmtId="0" fontId="18" fillId="4" borderId="19" xfId="0" applyFont="1" applyFill="1" applyBorder="1" applyAlignment="1">
      <alignment horizontal="left" vertical="center"/>
    </xf>
    <xf numFmtId="0" fontId="16" fillId="4" borderId="19" xfId="0" applyFont="1" applyFill="1" applyBorder="1" applyAlignment="1">
      <alignment horizontal="left" vertical="center"/>
    </xf>
    <xf numFmtId="49" fontId="16" fillId="4" borderId="19" xfId="0" applyNumberFormat="1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16" fillId="4" borderId="16" xfId="0" applyFont="1" applyFill="1" applyBorder="1" applyAlignment="1">
      <alignment vertical="center"/>
    </xf>
    <xf numFmtId="1" fontId="21" fillId="4" borderId="20" xfId="0" applyNumberFormat="1" applyFont="1" applyFill="1" applyBorder="1" applyAlignment="1">
      <alignment horizontal="center" vertical="center"/>
    </xf>
    <xf numFmtId="1" fontId="16" fillId="4" borderId="20" xfId="0" applyNumberFormat="1" applyFont="1" applyFill="1" applyBorder="1" applyAlignment="1">
      <alignment horizontal="center" vertical="center"/>
    </xf>
    <xf numFmtId="165" fontId="16" fillId="4" borderId="20" xfId="0" applyNumberFormat="1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4" borderId="20" xfId="0" applyFont="1" applyFill="1" applyBorder="1" applyAlignment="1">
      <alignment horizontal="left" vertical="center"/>
    </xf>
    <xf numFmtId="49" fontId="16" fillId="4" borderId="20" xfId="0" applyNumberFormat="1" applyFont="1" applyFill="1" applyBorder="1" applyAlignment="1">
      <alignment horizontal="left" vertical="center"/>
    </xf>
    <xf numFmtId="0" fontId="18" fillId="4" borderId="20" xfId="0" applyFont="1" applyFill="1" applyBorder="1" applyAlignment="1">
      <alignment horizontal="left" vertical="center"/>
    </xf>
    <xf numFmtId="0" fontId="16" fillId="4" borderId="20" xfId="0" applyFont="1" applyFill="1" applyBorder="1" applyAlignment="1">
      <alignment horizontal="left" vertical="center"/>
    </xf>
    <xf numFmtId="49" fontId="16" fillId="4" borderId="20" xfId="0" applyNumberFormat="1" applyFont="1" applyFill="1" applyBorder="1" applyAlignment="1">
      <alignment vertical="center"/>
    </xf>
    <xf numFmtId="49" fontId="16" fillId="4" borderId="6" xfId="0" applyNumberFormat="1" applyFont="1" applyFill="1" applyBorder="1" applyAlignment="1">
      <alignment vertical="center"/>
    </xf>
    <xf numFmtId="49" fontId="16" fillId="4" borderId="14" xfId="0" applyNumberFormat="1" applyFont="1" applyFill="1" applyBorder="1" applyAlignment="1">
      <alignment vertical="center"/>
    </xf>
    <xf numFmtId="0" fontId="42" fillId="9" borderId="7" xfId="0" applyFont="1" applyFill="1" applyBorder="1"/>
    <xf numFmtId="0" fontId="16" fillId="0" borderId="2" xfId="0" applyFont="1" applyBorder="1" applyAlignment="1">
      <alignment horizontal="center"/>
    </xf>
    <xf numFmtId="49" fontId="16" fillId="0" borderId="4" xfId="0" applyNumberFormat="1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" fontId="16" fillId="0" borderId="4" xfId="0" applyNumberFormat="1" applyFont="1" applyBorder="1" applyAlignment="1">
      <alignment horizontal="center" vertical="center" wrapText="1"/>
    </xf>
    <xf numFmtId="164" fontId="16" fillId="0" borderId="4" xfId="0" applyNumberFormat="1" applyFont="1" applyBorder="1" applyAlignment="1">
      <alignment horizontal="left" vertical="center"/>
    </xf>
    <xf numFmtId="0" fontId="43" fillId="0" borderId="0" xfId="0" applyFont="1"/>
    <xf numFmtId="49" fontId="16" fillId="4" borderId="21" xfId="0" applyNumberFormat="1" applyFont="1" applyFill="1" applyBorder="1" applyAlignment="1">
      <alignment vertical="center"/>
    </xf>
    <xf numFmtId="0" fontId="0" fillId="0" borderId="7" xfId="0" applyBorder="1"/>
    <xf numFmtId="0" fontId="16" fillId="13" borderId="1" xfId="0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vertical="center"/>
    </xf>
    <xf numFmtId="0" fontId="42" fillId="9" borderId="19" xfId="0" applyFont="1" applyFill="1" applyBorder="1"/>
    <xf numFmtId="49" fontId="16" fillId="4" borderId="22" xfId="0" applyNumberFormat="1" applyFont="1" applyFill="1" applyBorder="1" applyAlignment="1">
      <alignment vertical="center"/>
    </xf>
    <xf numFmtId="49" fontId="16" fillId="4" borderId="6" xfId="0" applyNumberFormat="1" applyFont="1" applyFill="1" applyBorder="1" applyAlignment="1">
      <alignment horizontal="left" vertical="center" wrapText="1"/>
    </xf>
    <xf numFmtId="49" fontId="16" fillId="4" borderId="14" xfId="0" applyNumberFormat="1" applyFont="1" applyFill="1" applyBorder="1" applyAlignment="1">
      <alignment horizontal="left" vertical="center" wrapText="1"/>
    </xf>
    <xf numFmtId="164" fontId="16" fillId="4" borderId="6" xfId="0" applyNumberFormat="1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left"/>
    </xf>
    <xf numFmtId="0" fontId="16" fillId="4" borderId="5" xfId="0" applyFont="1" applyFill="1" applyBorder="1" applyAlignment="1">
      <alignment horizontal="left"/>
    </xf>
    <xf numFmtId="1" fontId="21" fillId="4" borderId="23" xfId="0" applyNumberFormat="1" applyFont="1" applyFill="1" applyBorder="1" applyAlignment="1">
      <alignment horizontal="center" vertical="center"/>
    </xf>
    <xf numFmtId="1" fontId="16" fillId="4" borderId="23" xfId="0" applyNumberFormat="1" applyFont="1" applyFill="1" applyBorder="1" applyAlignment="1">
      <alignment horizontal="center" vertical="center"/>
    </xf>
    <xf numFmtId="165" fontId="16" fillId="4" borderId="23" xfId="0" applyNumberFormat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4" borderId="23" xfId="0" applyFont="1" applyFill="1" applyBorder="1" applyAlignment="1">
      <alignment horizontal="left" vertical="center"/>
    </xf>
    <xf numFmtId="49" fontId="16" fillId="4" borderId="23" xfId="0" applyNumberFormat="1" applyFont="1" applyFill="1" applyBorder="1" applyAlignment="1">
      <alignment horizontal="left" vertical="center"/>
    </xf>
    <xf numFmtId="0" fontId="18" fillId="4" borderId="23" xfId="0" applyFont="1" applyFill="1" applyBorder="1" applyAlignment="1">
      <alignment horizontal="left" vertical="center"/>
    </xf>
    <xf numFmtId="0" fontId="16" fillId="4" borderId="23" xfId="0" applyFont="1" applyFill="1" applyBorder="1" applyAlignment="1">
      <alignment horizontal="left" vertical="center"/>
    </xf>
    <xf numFmtId="49" fontId="16" fillId="4" borderId="23" xfId="0" applyNumberFormat="1" applyFont="1" applyFill="1" applyBorder="1" applyAlignment="1">
      <alignment vertical="center"/>
    </xf>
    <xf numFmtId="0" fontId="16" fillId="4" borderId="23" xfId="0" applyFont="1" applyFill="1" applyBorder="1" applyAlignment="1">
      <alignment vertical="center"/>
    </xf>
    <xf numFmtId="0" fontId="18" fillId="9" borderId="7" xfId="0" applyFont="1" applyFill="1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0" fontId="18" fillId="9" borderId="7" xfId="0" applyFont="1" applyFill="1" applyBorder="1" applyAlignment="1">
      <alignment horizontal="center" vertical="center"/>
    </xf>
    <xf numFmtId="1" fontId="16" fillId="0" borderId="6" xfId="0" applyNumberFormat="1" applyFont="1" applyBorder="1" applyAlignment="1">
      <alignment horizontal="center" vertical="center" wrapText="1"/>
    </xf>
    <xf numFmtId="1" fontId="16" fillId="0" borderId="13" xfId="0" applyNumberFormat="1" applyFont="1" applyBorder="1" applyAlignment="1">
      <alignment horizontal="center" vertical="center" wrapText="1"/>
    </xf>
    <xf numFmtId="1" fontId="16" fillId="0" borderId="14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left" vertical="center" wrapText="1"/>
    </xf>
    <xf numFmtId="49" fontId="16" fillId="0" borderId="13" xfId="0" applyNumberFormat="1" applyFont="1" applyBorder="1" applyAlignment="1">
      <alignment horizontal="left" vertical="center" wrapText="1"/>
    </xf>
    <xf numFmtId="49" fontId="16" fillId="0" borderId="14" xfId="0" applyNumberFormat="1" applyFont="1" applyBorder="1" applyAlignment="1">
      <alignment horizontal="left" vertical="center" wrapText="1"/>
    </xf>
    <xf numFmtId="49" fontId="36" fillId="0" borderId="6" xfId="0" applyNumberFormat="1" applyFont="1" applyBorder="1" applyAlignment="1">
      <alignment horizontal="left" vertical="center" wrapText="1"/>
    </xf>
    <xf numFmtId="1" fontId="16" fillId="0" borderId="5" xfId="0" applyNumberFormat="1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164" fontId="16" fillId="0" borderId="5" xfId="0" applyNumberFormat="1" applyFont="1" applyBorder="1" applyAlignment="1">
      <alignment horizontal="center" vertical="center"/>
    </xf>
    <xf numFmtId="164" fontId="16" fillId="0" borderId="9" xfId="0" applyNumberFormat="1" applyFont="1" applyBorder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1" fontId="21" fillId="2" borderId="1" xfId="0" applyNumberFormat="1" applyFont="1" applyFill="1" applyBorder="1" applyAlignment="1">
      <alignment horizontal="center" vertical="center"/>
    </xf>
    <xf numFmtId="49" fontId="16" fillId="4" borderId="24" xfId="0" applyNumberFormat="1" applyFont="1" applyFill="1" applyBorder="1" applyAlignment="1">
      <alignment vertical="center"/>
    </xf>
    <xf numFmtId="49" fontId="16" fillId="4" borderId="12" xfId="0" applyNumberFormat="1" applyFont="1" applyFill="1" applyBorder="1" applyAlignment="1">
      <alignment vertical="center"/>
    </xf>
    <xf numFmtId="0" fontId="18" fillId="4" borderId="13" xfId="0" applyFont="1" applyFill="1" applyBorder="1" applyAlignment="1">
      <alignment horizontal="left" vertical="center"/>
    </xf>
    <xf numFmtId="0" fontId="18" fillId="4" borderId="6" xfId="0" applyFont="1" applyFill="1" applyBorder="1" applyAlignment="1">
      <alignment horizontal="left" vertical="center"/>
    </xf>
    <xf numFmtId="0" fontId="18" fillId="4" borderId="14" xfId="0" applyFont="1" applyFill="1" applyBorder="1" applyAlignment="1">
      <alignment horizontal="left" vertical="center"/>
    </xf>
    <xf numFmtId="0" fontId="16" fillId="4" borderId="9" xfId="0" applyFont="1" applyFill="1" applyBorder="1" applyAlignment="1">
      <alignment horizontal="left" vertical="center"/>
    </xf>
    <xf numFmtId="0" fontId="16" fillId="4" borderId="16" xfId="0" applyFont="1" applyFill="1" applyBorder="1" applyAlignment="1">
      <alignment horizontal="left" vertical="center"/>
    </xf>
    <xf numFmtId="0" fontId="16" fillId="4" borderId="5" xfId="0" applyFont="1" applyFill="1" applyBorder="1" applyAlignment="1">
      <alignment horizontal="left" vertical="center"/>
    </xf>
    <xf numFmtId="0" fontId="16" fillId="4" borderId="10" xfId="0" applyFont="1" applyFill="1" applyBorder="1" applyAlignment="1">
      <alignment horizontal="left" vertical="center"/>
    </xf>
    <xf numFmtId="0" fontId="16" fillId="2" borderId="16" xfId="0" applyFont="1" applyFill="1" applyBorder="1" applyAlignment="1">
      <alignment horizontal="left" vertical="center"/>
    </xf>
    <xf numFmtId="1" fontId="21" fillId="4" borderId="12" xfId="0" applyNumberFormat="1" applyFont="1" applyFill="1" applyBorder="1" applyAlignment="1">
      <alignment horizontal="center" vertical="center"/>
    </xf>
    <xf numFmtId="1" fontId="21" fillId="4" borderId="6" xfId="0" applyNumberFormat="1" applyFont="1" applyFill="1" applyBorder="1" applyAlignment="1">
      <alignment horizontal="center" vertical="center"/>
    </xf>
    <xf numFmtId="1" fontId="21" fillId="4" borderId="14" xfId="0" applyNumberFormat="1" applyFont="1" applyFill="1" applyBorder="1" applyAlignment="1">
      <alignment horizontal="center" vertical="center"/>
    </xf>
    <xf numFmtId="1" fontId="21" fillId="4" borderId="13" xfId="0" applyNumberFormat="1" applyFont="1" applyFill="1" applyBorder="1" applyAlignment="1">
      <alignment horizontal="center" vertical="center"/>
    </xf>
    <xf numFmtId="0" fontId="43" fillId="0" borderId="1" xfId="0" applyFont="1" applyBorder="1"/>
    <xf numFmtId="0" fontId="44" fillId="4" borderId="1" xfId="0" applyFont="1" applyFill="1" applyBorder="1" applyAlignment="1">
      <alignment wrapText="1"/>
    </xf>
    <xf numFmtId="0" fontId="32" fillId="9" borderId="7" xfId="0" applyFont="1" applyFill="1" applyBorder="1" applyAlignment="1">
      <alignment horizontal="center"/>
    </xf>
    <xf numFmtId="49" fontId="16" fillId="4" borderId="5" xfId="0" applyNumberFormat="1" applyFont="1" applyFill="1" applyBorder="1" applyAlignment="1">
      <alignment horizontal="left" vertical="center"/>
    </xf>
    <xf numFmtId="165" fontId="16" fillId="0" borderId="6" xfId="0" applyNumberFormat="1" applyFont="1" applyBorder="1" applyAlignment="1">
      <alignment horizontal="center" vertical="center"/>
    </xf>
    <xf numFmtId="165" fontId="16" fillId="4" borderId="6" xfId="0" applyNumberFormat="1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left" vertical="center"/>
    </xf>
    <xf numFmtId="0" fontId="15" fillId="4" borderId="5" xfId="0" applyFont="1" applyFill="1" applyBorder="1" applyAlignment="1">
      <alignment horizontal="left" vertical="center"/>
    </xf>
    <xf numFmtId="1" fontId="21" fillId="4" borderId="24" xfId="0" applyNumberFormat="1" applyFont="1" applyFill="1" applyBorder="1" applyAlignment="1">
      <alignment horizontal="center" vertical="center"/>
    </xf>
    <xf numFmtId="0" fontId="16" fillId="4" borderId="5" xfId="0" applyFont="1" applyFill="1" applyBorder="1"/>
    <xf numFmtId="49" fontId="16" fillId="0" borderId="5" xfId="0" applyNumberFormat="1" applyFont="1" applyBorder="1" applyAlignment="1">
      <alignment horizontal="left" vertical="center" wrapText="1"/>
    </xf>
    <xf numFmtId="164" fontId="16" fillId="4" borderId="7" xfId="0" applyNumberFormat="1" applyFont="1" applyFill="1" applyBorder="1" applyAlignment="1">
      <alignment horizontal="left" vertical="center"/>
    </xf>
    <xf numFmtId="165" fontId="16" fillId="4" borderId="12" xfId="0" applyNumberFormat="1" applyFont="1" applyFill="1" applyBorder="1" applyAlignment="1">
      <alignment horizontal="center" vertical="center"/>
    </xf>
    <xf numFmtId="165" fontId="16" fillId="4" borderId="13" xfId="0" applyNumberFormat="1" applyFont="1" applyFill="1" applyBorder="1" applyAlignment="1">
      <alignment horizontal="center" vertical="center"/>
    </xf>
    <xf numFmtId="0" fontId="44" fillId="0" borderId="0" xfId="0" applyFont="1"/>
    <xf numFmtId="0" fontId="45" fillId="0" borderId="0" xfId="0" applyFont="1"/>
    <xf numFmtId="0" fontId="7" fillId="0" borderId="0" xfId="0" applyFont="1"/>
    <xf numFmtId="49" fontId="16" fillId="4" borderId="0" xfId="0" applyNumberFormat="1" applyFont="1" applyFill="1" applyAlignment="1">
      <alignment vertical="center"/>
    </xf>
    <xf numFmtId="0" fontId="0" fillId="0" borderId="5" xfId="0" applyBorder="1"/>
    <xf numFmtId="0" fontId="45" fillId="15" borderId="0" xfId="0" applyFont="1" applyFill="1" applyAlignment="1">
      <alignment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7" fillId="0" borderId="0" xfId="0" applyFont="1" applyFill="1" applyBorder="1" applyAlignment="1"/>
    <xf numFmtId="0" fontId="17" fillId="0" borderId="0" xfId="0" applyFont="1" applyFill="1" applyAlignment="1"/>
    <xf numFmtId="14" fontId="17" fillId="0" borderId="0" xfId="0" applyNumberFormat="1" applyFont="1" applyFill="1" applyBorder="1" applyAlignment="1"/>
  </cellXfs>
  <cellStyles count="2">
    <cellStyle name="Hiperlink" xfId="1" builtinId="8"/>
    <cellStyle name="Normal" xfId="0" builtinId="0"/>
  </cellStyles>
  <dxfs count="103"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91781449-37B1-4786-AEBB-8FFF268B3387}"/>
  <namedSheetView name="Exibir1" id="{9ACF3BE5-3AF2-4F25-8BDC-49730FCDCB06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William Oliveira - Delphos" id="{5E93362D-36BF-4489-82B3-550C7E82A1EB}" userId="S::william.santos@delphostec.com.br::8c52da06-0cd4-402a-9318-d562c0dc98d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787" dT="2026-06-18T18:50:06.05" personId="{5E93362D-36BF-4489-82B3-550C7E82A1EB}" id="{2ED84664-CD80-4491-9B02-E8A11422AF81}">
    <text>EITEUAIDI SISTEM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demir.silva@delphostec.com.br" TargetMode="External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538"/>
  <sheetViews>
    <sheetView topLeftCell="S1" zoomScaleNormal="100" workbookViewId="0">
      <pane ySplit="1" topLeftCell="A579" activePane="bottomLeft" state="frozen"/>
      <selection pane="bottomLeft" activeCell="C603" sqref="C603"/>
    </sheetView>
  </sheetViews>
  <sheetFormatPr defaultColWidth="9.140625" defaultRowHeight="15"/>
  <cols>
    <col min="1" max="1" width="10.5703125" style="22" customWidth="1"/>
    <col min="2" max="2" width="9.42578125" style="15" customWidth="1"/>
    <col min="3" max="3" width="20.42578125" style="63" customWidth="1"/>
    <col min="4" max="4" width="8.42578125" style="67" customWidth="1"/>
    <col min="5" max="5" width="14.140625" style="169" customWidth="1"/>
    <col min="6" max="6" width="15" style="12" customWidth="1"/>
    <col min="7" max="7" width="18.28515625" style="12" customWidth="1"/>
    <col min="8" max="8" width="25.7109375" style="12" customWidth="1"/>
    <col min="9" max="9" width="25.7109375" style="68" customWidth="1"/>
    <col min="10" max="10" width="39.7109375" style="68" customWidth="1"/>
    <col min="11" max="12" width="47.140625" style="68" customWidth="1"/>
    <col min="13" max="13" width="17.42578125" style="68" customWidth="1"/>
    <col min="14" max="14" width="11.7109375" style="10" customWidth="1"/>
    <col min="15" max="15" width="34" style="10" customWidth="1"/>
    <col min="16" max="16" width="43.5703125" style="10" customWidth="1"/>
    <col min="17" max="17" width="61.42578125" style="13" customWidth="1"/>
    <col min="18" max="18" width="43.5703125" style="16" customWidth="1"/>
    <col min="19" max="19" width="17.7109375" style="17" customWidth="1"/>
    <col min="20" max="20" width="26.5703125" style="11" customWidth="1"/>
    <col min="21" max="21" width="25.140625" style="202" customWidth="1"/>
    <col min="22" max="22" width="44.7109375" style="41" customWidth="1"/>
    <col min="23" max="23" width="33.5703125" style="23" customWidth="1"/>
    <col min="24" max="25" width="15.7109375" style="14" customWidth="1"/>
    <col min="26" max="26" width="10.7109375" style="10" customWidth="1"/>
    <col min="27" max="27" width="73.140625" style="149" customWidth="1"/>
    <col min="28" max="28" width="15.5703125" style="10" customWidth="1"/>
    <col min="29" max="16383" width="9.140625" style="9"/>
    <col min="16384" max="16384" width="9.140625" style="9" bestFit="1"/>
  </cols>
  <sheetData>
    <row r="1" spans="1:28" s="168" customFormat="1" ht="30.75" customHeight="1">
      <c r="A1" s="137" t="s">
        <v>0</v>
      </c>
      <c r="B1" s="137" t="s">
        <v>1</v>
      </c>
      <c r="C1" s="159" t="s">
        <v>2</v>
      </c>
      <c r="D1" s="160" t="s">
        <v>3</v>
      </c>
      <c r="E1" s="160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1" t="s">
        <v>12</v>
      </c>
      <c r="N1" s="162" t="s">
        <v>13</v>
      </c>
      <c r="O1" s="162" t="s">
        <v>14</v>
      </c>
      <c r="P1" s="162" t="s">
        <v>15</v>
      </c>
      <c r="Q1" s="163" t="s">
        <v>16</v>
      </c>
      <c r="R1" s="163" t="s">
        <v>17</v>
      </c>
      <c r="S1" s="164" t="s">
        <v>18</v>
      </c>
      <c r="T1" s="165" t="s">
        <v>19</v>
      </c>
      <c r="U1" s="166" t="s">
        <v>20</v>
      </c>
      <c r="V1" s="166" t="s">
        <v>21</v>
      </c>
      <c r="W1" s="165" t="s">
        <v>22</v>
      </c>
      <c r="X1" s="166" t="s">
        <v>23</v>
      </c>
      <c r="Y1" s="166" t="s">
        <v>24</v>
      </c>
      <c r="Z1" s="165" t="s">
        <v>25</v>
      </c>
      <c r="AA1" s="167" t="s">
        <v>26</v>
      </c>
      <c r="AB1" s="148" t="s">
        <v>27</v>
      </c>
    </row>
    <row r="2" spans="1:28" ht="15.75" hidden="1" customHeight="1">
      <c r="A2" s="90">
        <v>28789</v>
      </c>
      <c r="B2" s="91">
        <v>1</v>
      </c>
      <c r="C2" s="195">
        <v>46048</v>
      </c>
      <c r="D2" s="105">
        <f ca="1">TODAY()-C2</f>
        <v>179</v>
      </c>
      <c r="E2" s="138" t="str">
        <f>IF(W2="ADMITIDO","ADMITIDO",IF(W2="CANCELADA","CANCELADA",IF(H2="","",IF(H2="ADMITIDO","ADMITIDO",IF(H2="CANCELADA","CANCELADA",IF(OR(H2="ANALISE CANCELAMENTO",H2="ANÁLISE CANCELAMENTO"),"EM ANÁLISE",IF(D2="","",IF(D2&lt;=7,"NO PRAZO",IF(D2&lt;=14,"ATENÇÃO","CRÍTICO")))))))))</f>
        <v>ADMITIDO</v>
      </c>
      <c r="F2" s="96" t="s">
        <v>28</v>
      </c>
      <c r="G2" s="19" t="s">
        <v>29</v>
      </c>
      <c r="H2" s="117" t="str">
        <f>W2</f>
        <v>ADMITIDO</v>
      </c>
      <c r="I2" s="19" t="str">
        <f>IF(W2="ADMITIDO","ADMITIDO",IF(W2="CANCELADA","CANCELADA",IF(H2="","",IFERROR(_xlfn.XLOOKUP(H2,Listas!I:I,Listas!J:J),"OUTROS"))))</f>
        <v>ADMITIDO</v>
      </c>
      <c r="J2" s="12" t="s">
        <v>30</v>
      </c>
      <c r="K2" s="11" t="s">
        <v>31</v>
      </c>
      <c r="L2" s="11" t="s">
        <v>32</v>
      </c>
      <c r="M2" s="11" t="s">
        <v>33</v>
      </c>
      <c r="N2" s="11" t="s">
        <v>34</v>
      </c>
      <c r="O2" s="11" t="s">
        <v>35</v>
      </c>
      <c r="P2" s="11" t="s">
        <v>36</v>
      </c>
      <c r="Q2" s="108" t="s">
        <v>37</v>
      </c>
      <c r="R2" s="13"/>
      <c r="S2" s="13"/>
      <c r="T2" s="11" t="s">
        <v>38</v>
      </c>
      <c r="U2" s="202">
        <v>46142</v>
      </c>
      <c r="V2" s="41" t="s">
        <v>39</v>
      </c>
      <c r="W2" s="59" t="s">
        <v>40</v>
      </c>
      <c r="X2" s="14">
        <v>46150</v>
      </c>
      <c r="Y2" s="14">
        <v>46151</v>
      </c>
      <c r="Z2" s="15">
        <v>914242</v>
      </c>
      <c r="AA2" s="45" t="s">
        <v>41</v>
      </c>
      <c r="AB2" s="191">
        <v>0</v>
      </c>
    </row>
    <row r="3" spans="1:28" ht="15.75" hidden="1" customHeight="1">
      <c r="A3" s="92">
        <v>28991</v>
      </c>
      <c r="B3" s="91">
        <v>1</v>
      </c>
      <c r="C3" s="195">
        <v>46063</v>
      </c>
      <c r="D3" s="91">
        <f t="shared" ref="D3:D67" ca="1" si="0">TODAY()-C3</f>
        <v>164</v>
      </c>
      <c r="E3" s="138" t="str">
        <f t="shared" ref="E3:E66" si="1">IF(W3="ADMITIDO","ADMITIDO",IF(W3="CANCELADA","CANCELADA",IF(H3="","",IF(H3="ADMITIDO","ADMITIDO",IF(H3="CANCELADA","CANCELADA",IF(OR(H3="ANALISE CANCELAMENTO",H3="ANÁLISE CANCELAMENTO"),"EM ANÁLISE",IF(D3="","",IF(D3&lt;=7,"NO PRAZO",IF(D3&lt;=14,"ATENÇÃO","CRÍTICO")))))))))</f>
        <v>ADMITIDO</v>
      </c>
      <c r="F3" s="96" t="s">
        <v>42</v>
      </c>
      <c r="G3" s="19" t="s">
        <v>43</v>
      </c>
      <c r="H3" s="19" t="str">
        <f>W3</f>
        <v>ADMITIDO</v>
      </c>
      <c r="I3" s="19" t="str">
        <f>IF(W3="ADMITIDO","ADMITIDO",IF(W3="CANCELADA","CANCELADA",IF(H3="","",IFERROR(_xlfn.XLOOKUP(H3,Listas!I:I,Listas!J:J),"OUTROS"))))</f>
        <v>ADMITIDO</v>
      </c>
      <c r="J3" s="12" t="s">
        <v>44</v>
      </c>
      <c r="K3" s="11" t="s">
        <v>45</v>
      </c>
      <c r="L3" s="11" t="s">
        <v>46</v>
      </c>
      <c r="M3" s="11" t="s">
        <v>47</v>
      </c>
      <c r="N3" s="11" t="s">
        <v>34</v>
      </c>
      <c r="O3" s="11" t="s">
        <v>48</v>
      </c>
      <c r="P3" s="11" t="s">
        <v>49</v>
      </c>
      <c r="Q3" s="108"/>
      <c r="R3" s="13"/>
      <c r="T3" s="11" t="s">
        <v>50</v>
      </c>
      <c r="U3" s="202">
        <v>46126</v>
      </c>
      <c r="V3" s="41" t="s">
        <v>51</v>
      </c>
      <c r="W3" s="23" t="s">
        <v>40</v>
      </c>
      <c r="X3" s="14">
        <v>46134</v>
      </c>
      <c r="Y3" s="14">
        <v>46135</v>
      </c>
      <c r="Z3" s="15">
        <v>914145</v>
      </c>
      <c r="AB3" s="191">
        <v>0</v>
      </c>
    </row>
    <row r="4" spans="1:28" ht="15.75" hidden="1" customHeight="1">
      <c r="A4" s="92">
        <v>29028</v>
      </c>
      <c r="B4" s="91">
        <v>1</v>
      </c>
      <c r="C4" s="195">
        <v>46065</v>
      </c>
      <c r="D4" s="91">
        <f t="shared" ca="1" si="0"/>
        <v>162</v>
      </c>
      <c r="E4" s="138" t="str">
        <f t="shared" si="1"/>
        <v>CANCELADA</v>
      </c>
      <c r="F4" s="96" t="s">
        <v>42</v>
      </c>
      <c r="G4" s="19" t="s">
        <v>29</v>
      </c>
      <c r="H4" s="19" t="s">
        <v>52</v>
      </c>
      <c r="I4" s="19" t="str">
        <f>IF(W4="ADMITIDO","ADMITIDO",IF(W4="CANCELADA","CANCELADA",IF(H4="","",IFERROR(_xlfn.XLOOKUP(H4,Listas!I:I,Listas!J:J),"OUTROS"))))</f>
        <v>CANCELADA</v>
      </c>
      <c r="J4" s="12" t="s">
        <v>53</v>
      </c>
      <c r="K4" s="11" t="s">
        <v>54</v>
      </c>
      <c r="L4" s="11" t="s">
        <v>55</v>
      </c>
      <c r="M4" s="11" t="s">
        <v>33</v>
      </c>
      <c r="N4" s="11" t="s">
        <v>56</v>
      </c>
      <c r="O4" s="11" t="s">
        <v>57</v>
      </c>
      <c r="P4" s="11" t="s">
        <v>58</v>
      </c>
      <c r="Q4" s="108" t="s">
        <v>59</v>
      </c>
      <c r="R4" s="13"/>
      <c r="S4" s="13"/>
      <c r="W4" s="23" t="s">
        <v>52</v>
      </c>
      <c r="Z4" s="15"/>
      <c r="AB4" s="191">
        <v>0</v>
      </c>
    </row>
    <row r="5" spans="1:28" ht="15.75" hidden="1" customHeight="1">
      <c r="A5" s="90">
        <v>29493</v>
      </c>
      <c r="B5" s="91">
        <v>1</v>
      </c>
      <c r="C5" s="195">
        <v>46104</v>
      </c>
      <c r="D5" s="91">
        <f t="shared" ca="1" si="0"/>
        <v>123</v>
      </c>
      <c r="E5" s="138" t="str">
        <f t="shared" si="1"/>
        <v>ADMITIDO</v>
      </c>
      <c r="F5" s="96" t="s">
        <v>42</v>
      </c>
      <c r="G5" s="19" t="s">
        <v>60</v>
      </c>
      <c r="H5" s="19" t="s">
        <v>40</v>
      </c>
      <c r="I5" s="19" t="str">
        <f>IF(W5="ADMITIDO","ADMITIDO",IF(W5="CANCELADA","CANCELADA",IF(H5="","",IFERROR(_xlfn.XLOOKUP(H5,Listas!I:I,Listas!J:J),"OUTROS"))))</f>
        <v>ADMITIDO</v>
      </c>
      <c r="J5" s="12" t="s">
        <v>53</v>
      </c>
      <c r="K5" s="11" t="s">
        <v>61</v>
      </c>
      <c r="L5" s="11" t="s">
        <v>62</v>
      </c>
      <c r="M5" s="11" t="s">
        <v>63</v>
      </c>
      <c r="N5" s="11" t="s">
        <v>34</v>
      </c>
      <c r="O5" s="11" t="s">
        <v>57</v>
      </c>
      <c r="P5" s="11" t="s">
        <v>64</v>
      </c>
      <c r="Q5" s="108"/>
      <c r="R5" s="13" t="s">
        <v>65</v>
      </c>
      <c r="S5" s="13" t="s">
        <v>66</v>
      </c>
      <c r="T5" s="11" t="s">
        <v>67</v>
      </c>
      <c r="U5" s="202">
        <v>46134</v>
      </c>
      <c r="V5" s="41" t="s">
        <v>68</v>
      </c>
      <c r="W5" s="11" t="s">
        <v>40</v>
      </c>
      <c r="X5" s="14">
        <v>46146</v>
      </c>
      <c r="Y5" s="14">
        <v>46147</v>
      </c>
      <c r="Z5" s="15">
        <v>145905</v>
      </c>
      <c r="AB5" s="191">
        <v>0</v>
      </c>
    </row>
    <row r="6" spans="1:28" ht="15.75" hidden="1" customHeight="1">
      <c r="A6" s="605">
        <v>29199</v>
      </c>
      <c r="B6" s="91">
        <v>1</v>
      </c>
      <c r="C6" s="195">
        <v>46080</v>
      </c>
      <c r="D6" s="91">
        <f t="shared" ca="1" si="0"/>
        <v>147</v>
      </c>
      <c r="E6" s="138" t="str">
        <f t="shared" si="1"/>
        <v>ADMITIDO</v>
      </c>
      <c r="F6" s="96" t="s">
        <v>42</v>
      </c>
      <c r="G6" s="19" t="s">
        <v>69</v>
      </c>
      <c r="H6" s="19" t="s">
        <v>40</v>
      </c>
      <c r="I6" s="19" t="str">
        <f>IF(W6="ADMITIDO","ADMITIDO",IF(W6="CANCELADA","CANCELADA",IF(H6="","",IFERROR(_xlfn.XLOOKUP(H6,Listas!I:I,Listas!J:J),"OUTROS"))))</f>
        <v>ADMITIDO</v>
      </c>
      <c r="J6" s="12" t="s">
        <v>53</v>
      </c>
      <c r="K6" s="11" t="s">
        <v>70</v>
      </c>
      <c r="L6" s="11" t="s">
        <v>71</v>
      </c>
      <c r="M6" s="11" t="s">
        <v>33</v>
      </c>
      <c r="N6" s="11" t="s">
        <v>34</v>
      </c>
      <c r="O6" s="11" t="s">
        <v>72</v>
      </c>
      <c r="P6" s="11" t="s">
        <v>73</v>
      </c>
      <c r="Q6" s="108"/>
      <c r="R6" s="13" t="s">
        <v>65</v>
      </c>
      <c r="S6" s="13" t="s">
        <v>74</v>
      </c>
      <c r="T6" s="11" t="s">
        <v>67</v>
      </c>
      <c r="U6" s="202">
        <v>46134</v>
      </c>
      <c r="V6" s="41" t="s">
        <v>75</v>
      </c>
      <c r="W6" s="11" t="s">
        <v>40</v>
      </c>
      <c r="X6" s="14">
        <v>46146</v>
      </c>
      <c r="Y6" s="14">
        <v>46147</v>
      </c>
      <c r="Z6" s="15">
        <v>145909</v>
      </c>
      <c r="AB6" s="191">
        <v>0</v>
      </c>
    </row>
    <row r="7" spans="1:28" ht="15.75" hidden="1" customHeight="1">
      <c r="A7" s="606"/>
      <c r="B7" s="91">
        <v>1</v>
      </c>
      <c r="C7" s="195">
        <v>46080</v>
      </c>
      <c r="D7" s="91">
        <f t="shared" ca="1" si="0"/>
        <v>147</v>
      </c>
      <c r="E7" s="138" t="str">
        <f t="shared" si="1"/>
        <v>ADMITIDO</v>
      </c>
      <c r="F7" s="96" t="s">
        <v>42</v>
      </c>
      <c r="G7" s="19" t="s">
        <v>69</v>
      </c>
      <c r="H7" s="19" t="s">
        <v>40</v>
      </c>
      <c r="I7" s="19" t="str">
        <f>IF(W7="ADMITIDO","ADMITIDO",IF(W7="CANCELADA","CANCELADA",IF(H7="","",IFERROR(_xlfn.XLOOKUP(H7,Listas!I:I,Listas!J:J),"OUTROS"))))</f>
        <v>ADMITIDO</v>
      </c>
      <c r="J7" s="12" t="s">
        <v>53</v>
      </c>
      <c r="K7" s="11" t="s">
        <v>70</v>
      </c>
      <c r="L7" s="11" t="s">
        <v>71</v>
      </c>
      <c r="M7" s="11" t="s">
        <v>33</v>
      </c>
      <c r="N7" s="11" t="s">
        <v>34</v>
      </c>
      <c r="O7" s="11" t="s">
        <v>72</v>
      </c>
      <c r="P7" s="11" t="s">
        <v>73</v>
      </c>
      <c r="Q7" s="108"/>
      <c r="R7" s="13" t="s">
        <v>65</v>
      </c>
      <c r="S7" s="13"/>
      <c r="T7" s="11" t="s">
        <v>76</v>
      </c>
      <c r="U7" s="202">
        <v>46141</v>
      </c>
      <c r="V7" s="41" t="s">
        <v>77</v>
      </c>
      <c r="W7" s="11" t="s">
        <v>40</v>
      </c>
      <c r="X7" s="14">
        <v>46147</v>
      </c>
      <c r="Y7" s="14">
        <v>46148</v>
      </c>
      <c r="Z7" s="15">
        <v>145918</v>
      </c>
      <c r="AA7" s="45"/>
      <c r="AB7" s="191">
        <v>0</v>
      </c>
    </row>
    <row r="8" spans="1:28" ht="15.75" hidden="1" customHeight="1">
      <c r="A8" s="90">
        <v>29200</v>
      </c>
      <c r="B8" s="91">
        <v>1</v>
      </c>
      <c r="C8" s="195">
        <v>46080</v>
      </c>
      <c r="D8" s="91">
        <f t="shared" ca="1" si="0"/>
        <v>147</v>
      </c>
      <c r="E8" s="138" t="str">
        <f t="shared" si="1"/>
        <v>ADMITIDO</v>
      </c>
      <c r="F8" s="96" t="s">
        <v>42</v>
      </c>
      <c r="G8" s="19" t="s">
        <v>69</v>
      </c>
      <c r="H8" s="117" t="s">
        <v>40</v>
      </c>
      <c r="I8" s="19" t="str">
        <f>IF(W8="ADMITIDO","ADMITIDO",IF(W8="CANCELADA","CANCELADA",IF(H8="","",IFERROR(_xlfn.XLOOKUP(H8,Listas!I:I,Listas!J:J),"OUTROS"))))</f>
        <v>ADMITIDO</v>
      </c>
      <c r="J8" s="12" t="s">
        <v>53</v>
      </c>
      <c r="K8" s="11" t="s">
        <v>70</v>
      </c>
      <c r="L8" s="11" t="s">
        <v>78</v>
      </c>
      <c r="M8" s="11" t="s">
        <v>63</v>
      </c>
      <c r="N8" s="11" t="s">
        <v>34</v>
      </c>
      <c r="O8" s="11" t="s">
        <v>48</v>
      </c>
      <c r="P8" s="11" t="s">
        <v>79</v>
      </c>
      <c r="Q8" s="108" t="s">
        <v>80</v>
      </c>
      <c r="R8" s="13" t="s">
        <v>81</v>
      </c>
      <c r="S8" s="13" t="s">
        <v>82</v>
      </c>
      <c r="T8" s="11" t="s">
        <v>67</v>
      </c>
      <c r="U8" s="202">
        <v>46149</v>
      </c>
      <c r="V8" s="41" t="s">
        <v>83</v>
      </c>
      <c r="W8" s="19" t="s">
        <v>40</v>
      </c>
      <c r="X8" s="14">
        <v>46154</v>
      </c>
      <c r="Y8" s="14">
        <v>46156</v>
      </c>
      <c r="Z8" s="15">
        <v>145950</v>
      </c>
      <c r="AA8" s="149" t="s">
        <v>84</v>
      </c>
      <c r="AB8" s="191">
        <v>0</v>
      </c>
    </row>
    <row r="9" spans="1:28" ht="15.75" hidden="1" customHeight="1">
      <c r="A9" s="92">
        <v>29288</v>
      </c>
      <c r="B9" s="91">
        <v>1</v>
      </c>
      <c r="C9" s="195">
        <v>46086</v>
      </c>
      <c r="D9" s="91">
        <f t="shared" ca="1" si="0"/>
        <v>141</v>
      </c>
      <c r="E9" s="138" t="str">
        <f t="shared" si="1"/>
        <v>ADMITIDO</v>
      </c>
      <c r="F9" s="96" t="s">
        <v>28</v>
      </c>
      <c r="G9" s="19" t="s">
        <v>29</v>
      </c>
      <c r="H9" s="19" t="str">
        <f>W9</f>
        <v>ADMITIDO</v>
      </c>
      <c r="I9" s="19" t="str">
        <f>IF(W9="ADMITIDO","ADMITIDO",IF(W9="CANCELADA","CANCELADA",IF(H9="","",IFERROR(_xlfn.XLOOKUP(H9,Listas!I:I,Listas!J:J),"OUTROS"))))</f>
        <v>ADMITIDO</v>
      </c>
      <c r="J9" s="12" t="s">
        <v>85</v>
      </c>
      <c r="K9" s="11" t="s">
        <v>86</v>
      </c>
      <c r="L9" s="11" t="s">
        <v>87</v>
      </c>
      <c r="M9" s="11" t="s">
        <v>88</v>
      </c>
      <c r="N9" s="11" t="s">
        <v>34</v>
      </c>
      <c r="O9" s="11" t="s">
        <v>48</v>
      </c>
      <c r="P9" s="11" t="s">
        <v>89</v>
      </c>
      <c r="Q9" s="108"/>
      <c r="R9" s="13"/>
      <c r="S9" s="13"/>
      <c r="T9" s="11" t="s">
        <v>38</v>
      </c>
      <c r="U9" s="202">
        <v>46127</v>
      </c>
      <c r="V9" s="41" t="s">
        <v>90</v>
      </c>
      <c r="W9" s="23" t="s">
        <v>40</v>
      </c>
      <c r="X9" s="14">
        <v>46139</v>
      </c>
      <c r="Y9" s="14">
        <v>46130</v>
      </c>
      <c r="Z9" s="15">
        <v>914174</v>
      </c>
      <c r="AB9" s="191">
        <v>0</v>
      </c>
    </row>
    <row r="10" spans="1:28" ht="15.75" hidden="1" customHeight="1">
      <c r="A10" s="90">
        <v>29258</v>
      </c>
      <c r="B10" s="91">
        <v>1</v>
      </c>
      <c r="C10" s="195">
        <v>46086</v>
      </c>
      <c r="D10" s="91">
        <f t="shared" ca="1" si="0"/>
        <v>141</v>
      </c>
      <c r="E10" s="138" t="str">
        <f t="shared" ca="1" si="1"/>
        <v>CRÍTICO</v>
      </c>
      <c r="F10" s="96" t="s">
        <v>42</v>
      </c>
      <c r="G10" s="19" t="s">
        <v>29</v>
      </c>
      <c r="H10" s="19" t="s">
        <v>91</v>
      </c>
      <c r="I10" s="19" t="str">
        <f>IF(W10="ADMITIDO","ADMITIDO",IF(W10="CANCELADA","CANCELADA",IF(H10="","",IFERROR(_xlfn.XLOOKUP(H10,Listas!I:I,Listas!J:J),"OUTROS"))))</f>
        <v>TRIAGEM</v>
      </c>
      <c r="J10" s="12" t="s">
        <v>53</v>
      </c>
      <c r="K10" s="11" t="s">
        <v>54</v>
      </c>
      <c r="L10" s="11" t="s">
        <v>92</v>
      </c>
      <c r="M10" s="11" t="s">
        <v>93</v>
      </c>
      <c r="N10" s="11" t="s">
        <v>34</v>
      </c>
      <c r="O10" s="11" t="s">
        <v>57</v>
      </c>
      <c r="P10" s="11" t="s">
        <v>94</v>
      </c>
      <c r="Q10" s="108"/>
      <c r="R10" s="13"/>
      <c r="S10" s="24" t="s">
        <v>95</v>
      </c>
      <c r="Z10" s="15"/>
      <c r="AB10" s="191">
        <v>0</v>
      </c>
    </row>
    <row r="11" spans="1:28" ht="15.75" hidden="1" customHeight="1">
      <c r="A11" s="90">
        <v>29270</v>
      </c>
      <c r="B11" s="91">
        <v>1</v>
      </c>
      <c r="C11" s="195">
        <v>46086</v>
      </c>
      <c r="D11" s="91">
        <f t="shared" ca="1" si="0"/>
        <v>141</v>
      </c>
      <c r="E11" s="138" t="str">
        <f t="shared" si="1"/>
        <v>ADMITIDO</v>
      </c>
      <c r="F11" s="96" t="s">
        <v>42</v>
      </c>
      <c r="G11" s="19" t="s">
        <v>43</v>
      </c>
      <c r="H11" s="19" t="s">
        <v>40</v>
      </c>
      <c r="I11" s="19" t="str">
        <f>IF(W11="ADMITIDO","ADMITIDO",IF(W11="CANCELADA","CANCELADA",IF(H11="","",IFERROR(_xlfn.XLOOKUP(H11,Listas!I:I,Listas!J:J),"OUTROS"))))</f>
        <v>ADMITIDO</v>
      </c>
      <c r="J11" s="12" t="s">
        <v>44</v>
      </c>
      <c r="K11" s="11" t="s">
        <v>45</v>
      </c>
      <c r="L11" s="11" t="s">
        <v>96</v>
      </c>
      <c r="M11" s="11" t="s">
        <v>97</v>
      </c>
      <c r="N11" s="11" t="s">
        <v>34</v>
      </c>
      <c r="O11" s="11" t="s">
        <v>57</v>
      </c>
      <c r="P11" s="11" t="s">
        <v>98</v>
      </c>
      <c r="Q11" s="108" t="s">
        <v>99</v>
      </c>
      <c r="R11" s="13"/>
      <c r="S11" s="17">
        <v>11960178856</v>
      </c>
      <c r="T11" s="11" t="s">
        <v>50</v>
      </c>
      <c r="U11" s="202">
        <v>46140</v>
      </c>
      <c r="V11" s="41" t="s">
        <v>100</v>
      </c>
      <c r="W11" s="11" t="s">
        <v>40</v>
      </c>
      <c r="X11" s="14">
        <v>46148</v>
      </c>
      <c r="Y11" s="14">
        <v>46148</v>
      </c>
      <c r="Z11" s="32">
        <v>914215</v>
      </c>
      <c r="AA11" s="45" t="s">
        <v>101</v>
      </c>
      <c r="AB11" s="191">
        <v>0</v>
      </c>
    </row>
    <row r="12" spans="1:28" ht="15.75" hidden="1" customHeight="1">
      <c r="A12" s="92">
        <v>29345</v>
      </c>
      <c r="B12" s="91">
        <v>1</v>
      </c>
      <c r="C12" s="195">
        <v>46091</v>
      </c>
      <c r="D12" s="91">
        <f t="shared" ca="1" si="0"/>
        <v>136</v>
      </c>
      <c r="E12" s="138" t="str">
        <f t="shared" si="1"/>
        <v>ADMITIDO</v>
      </c>
      <c r="F12" s="96" t="s">
        <v>42</v>
      </c>
      <c r="G12" s="19" t="s">
        <v>102</v>
      </c>
      <c r="H12" s="117" t="str">
        <f>W12</f>
        <v>ADMITIDO</v>
      </c>
      <c r="I12" s="19" t="str">
        <f>IF(W12="ADMITIDO","ADMITIDO",IF(W12="CANCELADA","CANCELADA",IF(H12="","",IFERROR(_xlfn.XLOOKUP(H12,Listas!I:I,Listas!J:J),"OUTROS"))))</f>
        <v>ADMITIDO</v>
      </c>
      <c r="J12" s="12" t="s">
        <v>53</v>
      </c>
      <c r="K12" s="11" t="s">
        <v>103</v>
      </c>
      <c r="L12" s="11" t="s">
        <v>104</v>
      </c>
      <c r="M12" s="11" t="s">
        <v>33</v>
      </c>
      <c r="N12" s="11" t="s">
        <v>34</v>
      </c>
      <c r="O12" s="11" t="s">
        <v>57</v>
      </c>
      <c r="P12" s="11" t="s">
        <v>105</v>
      </c>
      <c r="Q12" s="108" t="s">
        <v>106</v>
      </c>
      <c r="R12" s="13" t="s">
        <v>107</v>
      </c>
      <c r="S12" s="13" t="s">
        <v>108</v>
      </c>
      <c r="T12" s="11" t="s">
        <v>109</v>
      </c>
      <c r="U12" s="202">
        <v>46153</v>
      </c>
      <c r="V12" s="41" t="s">
        <v>110</v>
      </c>
      <c r="W12" s="23" t="s">
        <v>40</v>
      </c>
      <c r="X12" s="14">
        <v>46154</v>
      </c>
      <c r="Y12" s="14">
        <v>46155</v>
      </c>
      <c r="Z12" s="15">
        <v>145951</v>
      </c>
      <c r="AA12" s="45" t="s">
        <v>111</v>
      </c>
      <c r="AB12" s="191">
        <v>0</v>
      </c>
    </row>
    <row r="13" spans="1:28" ht="15.75" hidden="1" customHeight="1">
      <c r="A13" s="92">
        <v>29385</v>
      </c>
      <c r="B13" s="91">
        <v>1</v>
      </c>
      <c r="C13" s="195">
        <v>46093</v>
      </c>
      <c r="D13" s="91">
        <f t="shared" ca="1" si="0"/>
        <v>134</v>
      </c>
      <c r="E13" s="139" t="str">
        <f t="shared" si="1"/>
        <v>CANCELADA</v>
      </c>
      <c r="F13" s="96" t="s">
        <v>42</v>
      </c>
      <c r="G13" s="19" t="s">
        <v>60</v>
      </c>
      <c r="H13" s="83" t="s">
        <v>52</v>
      </c>
      <c r="I13" s="83" t="str">
        <f>IF(W13="ADMITIDO","ADMITIDO",IF(W13="CANCELADA","CANCELADA",IF(H13="","",IFERROR(_xlfn.XLOOKUP(H13,Listas!I:I,Listas!J:J),"OUTROS"))))</f>
        <v>CANCELADA</v>
      </c>
      <c r="J13" s="12" t="s">
        <v>53</v>
      </c>
      <c r="K13" s="11" t="s">
        <v>61</v>
      </c>
      <c r="L13" s="11" t="s">
        <v>112</v>
      </c>
      <c r="M13" s="11" t="s">
        <v>63</v>
      </c>
      <c r="N13" s="11" t="s">
        <v>34</v>
      </c>
      <c r="O13" s="11" t="s">
        <v>72</v>
      </c>
      <c r="P13" s="11" t="s">
        <v>113</v>
      </c>
      <c r="Q13" s="108" t="s">
        <v>114</v>
      </c>
      <c r="R13" s="13"/>
      <c r="S13" s="13"/>
      <c r="W13" s="23" t="s">
        <v>52</v>
      </c>
      <c r="Z13" s="15"/>
      <c r="AA13" s="149" t="s">
        <v>115</v>
      </c>
      <c r="AB13" s="191">
        <v>0</v>
      </c>
    </row>
    <row r="14" spans="1:28" ht="15.75" hidden="1" customHeight="1">
      <c r="A14" s="92">
        <v>29310</v>
      </c>
      <c r="B14" s="91">
        <v>1</v>
      </c>
      <c r="C14" s="195">
        <v>46093</v>
      </c>
      <c r="D14" s="91">
        <f t="shared" ca="1" si="0"/>
        <v>134</v>
      </c>
      <c r="E14" s="138" t="str">
        <f t="shared" si="1"/>
        <v>ADMITIDO</v>
      </c>
      <c r="F14" s="96" t="s">
        <v>42</v>
      </c>
      <c r="G14" s="19" t="s">
        <v>60</v>
      </c>
      <c r="H14" s="19" t="str">
        <f>W14</f>
        <v>ADMITIDO</v>
      </c>
      <c r="I14" s="19" t="str">
        <f>IF(W14="ADMITIDO","ADMITIDO",IF(W14="CANCELADA","CANCELADA",IF(H14="","",IFERROR(_xlfn.XLOOKUP(H14,Listas!I:I,Listas!J:J),"OUTROS"))))</f>
        <v>ADMITIDO</v>
      </c>
      <c r="J14" s="12" t="s">
        <v>116</v>
      </c>
      <c r="K14" s="11" t="s">
        <v>117</v>
      </c>
      <c r="L14" s="11" t="s">
        <v>118</v>
      </c>
      <c r="M14" s="11" t="s">
        <v>119</v>
      </c>
      <c r="N14" s="11" t="s">
        <v>34</v>
      </c>
      <c r="O14" s="11" t="s">
        <v>48</v>
      </c>
      <c r="P14" s="11" t="s">
        <v>120</v>
      </c>
      <c r="Q14" s="108" t="s">
        <v>121</v>
      </c>
      <c r="R14" s="13" t="s">
        <v>65</v>
      </c>
      <c r="S14" s="13" t="s">
        <v>122</v>
      </c>
      <c r="T14" s="11" t="s">
        <v>76</v>
      </c>
      <c r="U14" s="202">
        <v>46128</v>
      </c>
      <c r="V14" s="41" t="s">
        <v>123</v>
      </c>
      <c r="W14" s="23" t="s">
        <v>40</v>
      </c>
      <c r="X14" s="14">
        <v>46132</v>
      </c>
      <c r="Y14" s="14">
        <v>46135</v>
      </c>
      <c r="Z14" s="15">
        <v>914147</v>
      </c>
      <c r="AA14" s="149" t="s">
        <v>124</v>
      </c>
      <c r="AB14" s="191">
        <v>0</v>
      </c>
    </row>
    <row r="15" spans="1:28" ht="15.75" hidden="1" customHeight="1">
      <c r="A15" s="90">
        <v>29310</v>
      </c>
      <c r="B15" s="91">
        <v>1</v>
      </c>
      <c r="C15" s="195">
        <v>46093</v>
      </c>
      <c r="D15" s="91">
        <f t="shared" ca="1" si="0"/>
        <v>134</v>
      </c>
      <c r="E15" s="138" t="str">
        <f t="shared" si="1"/>
        <v>ADMITIDO</v>
      </c>
      <c r="F15" s="96" t="s">
        <v>42</v>
      </c>
      <c r="G15" s="19" t="s">
        <v>60</v>
      </c>
      <c r="H15" s="19" t="str">
        <f>W15</f>
        <v>ADMITIDO</v>
      </c>
      <c r="I15" s="19" t="str">
        <f>IF(W15="ADMITIDO","ADMITIDO",IF(W15="CANCELADA","CANCELADA",IF(H15="","",IFERROR(_xlfn.XLOOKUP(H15,Listas!I:I,Listas!J:J),"OUTROS"))))</f>
        <v>ADMITIDO</v>
      </c>
      <c r="J15" s="12" t="s">
        <v>116</v>
      </c>
      <c r="K15" s="11" t="s">
        <v>117</v>
      </c>
      <c r="L15" s="11" t="s">
        <v>118</v>
      </c>
      <c r="M15" s="11" t="s">
        <v>119</v>
      </c>
      <c r="N15" s="11" t="s">
        <v>34</v>
      </c>
      <c r="O15" s="11" t="s">
        <v>48</v>
      </c>
      <c r="P15" s="11" t="s">
        <v>120</v>
      </c>
      <c r="Q15" s="108"/>
      <c r="R15" s="13" t="s">
        <v>65</v>
      </c>
      <c r="S15" s="13" t="s">
        <v>125</v>
      </c>
      <c r="T15" s="11" t="s">
        <v>76</v>
      </c>
      <c r="U15" s="202">
        <v>46135</v>
      </c>
      <c r="V15" s="41" t="s">
        <v>126</v>
      </c>
      <c r="W15" s="23" t="s">
        <v>40</v>
      </c>
      <c r="X15" s="31">
        <v>46140</v>
      </c>
      <c r="Y15" s="31">
        <v>46141</v>
      </c>
      <c r="Z15" s="15">
        <v>914178</v>
      </c>
      <c r="AA15" s="149" t="s">
        <v>127</v>
      </c>
      <c r="AB15" s="191">
        <v>0</v>
      </c>
    </row>
    <row r="16" spans="1:28" ht="15.75" hidden="1" customHeight="1">
      <c r="A16" s="92">
        <v>29420</v>
      </c>
      <c r="B16" s="91">
        <v>1</v>
      </c>
      <c r="C16" s="195">
        <v>46097</v>
      </c>
      <c r="D16" s="91">
        <f t="shared" ca="1" si="0"/>
        <v>130</v>
      </c>
      <c r="E16" s="138" t="str">
        <f t="shared" si="1"/>
        <v>CANCELADA</v>
      </c>
      <c r="F16" s="96" t="s">
        <v>42</v>
      </c>
      <c r="G16" s="19" t="s">
        <v>69</v>
      </c>
      <c r="H16" s="19" t="s">
        <v>52</v>
      </c>
      <c r="I16" s="19" t="str">
        <f>IF(W16="ADMITIDO","ADMITIDO",IF(W16="CANCELADA","CANCELADA",IF(H16="","",IFERROR(_xlfn.XLOOKUP(H16,Listas!I:I,Listas!J:J),"OUTROS"))))</f>
        <v>CANCELADA</v>
      </c>
      <c r="J16" s="12" t="s">
        <v>44</v>
      </c>
      <c r="K16" s="11" t="s">
        <v>70</v>
      </c>
      <c r="L16" s="11" t="s">
        <v>128</v>
      </c>
      <c r="M16" s="11" t="s">
        <v>63</v>
      </c>
      <c r="N16" s="11" t="s">
        <v>34</v>
      </c>
      <c r="O16" s="11" t="s">
        <v>57</v>
      </c>
      <c r="P16" s="11" t="s">
        <v>98</v>
      </c>
      <c r="Q16" s="108" t="s">
        <v>129</v>
      </c>
      <c r="R16" s="13"/>
      <c r="S16" s="13"/>
      <c r="W16" s="23" t="s">
        <v>52</v>
      </c>
      <c r="Z16" s="15"/>
      <c r="AB16" s="191">
        <v>0</v>
      </c>
    </row>
    <row r="17" spans="1:28" ht="15.75" hidden="1" customHeight="1">
      <c r="A17" s="90">
        <v>29417</v>
      </c>
      <c r="B17" s="91">
        <v>1</v>
      </c>
      <c r="C17" s="195">
        <v>46097</v>
      </c>
      <c r="D17" s="91">
        <f t="shared" ca="1" si="0"/>
        <v>130</v>
      </c>
      <c r="E17" s="138" t="str">
        <f t="shared" si="1"/>
        <v>ADMITIDO</v>
      </c>
      <c r="F17" s="96" t="s">
        <v>42</v>
      </c>
      <c r="G17" s="19" t="s">
        <v>69</v>
      </c>
      <c r="H17" s="117" t="s">
        <v>40</v>
      </c>
      <c r="I17" s="19" t="str">
        <f>IF(W17="ADMITIDO","ADMITIDO",IF(W17="CANCELADA","CANCELADA",IF(H17="","",IFERROR(_xlfn.XLOOKUP(H17,Listas!I:I,Listas!J:J),"OUTROS"))))</f>
        <v>ADMITIDO</v>
      </c>
      <c r="J17" s="12" t="s">
        <v>53</v>
      </c>
      <c r="K17" s="11" t="s">
        <v>70</v>
      </c>
      <c r="L17" s="11" t="s">
        <v>130</v>
      </c>
      <c r="M17" s="11" t="s">
        <v>63</v>
      </c>
      <c r="N17" s="11" t="s">
        <v>34</v>
      </c>
      <c r="O17" s="11" t="s">
        <v>48</v>
      </c>
      <c r="P17" s="11" t="s">
        <v>131</v>
      </c>
      <c r="Q17" s="108"/>
      <c r="R17" s="13" t="s">
        <v>65</v>
      </c>
      <c r="S17" s="13"/>
      <c r="T17" s="11" t="s">
        <v>132</v>
      </c>
      <c r="U17" s="202">
        <v>46150</v>
      </c>
      <c r="V17" s="41" t="s">
        <v>133</v>
      </c>
      <c r="W17" s="59" t="s">
        <v>40</v>
      </c>
      <c r="X17" s="14">
        <v>46156</v>
      </c>
      <c r="Y17" s="14">
        <v>46160</v>
      </c>
      <c r="Z17" s="15">
        <v>914285</v>
      </c>
      <c r="AA17" s="45" t="s">
        <v>134</v>
      </c>
      <c r="AB17" s="191">
        <v>0</v>
      </c>
    </row>
    <row r="18" spans="1:28" ht="15.75" hidden="1" customHeight="1">
      <c r="A18" s="90">
        <v>29444</v>
      </c>
      <c r="B18" s="91">
        <v>1</v>
      </c>
      <c r="C18" s="195">
        <v>46098</v>
      </c>
      <c r="D18" s="91">
        <f t="shared" ca="1" si="0"/>
        <v>129</v>
      </c>
      <c r="E18" s="138" t="str">
        <f t="shared" si="1"/>
        <v>ADMITIDO</v>
      </c>
      <c r="F18" s="96" t="s">
        <v>42</v>
      </c>
      <c r="G18" s="19" t="s">
        <v>102</v>
      </c>
      <c r="H18" s="19" t="str">
        <f>W18</f>
        <v>ADMITIDO</v>
      </c>
      <c r="I18" s="19" t="str">
        <f>IF(W18="ADMITIDO","ADMITIDO",IF(W18="CANCELADA","CANCELADA",IF(H18="","",IFERROR(_xlfn.XLOOKUP(H18,Listas!I:I,Listas!J:J),"OUTROS"))))</f>
        <v>ADMITIDO</v>
      </c>
      <c r="J18" s="12" t="s">
        <v>44</v>
      </c>
      <c r="K18" s="11" t="s">
        <v>103</v>
      </c>
      <c r="L18" s="11" t="s">
        <v>104</v>
      </c>
      <c r="M18" s="11" t="s">
        <v>33</v>
      </c>
      <c r="N18" s="11" t="s">
        <v>34</v>
      </c>
      <c r="O18" s="11" t="s">
        <v>57</v>
      </c>
      <c r="P18" s="11" t="s">
        <v>98</v>
      </c>
      <c r="Q18" s="108" t="s">
        <v>135</v>
      </c>
      <c r="R18" s="13" t="s">
        <v>107</v>
      </c>
      <c r="S18" s="13" t="s">
        <v>136</v>
      </c>
      <c r="T18" s="11" t="s">
        <v>132</v>
      </c>
      <c r="U18" s="202">
        <v>46150</v>
      </c>
      <c r="V18" s="41" t="s">
        <v>137</v>
      </c>
      <c r="W18" s="19" t="s">
        <v>40</v>
      </c>
      <c r="X18" s="14">
        <v>46154</v>
      </c>
      <c r="Y18" s="14">
        <v>46155</v>
      </c>
      <c r="Z18" s="15">
        <v>145949</v>
      </c>
      <c r="AA18" s="149" t="s">
        <v>138</v>
      </c>
      <c r="AB18" s="191">
        <v>0</v>
      </c>
    </row>
    <row r="19" spans="1:28" ht="15.75" hidden="1" customHeight="1">
      <c r="A19" s="106">
        <v>29429</v>
      </c>
      <c r="B19" s="91">
        <v>1</v>
      </c>
      <c r="C19" s="195">
        <v>46098</v>
      </c>
      <c r="D19" s="91">
        <f t="shared" ref="D19" ca="1" si="2">TODAY()-C19</f>
        <v>129</v>
      </c>
      <c r="E19" s="138" t="str">
        <f t="shared" si="1"/>
        <v>ADMITIDO</v>
      </c>
      <c r="F19" s="96" t="s">
        <v>42</v>
      </c>
      <c r="G19" s="19" t="s">
        <v>102</v>
      </c>
      <c r="H19" s="19" t="s">
        <v>40</v>
      </c>
      <c r="I19" s="19" t="str">
        <f>IF(W19="ADMITIDO","ADMITIDO",IF(W19="CANCELADA","CANCELADA",IF(H19="","",IFERROR(_xlfn.XLOOKUP(H19,Listas!I:I,Listas!J:J),"OUTROS"))))</f>
        <v>ADMITIDO</v>
      </c>
      <c r="J19" s="12" t="s">
        <v>53</v>
      </c>
      <c r="K19" s="11" t="s">
        <v>61</v>
      </c>
      <c r="L19" s="11" t="s">
        <v>139</v>
      </c>
      <c r="M19" s="11" t="s">
        <v>33</v>
      </c>
      <c r="N19" s="11" t="s">
        <v>34</v>
      </c>
      <c r="O19" s="11" t="s">
        <v>57</v>
      </c>
      <c r="P19" s="11" t="s">
        <v>73</v>
      </c>
      <c r="Q19" s="108" t="s">
        <v>140</v>
      </c>
      <c r="R19" s="13" t="s">
        <v>141</v>
      </c>
      <c r="S19" s="13" t="s">
        <v>142</v>
      </c>
      <c r="T19" s="11" t="s">
        <v>67</v>
      </c>
      <c r="V19" s="41" t="s">
        <v>143</v>
      </c>
      <c r="W19" s="19" t="s">
        <v>40</v>
      </c>
      <c r="X19" s="14">
        <v>46148</v>
      </c>
      <c r="Y19" s="14">
        <v>46149</v>
      </c>
      <c r="Z19" s="15">
        <v>145923</v>
      </c>
      <c r="AB19" s="191">
        <v>0</v>
      </c>
    </row>
    <row r="20" spans="1:28" ht="15.75" hidden="1" customHeight="1">
      <c r="A20" s="94">
        <v>29429</v>
      </c>
      <c r="B20" s="91">
        <v>1</v>
      </c>
      <c r="C20" s="195">
        <v>46098</v>
      </c>
      <c r="D20" s="91">
        <f t="shared" ca="1" si="0"/>
        <v>129</v>
      </c>
      <c r="E20" s="138" t="str">
        <f t="shared" si="1"/>
        <v>ADMITIDO</v>
      </c>
      <c r="F20" s="96" t="s">
        <v>42</v>
      </c>
      <c r="G20" s="19" t="s">
        <v>60</v>
      </c>
      <c r="H20" s="19" t="s">
        <v>40</v>
      </c>
      <c r="I20" s="19" t="str">
        <f>IF(W20="ADMITIDO","ADMITIDO",IF(W20="CANCELADA","CANCELADA",IF(H20="","",IFERROR(_xlfn.XLOOKUP(H20,Listas!I:I,Listas!J:J),"OUTROS"))))</f>
        <v>ADMITIDO</v>
      </c>
      <c r="J20" s="12" t="s">
        <v>53</v>
      </c>
      <c r="K20" s="11" t="s">
        <v>61</v>
      </c>
      <c r="L20" s="11" t="s">
        <v>139</v>
      </c>
      <c r="M20" s="11" t="s">
        <v>33</v>
      </c>
      <c r="N20" s="11" t="s">
        <v>34</v>
      </c>
      <c r="O20" s="11" t="s">
        <v>57</v>
      </c>
      <c r="P20" s="11" t="s">
        <v>73</v>
      </c>
      <c r="Q20" s="108" t="s">
        <v>140</v>
      </c>
      <c r="R20" s="13" t="s">
        <v>141</v>
      </c>
      <c r="S20" s="13" t="s">
        <v>142</v>
      </c>
      <c r="T20" s="11" t="s">
        <v>132</v>
      </c>
      <c r="U20" s="202">
        <v>46153</v>
      </c>
      <c r="V20" s="41" t="s">
        <v>144</v>
      </c>
      <c r="W20" s="23" t="s">
        <v>40</v>
      </c>
      <c r="X20" s="14">
        <v>46157</v>
      </c>
      <c r="Y20" s="14">
        <v>46160</v>
      </c>
      <c r="Z20" s="15">
        <v>145975</v>
      </c>
      <c r="AA20" s="45"/>
      <c r="AB20" s="191">
        <v>0</v>
      </c>
    </row>
    <row r="21" spans="1:28" ht="15.75" hidden="1" customHeight="1">
      <c r="A21" s="92">
        <v>29897</v>
      </c>
      <c r="B21" s="91">
        <v>1</v>
      </c>
      <c r="C21" s="195">
        <v>46126</v>
      </c>
      <c r="D21" s="91">
        <f t="shared" ca="1" si="0"/>
        <v>101</v>
      </c>
      <c r="E21" s="138" t="str">
        <f t="shared" si="1"/>
        <v>ADMITIDO</v>
      </c>
      <c r="F21" s="96" t="s">
        <v>28</v>
      </c>
      <c r="G21" s="19" t="s">
        <v>145</v>
      </c>
      <c r="H21" s="19" t="str">
        <f>W21</f>
        <v>ADMITIDO</v>
      </c>
      <c r="I21" s="19" t="str">
        <f>IF(W21="ADMITIDO","ADMITIDO",IF(W21="CANCELADA","CANCELADA",IF(H21="","",IFERROR(_xlfn.XLOOKUP(H21,Listas!I:I,Listas!J:J),"OUTROS"))))</f>
        <v>ADMITIDO</v>
      </c>
      <c r="J21" s="12" t="s">
        <v>146</v>
      </c>
      <c r="K21" s="11" t="s">
        <v>31</v>
      </c>
      <c r="L21" s="11" t="s">
        <v>147</v>
      </c>
      <c r="M21" s="11" t="s">
        <v>148</v>
      </c>
      <c r="N21" s="11" t="s">
        <v>34</v>
      </c>
      <c r="O21" s="11" t="s">
        <v>35</v>
      </c>
      <c r="P21" s="11" t="s">
        <v>36</v>
      </c>
      <c r="Q21" s="108"/>
      <c r="R21" s="13"/>
      <c r="S21" s="13"/>
      <c r="T21" s="11" t="s">
        <v>38</v>
      </c>
      <c r="U21" s="202">
        <v>46139</v>
      </c>
      <c r="V21" s="41" t="s">
        <v>149</v>
      </c>
      <c r="W21" s="23" t="s">
        <v>40</v>
      </c>
      <c r="X21" s="14">
        <v>46141</v>
      </c>
      <c r="Y21" s="14">
        <v>46142</v>
      </c>
      <c r="Z21" s="15">
        <v>914200</v>
      </c>
      <c r="AB21" s="191">
        <v>0</v>
      </c>
    </row>
    <row r="22" spans="1:28" ht="15.75" hidden="1" customHeight="1">
      <c r="A22" s="92">
        <v>29467</v>
      </c>
      <c r="B22" s="91">
        <v>1</v>
      </c>
      <c r="C22" s="195">
        <v>46099</v>
      </c>
      <c r="D22" s="91">
        <f t="shared" ca="1" si="0"/>
        <v>128</v>
      </c>
      <c r="E22" s="138" t="str">
        <f t="shared" si="1"/>
        <v>ADMITIDO</v>
      </c>
      <c r="F22" s="96" t="s">
        <v>42</v>
      </c>
      <c r="G22" s="19" t="s">
        <v>60</v>
      </c>
      <c r="H22" s="19" t="str">
        <f>W22</f>
        <v>ADMITIDO</v>
      </c>
      <c r="I22" s="19" t="str">
        <f>IF(W22="ADMITIDO","ADMITIDO",IF(W22="CANCELADA","CANCELADA",IF(H22="","",IFERROR(_xlfn.XLOOKUP(H22,Listas!I:I,Listas!J:J),"OUTROS"))))</f>
        <v>ADMITIDO</v>
      </c>
      <c r="J22" s="12" t="s">
        <v>53</v>
      </c>
      <c r="K22" s="11" t="s">
        <v>61</v>
      </c>
      <c r="L22" s="11" t="s">
        <v>150</v>
      </c>
      <c r="M22" s="11" t="s">
        <v>63</v>
      </c>
      <c r="N22" s="11" t="s">
        <v>34</v>
      </c>
      <c r="O22" s="11" t="s">
        <v>57</v>
      </c>
      <c r="P22" s="11" t="s">
        <v>151</v>
      </c>
      <c r="Q22" s="108" t="s">
        <v>152</v>
      </c>
      <c r="R22" s="13" t="s">
        <v>65</v>
      </c>
      <c r="S22" s="13" t="s">
        <v>153</v>
      </c>
      <c r="T22" s="11" t="s">
        <v>76</v>
      </c>
      <c r="U22" s="202">
        <v>46125</v>
      </c>
      <c r="V22" s="41" t="s">
        <v>154</v>
      </c>
      <c r="W22" s="23" t="s">
        <v>40</v>
      </c>
      <c r="X22" s="14">
        <v>46132</v>
      </c>
      <c r="Y22" s="14">
        <v>46134</v>
      </c>
      <c r="Z22" s="15">
        <v>145849</v>
      </c>
      <c r="AA22" s="149" t="s">
        <v>155</v>
      </c>
      <c r="AB22" s="191">
        <v>0</v>
      </c>
    </row>
    <row r="23" spans="1:28" ht="15.75" hidden="1" customHeight="1">
      <c r="A23" s="92">
        <v>29800</v>
      </c>
      <c r="B23" s="91">
        <v>1</v>
      </c>
      <c r="C23" s="195">
        <v>46122</v>
      </c>
      <c r="D23" s="91">
        <f t="shared" ca="1" si="0"/>
        <v>105</v>
      </c>
      <c r="E23" s="138" t="str">
        <f t="shared" si="1"/>
        <v>ADMITIDO</v>
      </c>
      <c r="F23" s="96" t="s">
        <v>42</v>
      </c>
      <c r="G23" s="19" t="s">
        <v>43</v>
      </c>
      <c r="H23" s="19" t="str">
        <f>W23</f>
        <v>ADMITIDO</v>
      </c>
      <c r="I23" s="19" t="str">
        <f>IF(W23="ADMITIDO","ADMITIDO",IF(W23="CANCELADA","CANCELADA",IF(H23="","",IFERROR(_xlfn.XLOOKUP(H23,Listas!I:I,Listas!J:J),"OUTROS"))))</f>
        <v>ADMITIDO</v>
      </c>
      <c r="J23" s="12" t="s">
        <v>53</v>
      </c>
      <c r="K23" s="11" t="s">
        <v>45</v>
      </c>
      <c r="L23" s="11" t="s">
        <v>156</v>
      </c>
      <c r="M23" s="11" t="s">
        <v>97</v>
      </c>
      <c r="N23" s="11" t="s">
        <v>34</v>
      </c>
      <c r="O23" s="11" t="s">
        <v>57</v>
      </c>
      <c r="P23" s="11" t="s">
        <v>94</v>
      </c>
      <c r="Q23" s="108"/>
      <c r="R23" s="13"/>
      <c r="T23" s="11" t="s">
        <v>50</v>
      </c>
      <c r="U23" s="202">
        <v>46129</v>
      </c>
      <c r="V23" s="41" t="s">
        <v>157</v>
      </c>
      <c r="W23" s="23" t="s">
        <v>40</v>
      </c>
      <c r="X23" s="14">
        <v>46135</v>
      </c>
      <c r="Y23" s="14">
        <v>46136</v>
      </c>
      <c r="Z23" s="15">
        <v>914148</v>
      </c>
      <c r="AB23" s="191">
        <v>0</v>
      </c>
    </row>
    <row r="24" spans="1:28" ht="15.75" hidden="1" customHeight="1">
      <c r="A24" s="92">
        <v>29472</v>
      </c>
      <c r="B24" s="91">
        <v>1</v>
      </c>
      <c r="C24" s="195">
        <v>46100</v>
      </c>
      <c r="D24" s="91">
        <f t="shared" ca="1" si="0"/>
        <v>127</v>
      </c>
      <c r="E24" s="138" t="str">
        <f t="shared" si="1"/>
        <v>CANCELADA</v>
      </c>
      <c r="F24" s="96" t="s">
        <v>42</v>
      </c>
      <c r="G24" s="19" t="s">
        <v>69</v>
      </c>
      <c r="H24" s="19" t="s">
        <v>52</v>
      </c>
      <c r="I24" s="19" t="str">
        <f>IF(W24="ADMITIDO","ADMITIDO",IF(W24="CANCELADA","CANCELADA",IF(H24="","",IFERROR(_xlfn.XLOOKUP(H24,Listas!I:I,Listas!J:J),"OUTROS"))))</f>
        <v>CANCELADA</v>
      </c>
      <c r="J24" s="12" t="s">
        <v>53</v>
      </c>
      <c r="K24" s="11" t="s">
        <v>158</v>
      </c>
      <c r="L24" s="11" t="s">
        <v>159</v>
      </c>
      <c r="M24" s="11" t="s">
        <v>63</v>
      </c>
      <c r="N24" s="11" t="s">
        <v>34</v>
      </c>
      <c r="O24" s="11" t="s">
        <v>57</v>
      </c>
      <c r="P24" s="11" t="s">
        <v>64</v>
      </c>
      <c r="Q24" s="108" t="s">
        <v>160</v>
      </c>
      <c r="R24" s="13"/>
      <c r="S24" s="13"/>
      <c r="W24" s="23" t="s">
        <v>52</v>
      </c>
      <c r="Z24" s="15"/>
      <c r="AB24" s="191">
        <v>0</v>
      </c>
    </row>
    <row r="25" spans="1:28" ht="15.75" hidden="1" customHeight="1">
      <c r="A25" s="92">
        <v>29490</v>
      </c>
      <c r="B25" s="91">
        <v>1</v>
      </c>
      <c r="C25" s="195">
        <v>46101</v>
      </c>
      <c r="D25" s="91">
        <f ca="1">TODAY()-C25</f>
        <v>126</v>
      </c>
      <c r="E25" s="138" t="str">
        <f t="shared" si="1"/>
        <v>ADMITIDO</v>
      </c>
      <c r="F25" s="96" t="s">
        <v>42</v>
      </c>
      <c r="G25" s="19" t="s">
        <v>60</v>
      </c>
      <c r="H25" s="117" t="s">
        <v>40</v>
      </c>
      <c r="I25" s="19" t="str">
        <f>IF(W25="ADMITIDO","ADMITIDO",IF(W25="CANCELADA","CANCELADA",IF(H25="","",IFERROR(_xlfn.XLOOKUP(H25,Listas!I:I,Listas!J:J),"OUTROS"))))</f>
        <v>ADMITIDO</v>
      </c>
      <c r="J25" s="87" t="s">
        <v>44</v>
      </c>
      <c r="K25" s="87" t="s">
        <v>61</v>
      </c>
      <c r="L25" s="87" t="s">
        <v>161</v>
      </c>
      <c r="M25" s="11" t="s">
        <v>63</v>
      </c>
      <c r="N25" s="11" t="s">
        <v>34</v>
      </c>
      <c r="O25" s="11" t="s">
        <v>57</v>
      </c>
      <c r="P25" s="11" t="s">
        <v>98</v>
      </c>
      <c r="Q25" s="108"/>
      <c r="R25" s="13"/>
      <c r="S25" s="13"/>
      <c r="T25" s="11" t="s">
        <v>76</v>
      </c>
      <c r="U25" s="202">
        <v>46148</v>
      </c>
      <c r="V25" s="41" t="s">
        <v>162</v>
      </c>
      <c r="W25" s="23" t="s">
        <v>40</v>
      </c>
      <c r="X25" s="14">
        <v>46150</v>
      </c>
      <c r="Y25" s="14">
        <v>46153</v>
      </c>
      <c r="Z25" s="15">
        <v>145936</v>
      </c>
      <c r="AB25" s="191">
        <v>0</v>
      </c>
    </row>
    <row r="26" spans="1:28" ht="15.75" hidden="1" customHeight="1">
      <c r="A26" s="92">
        <v>29485</v>
      </c>
      <c r="B26" s="91">
        <v>1</v>
      </c>
      <c r="C26" s="195">
        <v>46101</v>
      </c>
      <c r="D26" s="91">
        <f t="shared" ca="1" si="0"/>
        <v>126</v>
      </c>
      <c r="E26" s="138" t="str">
        <f t="shared" si="1"/>
        <v>CANCELADA</v>
      </c>
      <c r="F26" s="96" t="s">
        <v>42</v>
      </c>
      <c r="G26" s="19" t="s">
        <v>29</v>
      </c>
      <c r="H26" s="19" t="s">
        <v>52</v>
      </c>
      <c r="I26" s="19" t="str">
        <f>IF(W26="ADMITIDO","ADMITIDO",IF(W26="CANCELADA","CANCELADA",IF(H26="","",IFERROR(_xlfn.XLOOKUP(H26,Listas!I:I,Listas!J:J),"OUTROS"))))</f>
        <v>CANCELADA</v>
      </c>
      <c r="J26" s="12" t="s">
        <v>163</v>
      </c>
      <c r="K26" s="11" t="s">
        <v>54</v>
      </c>
      <c r="L26" s="11" t="s">
        <v>164</v>
      </c>
      <c r="M26" s="11" t="s">
        <v>88</v>
      </c>
      <c r="N26" s="11" t="s">
        <v>56</v>
      </c>
      <c r="O26" s="11" t="s">
        <v>57</v>
      </c>
      <c r="P26" s="11" t="s">
        <v>165</v>
      </c>
      <c r="Q26" s="108" t="s">
        <v>166</v>
      </c>
      <c r="R26" s="13"/>
      <c r="S26" s="13"/>
      <c r="W26" s="23" t="s">
        <v>52</v>
      </c>
      <c r="Z26" s="15"/>
      <c r="AB26" s="191">
        <v>0</v>
      </c>
    </row>
    <row r="27" spans="1:28" ht="15.75" hidden="1" customHeight="1">
      <c r="A27" s="92">
        <v>29480</v>
      </c>
      <c r="B27" s="91">
        <v>1</v>
      </c>
      <c r="C27" s="195">
        <v>46101</v>
      </c>
      <c r="D27" s="91">
        <f t="shared" ca="1" si="0"/>
        <v>126</v>
      </c>
      <c r="E27" s="138" t="str">
        <f t="shared" si="1"/>
        <v>CANCELADA</v>
      </c>
      <c r="F27" s="96" t="s">
        <v>119</v>
      </c>
      <c r="G27" s="19" t="s">
        <v>167</v>
      </c>
      <c r="H27" s="19" t="s">
        <v>52</v>
      </c>
      <c r="I27" s="19" t="str">
        <f>IF(W27="ADMITIDO","ADMITIDO",IF(W27="CANCELADA","CANCELADA",IF(H27="","",IFERROR(_xlfn.XLOOKUP(H27,Listas!I:I,Listas!J:J),"OUTROS"))))</f>
        <v>CANCELADA</v>
      </c>
      <c r="J27" s="12" t="s">
        <v>168</v>
      </c>
      <c r="K27" s="11" t="s">
        <v>169</v>
      </c>
      <c r="L27" s="11" t="s">
        <v>170</v>
      </c>
      <c r="M27" s="11" t="s">
        <v>119</v>
      </c>
      <c r="N27" s="11" t="s">
        <v>34</v>
      </c>
      <c r="O27" s="11" t="s">
        <v>35</v>
      </c>
      <c r="P27" s="11" t="s">
        <v>36</v>
      </c>
      <c r="Q27" s="108"/>
      <c r="R27" s="13"/>
      <c r="S27" s="13"/>
      <c r="W27" s="23" t="s">
        <v>52</v>
      </c>
      <c r="Z27" s="15"/>
      <c r="AB27" s="191">
        <v>0</v>
      </c>
    </row>
    <row r="28" spans="1:28" ht="15.75" hidden="1" customHeight="1">
      <c r="A28" s="92">
        <v>29502</v>
      </c>
      <c r="B28" s="91">
        <v>1</v>
      </c>
      <c r="C28" s="195">
        <v>46104</v>
      </c>
      <c r="D28" s="91">
        <f t="shared" ca="1" si="0"/>
        <v>123</v>
      </c>
      <c r="E28" s="138" t="str">
        <f t="shared" si="1"/>
        <v>ADMITIDO</v>
      </c>
      <c r="F28" s="96" t="s">
        <v>171</v>
      </c>
      <c r="G28" s="19" t="s">
        <v>69</v>
      </c>
      <c r="H28" s="19" t="str">
        <f>W28</f>
        <v>ADMITIDO</v>
      </c>
      <c r="I28" s="19" t="str">
        <f>IF(W28="ADMITIDO","ADMITIDO",IF(W28="CANCELADA","CANCELADA",IF(H28="","",IFERROR(_xlfn.XLOOKUP(H28,Listas!I:I,Listas!J:J),"OUTROS"))))</f>
        <v>ADMITIDO</v>
      </c>
      <c r="J28" s="12" t="s">
        <v>172</v>
      </c>
      <c r="K28" s="11" t="s">
        <v>173</v>
      </c>
      <c r="L28" s="11" t="s">
        <v>174</v>
      </c>
      <c r="M28" s="11" t="s">
        <v>175</v>
      </c>
      <c r="N28" s="11" t="s">
        <v>56</v>
      </c>
      <c r="O28" s="11" t="s">
        <v>35</v>
      </c>
      <c r="P28" s="11" t="s">
        <v>176</v>
      </c>
      <c r="Q28" s="108"/>
      <c r="R28" s="13" t="s">
        <v>177</v>
      </c>
      <c r="S28" s="13" t="s">
        <v>178</v>
      </c>
      <c r="T28" s="11" t="s">
        <v>132</v>
      </c>
      <c r="U28" s="202" t="s">
        <v>179</v>
      </c>
      <c r="V28" s="41" t="s">
        <v>180</v>
      </c>
      <c r="W28" s="23" t="s">
        <v>40</v>
      </c>
      <c r="X28" s="14">
        <v>46132</v>
      </c>
      <c r="Y28" s="14">
        <v>46133</v>
      </c>
      <c r="Z28" s="15">
        <v>83266</v>
      </c>
      <c r="AB28" s="191">
        <v>0</v>
      </c>
    </row>
    <row r="29" spans="1:28" ht="15.75" customHeight="1">
      <c r="A29" s="92">
        <v>29520</v>
      </c>
      <c r="B29" s="91">
        <v>1</v>
      </c>
      <c r="C29" s="195">
        <v>46104</v>
      </c>
      <c r="D29" s="91">
        <f t="shared" ca="1" si="0"/>
        <v>123</v>
      </c>
      <c r="E29" s="138" t="str">
        <f t="shared" ca="1" si="1"/>
        <v>CRÍTICO</v>
      </c>
      <c r="F29" s="96" t="s">
        <v>42</v>
      </c>
      <c r="G29" s="19" t="s">
        <v>29</v>
      </c>
      <c r="H29" s="19" t="s">
        <v>181</v>
      </c>
      <c r="I29" s="19" t="str">
        <f>IF(W29="ADMITIDO","ADMITIDO",IF(W29="CANCELADA","CANCELADA",IF(H29="","",IFERROR(_xlfn.XLOOKUP(H29,Listas!I:I,Listas!J:J),"OUTROS"))))</f>
        <v>DOCUMENTAÇÃO</v>
      </c>
      <c r="J29" s="12" t="s">
        <v>182</v>
      </c>
      <c r="K29" s="11" t="s">
        <v>54</v>
      </c>
      <c r="L29" s="11" t="s">
        <v>183</v>
      </c>
      <c r="M29" s="11" t="s">
        <v>184</v>
      </c>
      <c r="N29" s="11" t="s">
        <v>34</v>
      </c>
      <c r="O29" s="11" t="s">
        <v>185</v>
      </c>
      <c r="P29" s="11" t="s">
        <v>36</v>
      </c>
      <c r="Q29" s="108" t="s">
        <v>186</v>
      </c>
      <c r="R29" s="13"/>
      <c r="S29" s="13"/>
      <c r="T29" s="11" t="s">
        <v>38</v>
      </c>
      <c r="U29" s="202">
        <v>46154</v>
      </c>
      <c r="V29" s="41" t="s">
        <v>187</v>
      </c>
      <c r="W29" s="23" t="s">
        <v>188</v>
      </c>
      <c r="X29" s="14">
        <v>46160</v>
      </c>
      <c r="Y29" s="14">
        <v>46161</v>
      </c>
      <c r="Z29" s="15">
        <v>914295</v>
      </c>
      <c r="AB29" s="191">
        <v>0</v>
      </c>
    </row>
    <row r="30" spans="1:28" ht="15.75" hidden="1" customHeight="1">
      <c r="A30" s="90">
        <v>29699</v>
      </c>
      <c r="B30" s="91">
        <v>1</v>
      </c>
      <c r="C30" s="195">
        <v>46114</v>
      </c>
      <c r="D30" s="91">
        <f t="shared" ca="1" si="0"/>
        <v>113</v>
      </c>
      <c r="E30" s="138" t="str">
        <f t="shared" si="1"/>
        <v>ADMITIDO</v>
      </c>
      <c r="F30" s="96" t="s">
        <v>42</v>
      </c>
      <c r="G30" s="19" t="s">
        <v>43</v>
      </c>
      <c r="H30" s="19" t="str">
        <f>W30</f>
        <v>ADMITIDO</v>
      </c>
      <c r="I30" s="19" t="str">
        <f>IF(W30="ADMITIDO","ADMITIDO",IF(W30="CANCELADA","CANCELADA",IF(H30="","",IFERROR(_xlfn.XLOOKUP(H30,Listas!I:I,Listas!J:J),"OUTROS"))))</f>
        <v>ADMITIDO</v>
      </c>
      <c r="J30" s="12" t="s">
        <v>44</v>
      </c>
      <c r="K30" s="11" t="s">
        <v>189</v>
      </c>
      <c r="L30" s="11" t="s">
        <v>190</v>
      </c>
      <c r="M30" s="11" t="s">
        <v>191</v>
      </c>
      <c r="N30" s="11" t="s">
        <v>34</v>
      </c>
      <c r="O30" s="11" t="s">
        <v>48</v>
      </c>
      <c r="P30" s="11" t="s">
        <v>49</v>
      </c>
      <c r="Q30" s="108"/>
      <c r="R30" s="13"/>
      <c r="S30" s="25"/>
      <c r="T30" s="11" t="s">
        <v>50</v>
      </c>
      <c r="U30" s="202">
        <v>46135</v>
      </c>
      <c r="V30" s="41" t="s">
        <v>192</v>
      </c>
      <c r="W30" s="23" t="s">
        <v>40</v>
      </c>
      <c r="X30" s="31">
        <v>46139</v>
      </c>
      <c r="Y30" s="31">
        <v>46140</v>
      </c>
      <c r="Z30" s="15">
        <v>145885</v>
      </c>
      <c r="AB30" s="191">
        <v>0</v>
      </c>
    </row>
    <row r="31" spans="1:28" ht="15.75" hidden="1" customHeight="1">
      <c r="A31" s="92">
        <v>29519</v>
      </c>
      <c r="B31" s="91">
        <v>1</v>
      </c>
      <c r="C31" s="195">
        <v>46104</v>
      </c>
      <c r="D31" s="91">
        <f t="shared" ca="1" si="0"/>
        <v>123</v>
      </c>
      <c r="E31" s="138" t="str">
        <f t="shared" si="1"/>
        <v>ADMITIDO</v>
      </c>
      <c r="F31" s="96" t="s">
        <v>42</v>
      </c>
      <c r="G31" s="19" t="s">
        <v>102</v>
      </c>
      <c r="H31" s="19" t="str">
        <f>W31</f>
        <v>ADMITIDO</v>
      </c>
      <c r="I31" s="19" t="str">
        <f>IF(W31="ADMITIDO","ADMITIDO",IF(W31="CANCELADA","CANCELADA",IF(H31="","",IFERROR(_xlfn.XLOOKUP(H31,Listas!I:I,Listas!J:J),"OUTROS"))))</f>
        <v>ADMITIDO</v>
      </c>
      <c r="J31" s="12" t="s">
        <v>193</v>
      </c>
      <c r="K31" s="11" t="s">
        <v>103</v>
      </c>
      <c r="L31" s="11" t="s">
        <v>194</v>
      </c>
      <c r="M31" s="11" t="s">
        <v>63</v>
      </c>
      <c r="N31" s="11" t="s">
        <v>34</v>
      </c>
      <c r="O31" s="11" t="s">
        <v>57</v>
      </c>
      <c r="P31" s="11" t="s">
        <v>151</v>
      </c>
      <c r="Q31" s="108" t="s">
        <v>195</v>
      </c>
      <c r="R31" s="13"/>
      <c r="S31" s="13" t="s">
        <v>196</v>
      </c>
      <c r="T31" s="11" t="s">
        <v>132</v>
      </c>
      <c r="U31" s="202">
        <v>46129</v>
      </c>
      <c r="V31" s="41" t="s">
        <v>197</v>
      </c>
      <c r="W31" s="23" t="s">
        <v>40</v>
      </c>
      <c r="X31" s="14">
        <v>46135</v>
      </c>
      <c r="Y31" s="14">
        <v>46136</v>
      </c>
      <c r="Z31" s="15">
        <v>914130</v>
      </c>
      <c r="AB31" s="191">
        <v>0</v>
      </c>
    </row>
    <row r="32" spans="1:28" ht="15.75" hidden="1" customHeight="1">
      <c r="A32" s="90">
        <v>29488</v>
      </c>
      <c r="B32" s="91">
        <v>1</v>
      </c>
      <c r="C32" s="195">
        <v>46105</v>
      </c>
      <c r="D32" s="91">
        <f t="shared" ca="1" si="0"/>
        <v>122</v>
      </c>
      <c r="E32" s="138" t="str">
        <f t="shared" si="1"/>
        <v>ADMITIDO</v>
      </c>
      <c r="F32" s="96" t="s">
        <v>42</v>
      </c>
      <c r="G32" s="19" t="s">
        <v>29</v>
      </c>
      <c r="H32" s="19" t="str">
        <f>W32</f>
        <v>ADMITIDO</v>
      </c>
      <c r="I32" s="19" t="str">
        <f>IF(W32="ADMITIDO","ADMITIDO",IF(W32="CANCELADA","CANCELADA",IF(H32="","",IFERROR(_xlfn.XLOOKUP(H32,Listas!I:I,Listas!J:J),"OUTROS"))))</f>
        <v>ADMITIDO</v>
      </c>
      <c r="J32" s="12" t="s">
        <v>198</v>
      </c>
      <c r="K32" s="11" t="s">
        <v>54</v>
      </c>
      <c r="L32" s="11" t="s">
        <v>164</v>
      </c>
      <c r="M32" s="11" t="s">
        <v>88</v>
      </c>
      <c r="N32" s="11" t="s">
        <v>34</v>
      </c>
      <c r="O32" s="11" t="s">
        <v>57</v>
      </c>
      <c r="P32" s="11" t="s">
        <v>94</v>
      </c>
      <c r="Q32" s="108" t="s">
        <v>199</v>
      </c>
      <c r="R32" s="13"/>
      <c r="S32" s="13" t="s">
        <v>200</v>
      </c>
      <c r="T32" s="11" t="s">
        <v>38</v>
      </c>
      <c r="U32" s="202">
        <v>46135</v>
      </c>
      <c r="V32" s="41" t="s">
        <v>201</v>
      </c>
      <c r="W32" s="23" t="s">
        <v>40</v>
      </c>
      <c r="X32" s="14">
        <v>46141</v>
      </c>
      <c r="Y32" s="14">
        <v>46142</v>
      </c>
      <c r="Z32" s="15">
        <v>145897</v>
      </c>
      <c r="AA32" s="45"/>
      <c r="AB32" s="191">
        <v>0</v>
      </c>
    </row>
    <row r="33" spans="1:28" ht="15.75" hidden="1" customHeight="1">
      <c r="A33" s="90">
        <v>29529</v>
      </c>
      <c r="B33" s="91">
        <v>1</v>
      </c>
      <c r="C33" s="195">
        <v>46105</v>
      </c>
      <c r="D33" s="91">
        <f t="shared" ca="1" si="0"/>
        <v>122</v>
      </c>
      <c r="E33" s="138" t="str">
        <f t="shared" si="1"/>
        <v>ADMITIDO</v>
      </c>
      <c r="F33" s="96" t="s">
        <v>28</v>
      </c>
      <c r="G33" s="19" t="s">
        <v>29</v>
      </c>
      <c r="H33" s="19" t="str">
        <f>W33</f>
        <v>ADMITIDO</v>
      </c>
      <c r="I33" s="19" t="str">
        <f>IF(W33="ADMITIDO","ADMITIDO",IF(W33="CANCELADA","CANCELADA",IF(H33="","",IFERROR(_xlfn.XLOOKUP(H33,Listas!I:I,Listas!J:J),"OUTROS"))))</f>
        <v>ADMITIDO</v>
      </c>
      <c r="J33" s="12" t="s">
        <v>202</v>
      </c>
      <c r="K33" s="11" t="s">
        <v>203</v>
      </c>
      <c r="L33" s="11" t="s">
        <v>204</v>
      </c>
      <c r="M33" s="11" t="s">
        <v>205</v>
      </c>
      <c r="N33" s="11" t="s">
        <v>56</v>
      </c>
      <c r="O33" s="11" t="s">
        <v>35</v>
      </c>
      <c r="P33" s="11" t="s">
        <v>176</v>
      </c>
      <c r="Q33" s="108"/>
      <c r="R33" s="13"/>
      <c r="S33" s="24" t="s">
        <v>206</v>
      </c>
      <c r="T33" s="11" t="s">
        <v>38</v>
      </c>
      <c r="U33" s="202">
        <v>46132</v>
      </c>
      <c r="V33" s="41" t="s">
        <v>207</v>
      </c>
      <c r="W33" s="23" t="s">
        <v>40</v>
      </c>
      <c r="X33" s="14">
        <v>46148</v>
      </c>
      <c r="Y33" s="14">
        <v>46149</v>
      </c>
      <c r="Z33" s="15">
        <v>914229</v>
      </c>
      <c r="AA33" s="150"/>
      <c r="AB33" s="191">
        <v>0</v>
      </c>
    </row>
    <row r="34" spans="1:28" ht="15.75" hidden="1" customHeight="1">
      <c r="A34" s="90">
        <v>29521</v>
      </c>
      <c r="B34" s="91">
        <v>1</v>
      </c>
      <c r="C34" s="195">
        <v>46105</v>
      </c>
      <c r="D34" s="91">
        <f t="shared" ca="1" si="0"/>
        <v>122</v>
      </c>
      <c r="E34" s="138" t="str">
        <f t="shared" si="1"/>
        <v>ADMITIDO</v>
      </c>
      <c r="F34" s="96" t="s">
        <v>42</v>
      </c>
      <c r="G34" s="19" t="s">
        <v>43</v>
      </c>
      <c r="H34" s="19" t="s">
        <v>40</v>
      </c>
      <c r="I34" s="19" t="str">
        <f>IF(W34="ADMITIDO","ADMITIDO",IF(W34="CANCELADA","CANCELADA",IF(H34="","",IFERROR(_xlfn.XLOOKUP(H34,Listas!I:I,Listas!J:J),"OUTROS"))))</f>
        <v>ADMITIDO</v>
      </c>
      <c r="J34" s="12" t="s">
        <v>53</v>
      </c>
      <c r="K34" s="11" t="s">
        <v>189</v>
      </c>
      <c r="L34" s="11" t="s">
        <v>208</v>
      </c>
      <c r="M34" s="11" t="s">
        <v>209</v>
      </c>
      <c r="N34" s="11" t="s">
        <v>34</v>
      </c>
      <c r="O34" s="11" t="s">
        <v>210</v>
      </c>
      <c r="P34" s="11" t="s">
        <v>94</v>
      </c>
      <c r="Q34" s="108"/>
      <c r="R34" s="13" t="s">
        <v>211</v>
      </c>
      <c r="S34" s="17">
        <v>15996712142</v>
      </c>
      <c r="T34" s="11" t="s">
        <v>67</v>
      </c>
      <c r="U34" s="202">
        <v>46134</v>
      </c>
      <c r="V34" s="41" t="s">
        <v>212</v>
      </c>
      <c r="W34" s="11" t="s">
        <v>40</v>
      </c>
      <c r="X34" s="14">
        <v>46146</v>
      </c>
      <c r="Y34" s="14">
        <v>46146</v>
      </c>
      <c r="Z34" s="15">
        <v>145910</v>
      </c>
      <c r="AA34" s="151" t="s">
        <v>213</v>
      </c>
      <c r="AB34" s="191">
        <v>0</v>
      </c>
    </row>
    <row r="35" spans="1:28" ht="15.75" hidden="1" customHeight="1">
      <c r="A35" s="92">
        <v>29533</v>
      </c>
      <c r="B35" s="91">
        <v>1</v>
      </c>
      <c r="C35" s="195">
        <v>46105</v>
      </c>
      <c r="D35" s="91">
        <f t="shared" ca="1" si="0"/>
        <v>122</v>
      </c>
      <c r="E35" s="138" t="str">
        <f t="shared" ca="1" si="1"/>
        <v>CRÍTICO</v>
      </c>
      <c r="F35" s="96" t="s">
        <v>42</v>
      </c>
      <c r="G35" s="19" t="s">
        <v>69</v>
      </c>
      <c r="H35" s="19" t="s">
        <v>214</v>
      </c>
      <c r="I35" s="19" t="str">
        <f>IF(W35="ADMITIDO","ADMITIDO",IF(W35="CANCELADA","CANCELADA",IF(H35="","",IFERROR(_xlfn.XLOOKUP(H35,Listas!I:I,Listas!J:J),"OUTROS"))))</f>
        <v>TRIAGEM</v>
      </c>
      <c r="J35" s="12" t="s">
        <v>44</v>
      </c>
      <c r="K35" s="11" t="s">
        <v>70</v>
      </c>
      <c r="L35" s="11" t="s">
        <v>215</v>
      </c>
      <c r="M35" s="11" t="s">
        <v>63</v>
      </c>
      <c r="N35" s="11" t="s">
        <v>34</v>
      </c>
      <c r="O35" s="11" t="s">
        <v>48</v>
      </c>
      <c r="P35" s="11" t="s">
        <v>216</v>
      </c>
      <c r="Q35" s="108" t="s">
        <v>217</v>
      </c>
      <c r="R35" s="13"/>
      <c r="S35" s="13"/>
      <c r="Z35" s="15"/>
      <c r="AA35" s="151"/>
      <c r="AB35" s="10">
        <v>0</v>
      </c>
    </row>
    <row r="36" spans="1:28" ht="15.75" hidden="1" customHeight="1">
      <c r="A36" s="90">
        <v>29554</v>
      </c>
      <c r="B36" s="91">
        <v>1</v>
      </c>
      <c r="C36" s="195">
        <v>46106</v>
      </c>
      <c r="D36" s="91">
        <f t="shared" ca="1" si="0"/>
        <v>121</v>
      </c>
      <c r="E36" s="138" t="str">
        <f t="shared" si="1"/>
        <v>ADMITIDO</v>
      </c>
      <c r="F36" s="96" t="s">
        <v>42</v>
      </c>
      <c r="G36" s="19" t="s">
        <v>43</v>
      </c>
      <c r="H36" s="19" t="s">
        <v>40</v>
      </c>
      <c r="I36" s="19" t="str">
        <f>IF(W36="ADMITIDO","ADMITIDO",IF(W36="CANCELADA","CANCELADA",IF(H36="","",IFERROR(_xlfn.XLOOKUP(H36,Listas!I:I,Listas!J:J),"OUTROS"))))</f>
        <v>ADMITIDO</v>
      </c>
      <c r="J36" s="12" t="s">
        <v>53</v>
      </c>
      <c r="K36" s="11" t="s">
        <v>45</v>
      </c>
      <c r="L36" s="11" t="s">
        <v>218</v>
      </c>
      <c r="M36" s="11" t="s">
        <v>97</v>
      </c>
      <c r="N36" s="11" t="s">
        <v>34</v>
      </c>
      <c r="O36" s="11" t="s">
        <v>219</v>
      </c>
      <c r="P36" s="11" t="s">
        <v>220</v>
      </c>
      <c r="Q36" s="108" t="s">
        <v>221</v>
      </c>
      <c r="R36" s="13"/>
      <c r="S36" s="17">
        <v>11971655331</v>
      </c>
      <c r="T36" s="11" t="s">
        <v>50</v>
      </c>
      <c r="U36" s="202">
        <v>46135</v>
      </c>
      <c r="V36" s="41" t="s">
        <v>222</v>
      </c>
      <c r="W36" s="11" t="s">
        <v>40</v>
      </c>
      <c r="X36" s="14">
        <v>46117</v>
      </c>
      <c r="Y36" s="14">
        <v>46117</v>
      </c>
      <c r="Z36" s="15"/>
      <c r="AB36" s="10">
        <v>0</v>
      </c>
    </row>
    <row r="37" spans="1:28" ht="15.75" hidden="1" customHeight="1">
      <c r="A37" s="92">
        <v>29546</v>
      </c>
      <c r="B37" s="91">
        <v>1</v>
      </c>
      <c r="C37" s="195">
        <v>46106</v>
      </c>
      <c r="D37" s="91">
        <f t="shared" ca="1" si="0"/>
        <v>121</v>
      </c>
      <c r="E37" s="138" t="str">
        <f t="shared" si="1"/>
        <v>ADMITIDO</v>
      </c>
      <c r="F37" s="96" t="s">
        <v>42</v>
      </c>
      <c r="G37" s="19" t="s">
        <v>102</v>
      </c>
      <c r="H37" s="19" t="s">
        <v>40</v>
      </c>
      <c r="I37" s="19" t="str">
        <f>IF(W37="ADMITIDO","ADMITIDO",IF(W37="CANCELADA","CANCELADA",IF(H37="","",IFERROR(_xlfn.XLOOKUP(H37,Listas!I:I,Listas!J:J),"OUTROS"))))</f>
        <v>ADMITIDO</v>
      </c>
      <c r="J37" s="12" t="s">
        <v>53</v>
      </c>
      <c r="K37" s="11" t="s">
        <v>103</v>
      </c>
      <c r="L37" s="11" t="s">
        <v>194</v>
      </c>
      <c r="M37" s="11" t="s">
        <v>63</v>
      </c>
      <c r="N37" s="11" t="s">
        <v>34</v>
      </c>
      <c r="O37" s="11" t="s">
        <v>72</v>
      </c>
      <c r="P37" s="11" t="s">
        <v>223</v>
      </c>
      <c r="Q37" s="108" t="s">
        <v>224</v>
      </c>
      <c r="R37" s="13" t="s">
        <v>107</v>
      </c>
      <c r="S37" s="13"/>
      <c r="T37" s="11" t="s">
        <v>67</v>
      </c>
      <c r="U37" s="202" t="s">
        <v>225</v>
      </c>
      <c r="V37" s="41" t="s">
        <v>226</v>
      </c>
      <c r="W37" s="23" t="s">
        <v>40</v>
      </c>
      <c r="X37" s="14">
        <v>46132</v>
      </c>
      <c r="Y37" s="14">
        <v>46134</v>
      </c>
      <c r="Z37" s="15">
        <v>914152</v>
      </c>
      <c r="AB37" s="10">
        <v>0</v>
      </c>
    </row>
    <row r="38" spans="1:28" ht="15.75" hidden="1" customHeight="1">
      <c r="A38" s="90">
        <v>29564</v>
      </c>
      <c r="B38" s="91">
        <v>1</v>
      </c>
      <c r="C38" s="195">
        <v>46107</v>
      </c>
      <c r="D38" s="91">
        <f t="shared" ca="1" si="0"/>
        <v>120</v>
      </c>
      <c r="E38" s="138" t="str">
        <f t="shared" si="1"/>
        <v>ADMITIDO</v>
      </c>
      <c r="F38" s="96" t="s">
        <v>42</v>
      </c>
      <c r="G38" s="19" t="s">
        <v>29</v>
      </c>
      <c r="H38" s="19" t="s">
        <v>40</v>
      </c>
      <c r="I38" s="19" t="str">
        <f>IF(W38="ADMITIDO","ADMITIDO",IF(W38="CANCELADA","CANCELADA",IF(H38="","",IFERROR(_xlfn.XLOOKUP(H38,Listas!I:I,Listas!J:J),"OUTROS"))))</f>
        <v>ADMITIDO</v>
      </c>
      <c r="J38" s="12" t="s">
        <v>227</v>
      </c>
      <c r="K38" s="11" t="s">
        <v>228</v>
      </c>
      <c r="L38" s="11" t="s">
        <v>229</v>
      </c>
      <c r="M38" s="11" t="s">
        <v>88</v>
      </c>
      <c r="N38" s="11" t="s">
        <v>34</v>
      </c>
      <c r="O38" s="11" t="s">
        <v>230</v>
      </c>
      <c r="P38" s="11" t="s">
        <v>231</v>
      </c>
      <c r="Q38" s="108"/>
      <c r="R38" s="13"/>
      <c r="S38" s="13"/>
      <c r="T38" s="11" t="s">
        <v>38</v>
      </c>
      <c r="U38" s="202">
        <v>46146</v>
      </c>
      <c r="V38" s="41" t="s">
        <v>232</v>
      </c>
      <c r="W38" s="19" t="s">
        <v>40</v>
      </c>
      <c r="X38" s="14">
        <v>46155</v>
      </c>
      <c r="Y38" s="14">
        <v>46156</v>
      </c>
      <c r="Z38" s="15">
        <v>145944</v>
      </c>
      <c r="AA38" s="45" t="s">
        <v>233</v>
      </c>
      <c r="AB38" s="10">
        <v>0</v>
      </c>
    </row>
    <row r="39" spans="1:28" ht="15.75" hidden="1" customHeight="1">
      <c r="A39" s="90">
        <v>29581</v>
      </c>
      <c r="B39" s="91">
        <v>1</v>
      </c>
      <c r="C39" s="195">
        <v>46107</v>
      </c>
      <c r="D39" s="91">
        <f t="shared" ca="1" si="0"/>
        <v>120</v>
      </c>
      <c r="E39" s="138" t="str">
        <f t="shared" ca="1" si="1"/>
        <v>CRÍTICO</v>
      </c>
      <c r="F39" s="96" t="s">
        <v>42</v>
      </c>
      <c r="G39" s="19" t="s">
        <v>29</v>
      </c>
      <c r="H39" s="19" t="s">
        <v>91</v>
      </c>
      <c r="I39" s="19" t="str">
        <f>IF(W39="ADMITIDO","ADMITIDO",IF(W39="CANCELADA","CANCELADA",IF(H39="","",IFERROR(_xlfn.XLOOKUP(H39,Listas!I:I,Listas!J:J),"OUTROS"))))</f>
        <v>TRIAGEM</v>
      </c>
      <c r="J39" s="12" t="s">
        <v>53</v>
      </c>
      <c r="K39" s="11" t="s">
        <v>54</v>
      </c>
      <c r="L39" s="11" t="s">
        <v>234</v>
      </c>
      <c r="M39" s="11" t="s">
        <v>33</v>
      </c>
      <c r="N39" s="11" t="s">
        <v>34</v>
      </c>
      <c r="O39" s="11" t="s">
        <v>48</v>
      </c>
      <c r="P39" s="11" t="s">
        <v>120</v>
      </c>
      <c r="Q39" s="108" t="s">
        <v>235</v>
      </c>
      <c r="R39" s="13"/>
      <c r="S39" s="13"/>
      <c r="Z39" s="15"/>
      <c r="AA39" s="45" t="s">
        <v>236</v>
      </c>
      <c r="AB39" s="10">
        <v>0</v>
      </c>
    </row>
    <row r="40" spans="1:28" ht="15.75" hidden="1" customHeight="1">
      <c r="A40" s="92">
        <v>29572</v>
      </c>
      <c r="B40" s="91">
        <v>1</v>
      </c>
      <c r="C40" s="195">
        <v>46107</v>
      </c>
      <c r="D40" s="91">
        <f t="shared" ca="1" si="0"/>
        <v>120</v>
      </c>
      <c r="E40" s="138" t="str">
        <f t="shared" si="1"/>
        <v>CANCELADA</v>
      </c>
      <c r="F40" s="96" t="s">
        <v>42</v>
      </c>
      <c r="G40" s="19" t="s">
        <v>69</v>
      </c>
      <c r="H40" s="19" t="s">
        <v>52</v>
      </c>
      <c r="I40" s="19" t="str">
        <f>IF(W40="ADMITIDO","ADMITIDO",IF(W40="CANCELADA","CANCELADA",IF(H40="","",IFERROR(_xlfn.XLOOKUP(H40,Listas!I:I,Listas!J:J),"OUTROS"))))</f>
        <v>CANCELADA</v>
      </c>
      <c r="J40" s="12" t="s">
        <v>53</v>
      </c>
      <c r="K40" s="11" t="s">
        <v>70</v>
      </c>
      <c r="L40" s="11" t="s">
        <v>237</v>
      </c>
      <c r="M40" s="11" t="s">
        <v>63</v>
      </c>
      <c r="N40" s="11" t="s">
        <v>34</v>
      </c>
      <c r="O40" s="11" t="s">
        <v>72</v>
      </c>
      <c r="P40" s="11" t="s">
        <v>238</v>
      </c>
      <c r="Q40" s="108" t="s">
        <v>239</v>
      </c>
      <c r="R40" s="13"/>
      <c r="S40" s="13"/>
      <c r="U40" s="211"/>
      <c r="V40" s="49"/>
      <c r="W40" s="44" t="s">
        <v>52</v>
      </c>
      <c r="Z40" s="15"/>
      <c r="AB40" s="10">
        <v>0</v>
      </c>
    </row>
    <row r="41" spans="1:28" ht="15.75" hidden="1" customHeight="1">
      <c r="A41" s="92">
        <v>30078</v>
      </c>
      <c r="B41" s="91">
        <v>1</v>
      </c>
      <c r="C41" s="195">
        <v>46139</v>
      </c>
      <c r="D41" s="91">
        <f ca="1">TODAY()-C41</f>
        <v>88</v>
      </c>
      <c r="E41" s="138" t="str">
        <f t="shared" si="1"/>
        <v>ADMITIDO</v>
      </c>
      <c r="F41" s="96" t="s">
        <v>42</v>
      </c>
      <c r="G41" s="19" t="s">
        <v>240</v>
      </c>
      <c r="H41" s="117" t="s">
        <v>40</v>
      </c>
      <c r="I41" s="19" t="str">
        <f>IF(W41="ADMITIDO","ADMITIDO",IF(W41="CANCELADA","CANCELADA",IF(H41="","",IFERROR(_xlfn.XLOOKUP(H41,Listas!I:I,Listas!J:J),"OUTROS"))))</f>
        <v>ADMITIDO</v>
      </c>
      <c r="J41" s="12" t="s">
        <v>44</v>
      </c>
      <c r="K41" s="11" t="s">
        <v>241</v>
      </c>
      <c r="L41" s="11" t="s">
        <v>242</v>
      </c>
      <c r="M41" s="11" t="s">
        <v>243</v>
      </c>
      <c r="N41" s="73" t="s">
        <v>34</v>
      </c>
      <c r="O41" s="11" t="s">
        <v>72</v>
      </c>
      <c r="P41" s="11" t="s">
        <v>244</v>
      </c>
      <c r="Q41" s="108"/>
      <c r="R41" s="13"/>
      <c r="S41" s="84"/>
      <c r="T41" s="35" t="s">
        <v>132</v>
      </c>
      <c r="U41" s="202">
        <v>46153</v>
      </c>
      <c r="V41" s="41" t="s">
        <v>245</v>
      </c>
      <c r="W41" s="23" t="s">
        <v>40</v>
      </c>
      <c r="X41" s="43">
        <v>46156</v>
      </c>
      <c r="Y41" s="14">
        <v>46160</v>
      </c>
      <c r="Z41" s="15">
        <v>145962</v>
      </c>
      <c r="AA41" s="45"/>
      <c r="AB41" s="10">
        <v>0</v>
      </c>
    </row>
    <row r="42" spans="1:28" ht="15.75" hidden="1" customHeight="1">
      <c r="A42" s="92">
        <v>29598</v>
      </c>
      <c r="B42" s="91">
        <v>1</v>
      </c>
      <c r="C42" s="195">
        <v>46108</v>
      </c>
      <c r="D42" s="91">
        <f t="shared" ca="1" si="0"/>
        <v>119</v>
      </c>
      <c r="E42" s="138" t="str">
        <f t="shared" si="1"/>
        <v>ADMITIDO</v>
      </c>
      <c r="F42" s="96" t="s">
        <v>42</v>
      </c>
      <c r="G42" s="19" t="s">
        <v>69</v>
      </c>
      <c r="H42" s="19" t="s">
        <v>40</v>
      </c>
      <c r="I42" s="19" t="str">
        <f>IF(W42="ADMITIDO","ADMITIDO",IF(W42="CANCELADA","CANCELADA",IF(H42="","",IFERROR(_xlfn.XLOOKUP(H42,Listas!I:I,Listas!J:J),"OUTROS"))))</f>
        <v>ADMITIDO</v>
      </c>
      <c r="J42" s="12" t="s">
        <v>44</v>
      </c>
      <c r="K42" s="11" t="s">
        <v>70</v>
      </c>
      <c r="L42" s="11" t="s">
        <v>246</v>
      </c>
      <c r="M42" s="11" t="s">
        <v>63</v>
      </c>
      <c r="N42" s="11" t="s">
        <v>34</v>
      </c>
      <c r="O42" s="11" t="s">
        <v>219</v>
      </c>
      <c r="P42" s="11" t="s">
        <v>247</v>
      </c>
      <c r="Q42" s="108" t="s">
        <v>248</v>
      </c>
      <c r="R42" s="13" t="s">
        <v>65</v>
      </c>
      <c r="S42" s="69" t="s">
        <v>249</v>
      </c>
      <c r="T42" s="11" t="s">
        <v>109</v>
      </c>
      <c r="U42" s="212">
        <v>46150</v>
      </c>
      <c r="V42" s="53" t="s">
        <v>250</v>
      </c>
      <c r="W42" s="83" t="s">
        <v>40</v>
      </c>
      <c r="X42" s="14">
        <v>46155</v>
      </c>
      <c r="Y42" s="14">
        <v>46156</v>
      </c>
      <c r="Z42" s="15">
        <v>145963</v>
      </c>
      <c r="AA42" s="149" t="s">
        <v>251</v>
      </c>
      <c r="AB42" s="10">
        <v>0</v>
      </c>
    </row>
    <row r="43" spans="1:28" ht="15.75" hidden="1" customHeight="1">
      <c r="A43" s="90">
        <v>29626</v>
      </c>
      <c r="B43" s="91">
        <v>1</v>
      </c>
      <c r="C43" s="195">
        <v>46111</v>
      </c>
      <c r="D43" s="91">
        <f t="shared" ca="1" si="0"/>
        <v>116</v>
      </c>
      <c r="E43" s="138" t="str">
        <f t="shared" si="1"/>
        <v>ADMITIDO</v>
      </c>
      <c r="F43" s="96" t="s">
        <v>42</v>
      </c>
      <c r="G43" s="19" t="s">
        <v>240</v>
      </c>
      <c r="H43" s="19" t="str">
        <f>W43</f>
        <v>ADMITIDO</v>
      </c>
      <c r="I43" s="19" t="str">
        <f>IF(W43="ADMITIDO","ADMITIDO",IF(W43="CANCELADA","CANCELADA",IF(H43="","",IFERROR(_xlfn.XLOOKUP(H43,Listas!I:I,Listas!J:J),"OUTROS"))))</f>
        <v>ADMITIDO</v>
      </c>
      <c r="J43" s="12" t="s">
        <v>44</v>
      </c>
      <c r="K43" s="11" t="s">
        <v>241</v>
      </c>
      <c r="L43" s="11" t="s">
        <v>242</v>
      </c>
      <c r="M43" s="11" t="s">
        <v>243</v>
      </c>
      <c r="N43" s="11" t="s">
        <v>34</v>
      </c>
      <c r="O43" s="11" t="s">
        <v>72</v>
      </c>
      <c r="P43" s="11" t="s">
        <v>244</v>
      </c>
      <c r="Q43" s="108" t="s">
        <v>252</v>
      </c>
      <c r="R43" s="13"/>
      <c r="S43" s="13" t="s">
        <v>253</v>
      </c>
      <c r="T43" s="11" t="s">
        <v>132</v>
      </c>
      <c r="U43" s="202">
        <v>46135</v>
      </c>
      <c r="V43" s="41" t="s">
        <v>254</v>
      </c>
      <c r="W43" s="23" t="s">
        <v>40</v>
      </c>
      <c r="X43" s="14">
        <v>46139</v>
      </c>
      <c r="Y43" s="14">
        <v>46141</v>
      </c>
      <c r="Z43" s="15">
        <v>145894</v>
      </c>
      <c r="AB43" s="10">
        <v>0</v>
      </c>
    </row>
    <row r="44" spans="1:28" ht="15.75" hidden="1" customHeight="1">
      <c r="A44" s="90">
        <v>29624</v>
      </c>
      <c r="B44" s="91">
        <v>1</v>
      </c>
      <c r="C44" s="195">
        <v>46111</v>
      </c>
      <c r="D44" s="91">
        <f t="shared" ca="1" si="0"/>
        <v>116</v>
      </c>
      <c r="E44" s="139" t="str">
        <f t="shared" si="1"/>
        <v>CANCELADA</v>
      </c>
      <c r="F44" s="96" t="s">
        <v>42</v>
      </c>
      <c r="G44" s="19" t="s">
        <v>60</v>
      </c>
      <c r="H44" s="83" t="s">
        <v>52</v>
      </c>
      <c r="I44" s="19" t="str">
        <f>IF(W44="ADMITIDO","ADMITIDO",IF(W44="CANCELADA","CANCELADA",IF(H44="","",IFERROR(_xlfn.XLOOKUP(H44,Listas!I:I,Listas!J:J),"OUTROS"))))</f>
        <v>CANCELADA</v>
      </c>
      <c r="J44" s="12" t="s">
        <v>53</v>
      </c>
      <c r="K44" s="11" t="s">
        <v>61</v>
      </c>
      <c r="L44" s="11" t="s">
        <v>255</v>
      </c>
      <c r="M44" s="11" t="s">
        <v>63</v>
      </c>
      <c r="N44" s="11" t="s">
        <v>34</v>
      </c>
      <c r="O44" s="11" t="s">
        <v>219</v>
      </c>
      <c r="P44" s="11" t="s">
        <v>73</v>
      </c>
      <c r="Q44" s="114" t="s">
        <v>256</v>
      </c>
      <c r="R44" s="13" t="s">
        <v>65</v>
      </c>
      <c r="S44" s="13" t="s">
        <v>257</v>
      </c>
      <c r="W44" s="23" t="s">
        <v>52</v>
      </c>
      <c r="Z44" s="15"/>
      <c r="AA44" s="149" t="s">
        <v>258</v>
      </c>
      <c r="AB44" s="10">
        <v>0</v>
      </c>
    </row>
    <row r="45" spans="1:28" ht="15.75" hidden="1" customHeight="1">
      <c r="A45" s="92">
        <v>29625</v>
      </c>
      <c r="B45" s="91">
        <v>1</v>
      </c>
      <c r="C45" s="195">
        <v>46111</v>
      </c>
      <c r="D45" s="91">
        <f t="shared" ca="1" si="0"/>
        <v>116</v>
      </c>
      <c r="E45" s="138" t="str">
        <f t="shared" ca="1" si="1"/>
        <v>CRÍTICO</v>
      </c>
      <c r="F45" s="96" t="s">
        <v>42</v>
      </c>
      <c r="G45" s="19" t="s">
        <v>60</v>
      </c>
      <c r="H45" s="19" t="s">
        <v>259</v>
      </c>
      <c r="I45" s="19" t="str">
        <f>IF(W45="ADMITIDO","ADMITIDO",IF(W45="CANCELADA","CANCELADA",IF(H45="","",IFERROR(_xlfn.XLOOKUP(H45,Listas!I:I,Listas!J:J),"OUTROS"))))</f>
        <v>TRIAGEM</v>
      </c>
      <c r="J45" s="12" t="s">
        <v>53</v>
      </c>
      <c r="K45" s="11" t="s">
        <v>61</v>
      </c>
      <c r="L45" s="11" t="s">
        <v>62</v>
      </c>
      <c r="M45" s="11" t="s">
        <v>63</v>
      </c>
      <c r="N45" s="11" t="s">
        <v>34</v>
      </c>
      <c r="O45" s="11" t="s">
        <v>57</v>
      </c>
      <c r="P45" s="11" t="s">
        <v>64</v>
      </c>
      <c r="Q45" s="108" t="s">
        <v>260</v>
      </c>
      <c r="R45" s="13"/>
      <c r="S45" s="13"/>
      <c r="Z45" s="15"/>
      <c r="AA45" s="149" t="s">
        <v>261</v>
      </c>
      <c r="AB45" s="10">
        <v>0</v>
      </c>
    </row>
    <row r="46" spans="1:28" ht="15.75" hidden="1" customHeight="1">
      <c r="A46" s="90">
        <v>29630</v>
      </c>
      <c r="B46" s="91">
        <v>1</v>
      </c>
      <c r="C46" s="195">
        <v>46111</v>
      </c>
      <c r="D46" s="91">
        <f t="shared" ca="1" si="0"/>
        <v>116</v>
      </c>
      <c r="E46" s="138" t="str">
        <f t="shared" si="1"/>
        <v>ADMITIDO</v>
      </c>
      <c r="F46" s="96" t="s">
        <v>42</v>
      </c>
      <c r="G46" s="19" t="s">
        <v>102</v>
      </c>
      <c r="H46" s="19" t="str">
        <f>W46</f>
        <v>ADMITIDO</v>
      </c>
      <c r="I46" s="51" t="str">
        <f>IF(W46="ADMITIDO","ADMITIDO",IF(W46="CANCELADA","CANCELADA",IF(H46="","",IFERROR(_xlfn.XLOOKUP(H46,Listas!I:I,Listas!J:J),"OUTROS"))))</f>
        <v>ADMITIDO</v>
      </c>
      <c r="J46" s="12" t="s">
        <v>53</v>
      </c>
      <c r="K46" s="11" t="s">
        <v>103</v>
      </c>
      <c r="L46" s="11" t="s">
        <v>194</v>
      </c>
      <c r="M46" s="11" t="s">
        <v>63</v>
      </c>
      <c r="N46" s="11" t="s">
        <v>34</v>
      </c>
      <c r="O46" s="11" t="s">
        <v>219</v>
      </c>
      <c r="P46" s="11" t="s">
        <v>238</v>
      </c>
      <c r="Q46" s="114" t="s">
        <v>262</v>
      </c>
      <c r="R46" s="13" t="s">
        <v>107</v>
      </c>
      <c r="S46" s="13" t="s">
        <v>263</v>
      </c>
      <c r="T46" s="11" t="s">
        <v>67</v>
      </c>
      <c r="U46" s="202">
        <v>46136</v>
      </c>
      <c r="V46" s="41" t="s">
        <v>264</v>
      </c>
      <c r="W46" s="23" t="s">
        <v>40</v>
      </c>
      <c r="X46" s="14">
        <v>46141</v>
      </c>
      <c r="Y46" s="14">
        <v>46142</v>
      </c>
      <c r="Z46" s="15">
        <v>914202</v>
      </c>
      <c r="AA46" s="149" t="s">
        <v>265</v>
      </c>
      <c r="AB46" s="10">
        <v>0</v>
      </c>
    </row>
    <row r="47" spans="1:28" ht="15.75" hidden="1" customHeight="1">
      <c r="A47" s="92">
        <v>29662</v>
      </c>
      <c r="B47" s="91">
        <v>1</v>
      </c>
      <c r="C47" s="195">
        <v>46112</v>
      </c>
      <c r="D47" s="91">
        <f t="shared" ca="1" si="0"/>
        <v>115</v>
      </c>
      <c r="E47" s="138" t="str">
        <f t="shared" si="1"/>
        <v>ADMITIDO</v>
      </c>
      <c r="F47" s="96" t="s">
        <v>42</v>
      </c>
      <c r="G47" s="19" t="s">
        <v>29</v>
      </c>
      <c r="H47" s="19" t="s">
        <v>40</v>
      </c>
      <c r="I47" s="19" t="str">
        <f>IF(W47="ADMITIDO","ADMITIDO",IF(W47="CANCELADA","CANCELADA",IF(H47="","",IFERROR(_xlfn.XLOOKUP(H47,Listas!I:I,Listas!J:J),"OUTROS"))))</f>
        <v>ADMITIDO</v>
      </c>
      <c r="J47" s="60" t="s">
        <v>227</v>
      </c>
      <c r="K47" s="11" t="s">
        <v>228</v>
      </c>
      <c r="L47" s="11" t="s">
        <v>229</v>
      </c>
      <c r="M47" s="11" t="s">
        <v>88</v>
      </c>
      <c r="N47" s="11" t="s">
        <v>34</v>
      </c>
      <c r="O47" s="11" t="s">
        <v>35</v>
      </c>
      <c r="P47" s="11" t="s">
        <v>266</v>
      </c>
      <c r="Q47" s="108"/>
      <c r="R47" s="13"/>
      <c r="S47" s="13"/>
      <c r="T47" s="11" t="s">
        <v>38</v>
      </c>
      <c r="U47" s="202">
        <v>46139</v>
      </c>
      <c r="V47" s="41" t="s">
        <v>267</v>
      </c>
      <c r="W47" s="11" t="s">
        <v>40</v>
      </c>
      <c r="X47" s="14">
        <v>46146</v>
      </c>
      <c r="Y47" s="14">
        <v>46147</v>
      </c>
      <c r="Z47" s="15">
        <v>1455916</v>
      </c>
      <c r="AA47" s="45"/>
      <c r="AB47" s="10">
        <v>0</v>
      </c>
    </row>
    <row r="48" spans="1:28" ht="15.75" hidden="1" customHeight="1">
      <c r="A48" s="92">
        <v>29655</v>
      </c>
      <c r="B48" s="91">
        <v>1</v>
      </c>
      <c r="C48" s="195">
        <v>46112</v>
      </c>
      <c r="D48" s="91">
        <f t="shared" ca="1" si="0"/>
        <v>115</v>
      </c>
      <c r="E48" s="138" t="str">
        <f t="shared" si="1"/>
        <v>ADMITIDO</v>
      </c>
      <c r="F48" s="96" t="s">
        <v>28</v>
      </c>
      <c r="G48" s="19" t="s">
        <v>29</v>
      </c>
      <c r="H48" s="19" t="s">
        <v>40</v>
      </c>
      <c r="I48" s="19" t="str">
        <f>IF(W48="ADMITIDO","ADMITIDO",IF(W48="CANCELADA","CANCELADA",IF(H48="","",IFERROR(_xlfn.XLOOKUP(H48,Listas!I:I,Listas!J:J),"OUTROS"))))</f>
        <v>ADMITIDO</v>
      </c>
      <c r="J48" s="60" t="s">
        <v>268</v>
      </c>
      <c r="K48" s="11" t="s">
        <v>31</v>
      </c>
      <c r="L48" s="11" t="s">
        <v>32</v>
      </c>
      <c r="M48" s="11" t="s">
        <v>33</v>
      </c>
      <c r="N48" s="11" t="s">
        <v>34</v>
      </c>
      <c r="O48" s="11" t="s">
        <v>35</v>
      </c>
      <c r="P48" s="11" t="s">
        <v>36</v>
      </c>
      <c r="Q48" s="108"/>
      <c r="R48" s="13"/>
      <c r="S48" s="13"/>
      <c r="T48" s="11" t="s">
        <v>38</v>
      </c>
      <c r="U48" s="202">
        <v>46141</v>
      </c>
      <c r="V48" s="41" t="s">
        <v>269</v>
      </c>
      <c r="W48" s="11" t="s">
        <v>40</v>
      </c>
      <c r="X48" s="14">
        <v>46146</v>
      </c>
      <c r="Y48" s="14">
        <v>46147</v>
      </c>
      <c r="Z48" s="15">
        <v>914211</v>
      </c>
      <c r="AB48" s="10">
        <v>0</v>
      </c>
    </row>
    <row r="49" spans="1:28" ht="15.75" hidden="1" customHeight="1">
      <c r="A49" s="92">
        <v>29639</v>
      </c>
      <c r="B49" s="91">
        <v>1</v>
      </c>
      <c r="C49" s="195">
        <v>46112</v>
      </c>
      <c r="D49" s="91">
        <f t="shared" ca="1" si="0"/>
        <v>115</v>
      </c>
      <c r="E49" s="139" t="str">
        <f t="shared" si="1"/>
        <v>CANCELADA</v>
      </c>
      <c r="F49" s="96" t="s">
        <v>42</v>
      </c>
      <c r="G49" s="19" t="s">
        <v>69</v>
      </c>
      <c r="H49" s="139" t="s">
        <v>52</v>
      </c>
      <c r="I49" s="117" t="str">
        <f>IF(W49="ADMITIDO","ADMITIDO",IF(W49="CANCELADA","CANCELADA",IF(H49="","",IFERROR(_xlfn.XLOOKUP(H49,Listas!I:I,Listas!J:J),"OUTROS"))))</f>
        <v>CANCELADA</v>
      </c>
      <c r="J49" s="12" t="s">
        <v>53</v>
      </c>
      <c r="K49" s="11" t="s">
        <v>158</v>
      </c>
      <c r="L49" s="11" t="s">
        <v>270</v>
      </c>
      <c r="M49" s="11" t="s">
        <v>63</v>
      </c>
      <c r="N49" s="11" t="s">
        <v>34</v>
      </c>
      <c r="O49" s="11" t="s">
        <v>72</v>
      </c>
      <c r="P49" s="11" t="s">
        <v>73</v>
      </c>
      <c r="Q49" s="108" t="s">
        <v>271</v>
      </c>
      <c r="R49" s="13"/>
      <c r="S49" s="13"/>
      <c r="W49" s="23" t="s">
        <v>52</v>
      </c>
      <c r="Z49" s="15"/>
      <c r="AA49" s="149" t="s">
        <v>272</v>
      </c>
      <c r="AB49" s="10">
        <v>0</v>
      </c>
    </row>
    <row r="50" spans="1:28" ht="15.75" hidden="1" customHeight="1">
      <c r="A50" s="92">
        <v>29648</v>
      </c>
      <c r="B50" s="91">
        <v>1</v>
      </c>
      <c r="C50" s="195">
        <v>46112</v>
      </c>
      <c r="D50" s="91">
        <f t="shared" ca="1" si="0"/>
        <v>115</v>
      </c>
      <c r="E50" s="138" t="str">
        <f t="shared" si="1"/>
        <v>ADMITIDO</v>
      </c>
      <c r="F50" s="96" t="s">
        <v>42</v>
      </c>
      <c r="G50" s="19" t="s">
        <v>102</v>
      </c>
      <c r="H50" s="19" t="str">
        <f>W50</f>
        <v>ADMITIDO</v>
      </c>
      <c r="I50" s="19" t="str">
        <f>IF(W50="ADMITIDO","ADMITIDO",IF(W50="CANCELADA","CANCELADA",IF(H50="","",IFERROR(_xlfn.XLOOKUP(H50,Listas!I:I,Listas!J:J),"OUTROS"))))</f>
        <v>ADMITIDO</v>
      </c>
      <c r="J50" s="12" t="s">
        <v>53</v>
      </c>
      <c r="K50" s="11" t="s">
        <v>103</v>
      </c>
      <c r="L50" s="11" t="s">
        <v>273</v>
      </c>
      <c r="M50" s="11" t="s">
        <v>274</v>
      </c>
      <c r="N50" s="11" t="s">
        <v>34</v>
      </c>
      <c r="O50" s="11" t="s">
        <v>48</v>
      </c>
      <c r="P50" s="11" t="s">
        <v>275</v>
      </c>
      <c r="Q50" s="108" t="s">
        <v>276</v>
      </c>
      <c r="R50" s="13"/>
      <c r="S50" s="13"/>
      <c r="T50" s="11" t="s">
        <v>67</v>
      </c>
      <c r="U50" s="202" t="s">
        <v>277</v>
      </c>
      <c r="V50" s="41" t="s">
        <v>278</v>
      </c>
      <c r="W50" s="23" t="s">
        <v>40</v>
      </c>
      <c r="X50" s="14">
        <v>46132</v>
      </c>
      <c r="Y50" s="14">
        <v>46134</v>
      </c>
      <c r="Z50" s="15">
        <v>145866</v>
      </c>
      <c r="AB50" s="10">
        <v>0</v>
      </c>
    </row>
    <row r="51" spans="1:28" ht="15.75" hidden="1" customHeight="1">
      <c r="A51" s="92">
        <v>29657</v>
      </c>
      <c r="B51" s="91">
        <v>1</v>
      </c>
      <c r="C51" s="195">
        <v>46112</v>
      </c>
      <c r="D51" s="91">
        <f t="shared" ca="1" si="0"/>
        <v>115</v>
      </c>
      <c r="E51" s="138" t="str">
        <f t="shared" ca="1" si="1"/>
        <v>CRÍTICO</v>
      </c>
      <c r="F51" s="96" t="s">
        <v>42</v>
      </c>
      <c r="G51" s="19" t="s">
        <v>102</v>
      </c>
      <c r="H51" s="19" t="s">
        <v>279</v>
      </c>
      <c r="I51" s="19" t="str">
        <f>IF(W51="ADMITIDO","ADMITIDO",IF(W51="CANCELADA","CANCELADA",IF(H51="","",IFERROR(_xlfn.XLOOKUP(H51,Listas!I:I,Listas!J:J),"OUTROS"))))</f>
        <v>DOCUMENTAÇÃO</v>
      </c>
      <c r="J51" s="12" t="s">
        <v>44</v>
      </c>
      <c r="K51" s="11" t="s">
        <v>280</v>
      </c>
      <c r="L51" s="11" t="s">
        <v>281</v>
      </c>
      <c r="M51" s="11" t="s">
        <v>63</v>
      </c>
      <c r="N51" s="11" t="s">
        <v>34</v>
      </c>
      <c r="O51" s="11" t="s">
        <v>57</v>
      </c>
      <c r="P51" s="11" t="s">
        <v>98</v>
      </c>
      <c r="Q51" s="108" t="s">
        <v>282</v>
      </c>
      <c r="R51" s="13" t="s">
        <v>107</v>
      </c>
      <c r="S51" s="13"/>
      <c r="T51" s="11" t="s">
        <v>132</v>
      </c>
      <c r="U51" s="202">
        <v>46148</v>
      </c>
      <c r="V51" s="49" t="s">
        <v>283</v>
      </c>
      <c r="W51" s="123" t="s">
        <v>284</v>
      </c>
      <c r="Z51" s="15"/>
      <c r="AB51" s="10">
        <v>0</v>
      </c>
    </row>
    <row r="52" spans="1:28" ht="15.75" hidden="1" customHeight="1">
      <c r="A52" s="90">
        <v>29643</v>
      </c>
      <c r="B52" s="91">
        <v>1</v>
      </c>
      <c r="C52" s="195">
        <v>46112</v>
      </c>
      <c r="D52" s="91">
        <f t="shared" ca="1" si="0"/>
        <v>115</v>
      </c>
      <c r="E52" s="138" t="str">
        <f t="shared" si="1"/>
        <v>ADMITIDO</v>
      </c>
      <c r="F52" s="96" t="s">
        <v>28</v>
      </c>
      <c r="G52" s="19" t="s">
        <v>43</v>
      </c>
      <c r="H52" s="19" t="str">
        <f>W52</f>
        <v>ADMITIDO</v>
      </c>
      <c r="I52" s="19" t="str">
        <f>IF(W52="ADMITIDO","ADMITIDO",IF(W52="CANCELADA","CANCELADA",IF(H52="","",IFERROR(_xlfn.XLOOKUP(H52,Listas!I:I,Listas!J:J),"OUTROS"))))</f>
        <v>ADMITIDO</v>
      </c>
      <c r="J52" s="12" t="s">
        <v>146</v>
      </c>
      <c r="K52" s="11" t="s">
        <v>285</v>
      </c>
      <c r="L52" s="11" t="s">
        <v>286</v>
      </c>
      <c r="M52" s="11" t="s">
        <v>33</v>
      </c>
      <c r="N52" s="11" t="s">
        <v>34</v>
      </c>
      <c r="O52" s="11" t="s">
        <v>35</v>
      </c>
      <c r="P52" s="11" t="s">
        <v>287</v>
      </c>
      <c r="Q52" s="108"/>
      <c r="R52" s="13"/>
      <c r="S52" s="17">
        <v>11984950081</v>
      </c>
      <c r="T52" s="11" t="s">
        <v>50</v>
      </c>
      <c r="U52" s="213">
        <v>46135</v>
      </c>
      <c r="V52" s="49" t="s">
        <v>288</v>
      </c>
      <c r="W52" s="23" t="s">
        <v>40</v>
      </c>
      <c r="X52" s="77">
        <v>46141</v>
      </c>
      <c r="Y52" s="48">
        <v>46142</v>
      </c>
      <c r="Z52" s="50">
        <v>914186</v>
      </c>
      <c r="AA52" s="152"/>
      <c r="AB52" s="10">
        <v>0</v>
      </c>
    </row>
    <row r="53" spans="1:28" ht="15.75" hidden="1" customHeight="1">
      <c r="A53" s="90">
        <v>29633</v>
      </c>
      <c r="B53" s="91">
        <v>1</v>
      </c>
      <c r="C53" s="195">
        <v>46112</v>
      </c>
      <c r="D53" s="91">
        <f t="shared" ca="1" si="0"/>
        <v>115</v>
      </c>
      <c r="E53" s="138" t="str">
        <f t="shared" ca="1" si="1"/>
        <v>CRÍTICO</v>
      </c>
      <c r="F53" s="96" t="s">
        <v>42</v>
      </c>
      <c r="G53" s="19" t="s">
        <v>43</v>
      </c>
      <c r="H53" s="19" t="s">
        <v>279</v>
      </c>
      <c r="I53" s="19" t="str">
        <f>IF(W53="ADMITIDO","ADMITIDO",IF(W53="CANCELADA","CANCELADA",IF(H53="","",IFERROR(_xlfn.XLOOKUP(H53,Listas!I:I,Listas!J:J),"OUTROS"))))</f>
        <v>DOCUMENTAÇÃO</v>
      </c>
      <c r="J53" s="12" t="s">
        <v>53</v>
      </c>
      <c r="K53" s="11" t="s">
        <v>189</v>
      </c>
      <c r="L53" s="21" t="s">
        <v>289</v>
      </c>
      <c r="M53" s="11" t="s">
        <v>33</v>
      </c>
      <c r="N53" s="11" t="s">
        <v>34</v>
      </c>
      <c r="O53" s="11" t="s">
        <v>48</v>
      </c>
      <c r="P53" s="11" t="s">
        <v>290</v>
      </c>
      <c r="Q53" s="108" t="s">
        <v>291</v>
      </c>
      <c r="R53" s="13"/>
      <c r="S53" s="17">
        <v>11912384302</v>
      </c>
      <c r="T53" s="11" t="s">
        <v>67</v>
      </c>
      <c r="U53" s="213">
        <v>46150</v>
      </c>
      <c r="V53" s="41" t="s">
        <v>292</v>
      </c>
      <c r="W53" s="206" t="s">
        <v>188</v>
      </c>
      <c r="X53" s="14">
        <v>46160</v>
      </c>
      <c r="Y53" s="14" t="s">
        <v>293</v>
      </c>
      <c r="Z53" s="15">
        <v>145966</v>
      </c>
      <c r="AA53" s="45"/>
      <c r="AB53" s="10">
        <v>0</v>
      </c>
    </row>
    <row r="54" spans="1:28" s="33" customFormat="1" ht="15.75" hidden="1" customHeight="1">
      <c r="A54" s="90">
        <v>29668</v>
      </c>
      <c r="B54" s="95">
        <v>1</v>
      </c>
      <c r="C54" s="196">
        <v>46113</v>
      </c>
      <c r="D54" s="95">
        <f ca="1">TODAY()-C54</f>
        <v>114</v>
      </c>
      <c r="E54" s="138" t="str">
        <f t="shared" si="1"/>
        <v>ADMITIDO</v>
      </c>
      <c r="F54" s="96" t="s">
        <v>28</v>
      </c>
      <c r="G54" s="19" t="s">
        <v>69</v>
      </c>
      <c r="H54" s="19" t="str">
        <f>W54</f>
        <v>ADMITIDO</v>
      </c>
      <c r="I54" s="19" t="str">
        <f>IF(W54="ADMITIDO","ADMITIDO",IF(W54="CANCELADA","CANCELADA",IF(H54="","",IFERROR(_xlfn.XLOOKUP(H54,Listas!I:I,Listas!J:J),"OUTROS"))))</f>
        <v>ADMITIDO</v>
      </c>
      <c r="J54" s="28" t="s">
        <v>268</v>
      </c>
      <c r="K54" s="19" t="s">
        <v>173</v>
      </c>
      <c r="L54" s="19"/>
      <c r="M54" s="19" t="s">
        <v>33</v>
      </c>
      <c r="N54" s="19" t="s">
        <v>56</v>
      </c>
      <c r="O54" s="19" t="s">
        <v>35</v>
      </c>
      <c r="P54" s="19" t="s">
        <v>176</v>
      </c>
      <c r="Q54" s="109"/>
      <c r="R54" s="29" t="s">
        <v>65</v>
      </c>
      <c r="S54" s="30"/>
      <c r="T54" s="19" t="s">
        <v>76</v>
      </c>
      <c r="U54" s="214">
        <v>46136</v>
      </c>
      <c r="V54" s="127" t="s">
        <v>294</v>
      </c>
      <c r="W54" s="59" t="s">
        <v>40</v>
      </c>
      <c r="X54" s="78">
        <v>46140</v>
      </c>
      <c r="Y54" s="79">
        <v>46141</v>
      </c>
      <c r="Z54" s="80">
        <v>914187</v>
      </c>
      <c r="AA54" s="153"/>
      <c r="AB54" s="10">
        <v>0</v>
      </c>
    </row>
    <row r="55" spans="1:28" ht="15.75" hidden="1" customHeight="1">
      <c r="A55" s="90">
        <v>29602</v>
      </c>
      <c r="B55" s="91">
        <v>1</v>
      </c>
      <c r="C55" s="195">
        <v>46113</v>
      </c>
      <c r="D55" s="91">
        <f t="shared" ca="1" si="0"/>
        <v>114</v>
      </c>
      <c r="E55" s="138" t="str">
        <f t="shared" si="1"/>
        <v>ADMITIDO</v>
      </c>
      <c r="F55" s="96" t="s">
        <v>42</v>
      </c>
      <c r="G55" s="19" t="s">
        <v>29</v>
      </c>
      <c r="H55" s="117" t="str">
        <f>W55</f>
        <v>ADMITIDO</v>
      </c>
      <c r="I55" s="19" t="str">
        <f>IF(W55="ADMITIDO","ADMITIDO",IF(W55="CANCELADA","CANCELADA",IF(H55="","",IFERROR(_xlfn.XLOOKUP(H55,Listas!I:I,Listas!J:J),"OUTROS"))))</f>
        <v>ADMITIDO</v>
      </c>
      <c r="J55" s="12" t="s">
        <v>53</v>
      </c>
      <c r="K55" s="11" t="s">
        <v>54</v>
      </c>
      <c r="L55" s="11" t="s">
        <v>55</v>
      </c>
      <c r="M55" s="11" t="s">
        <v>33</v>
      </c>
      <c r="N55" s="11" t="s">
        <v>34</v>
      </c>
      <c r="O55" s="11" t="s">
        <v>35</v>
      </c>
      <c r="P55" s="11" t="s">
        <v>36</v>
      </c>
      <c r="Q55" s="108"/>
      <c r="R55" s="13"/>
      <c r="S55" s="13" t="s">
        <v>295</v>
      </c>
      <c r="T55" s="11" t="s">
        <v>38</v>
      </c>
      <c r="U55" s="202">
        <v>46147</v>
      </c>
      <c r="V55" s="53" t="s">
        <v>296</v>
      </c>
      <c r="W55" s="75" t="s">
        <v>40</v>
      </c>
      <c r="X55" s="14">
        <v>46150</v>
      </c>
      <c r="Y55" s="14">
        <v>46151</v>
      </c>
      <c r="Z55" s="15">
        <v>145934</v>
      </c>
      <c r="AA55" s="45"/>
      <c r="AB55" s="10">
        <v>0</v>
      </c>
    </row>
    <row r="56" spans="1:28" ht="15.75" hidden="1" customHeight="1">
      <c r="A56" s="90">
        <v>29609</v>
      </c>
      <c r="B56" s="91">
        <v>1</v>
      </c>
      <c r="C56" s="195">
        <v>46113</v>
      </c>
      <c r="D56" s="91">
        <f t="shared" ca="1" si="0"/>
        <v>114</v>
      </c>
      <c r="E56" s="138" t="str">
        <f t="shared" si="1"/>
        <v>ADMITIDO</v>
      </c>
      <c r="F56" s="96" t="s">
        <v>42</v>
      </c>
      <c r="G56" s="19" t="s">
        <v>102</v>
      </c>
      <c r="H56" s="19" t="str">
        <f>W56</f>
        <v>ADMITIDO</v>
      </c>
      <c r="I56" s="19" t="str">
        <f>IF(W56="ADMITIDO","ADMITIDO",IF(W56="CANCELADA","CANCELADA",IF(H56="","",IFERROR(_xlfn.XLOOKUP(H56,Listas!I:I,Listas!J:J),"OUTROS"))))</f>
        <v>ADMITIDO</v>
      </c>
      <c r="J56" s="12" t="s">
        <v>53</v>
      </c>
      <c r="K56" s="11" t="s">
        <v>103</v>
      </c>
      <c r="L56" s="11" t="s">
        <v>297</v>
      </c>
      <c r="M56" s="11" t="s">
        <v>33</v>
      </c>
      <c r="N56" s="11" t="s">
        <v>34</v>
      </c>
      <c r="O56" s="11" t="s">
        <v>57</v>
      </c>
      <c r="P56" s="11" t="s">
        <v>98</v>
      </c>
      <c r="Q56" s="108" t="s">
        <v>298</v>
      </c>
      <c r="R56" s="13"/>
      <c r="S56" s="13"/>
      <c r="T56" s="11" t="s">
        <v>76</v>
      </c>
      <c r="U56" s="202">
        <v>46132</v>
      </c>
      <c r="V56" s="41" t="s">
        <v>299</v>
      </c>
      <c r="W56" s="23" t="s">
        <v>40</v>
      </c>
      <c r="X56" s="14">
        <v>46139</v>
      </c>
      <c r="Y56" s="14">
        <v>46140</v>
      </c>
      <c r="Z56" s="15">
        <v>145890</v>
      </c>
      <c r="AB56" s="10">
        <v>0</v>
      </c>
    </row>
    <row r="57" spans="1:28" ht="15.75" hidden="1" customHeight="1">
      <c r="A57" s="92">
        <v>29649</v>
      </c>
      <c r="B57" s="91">
        <v>1</v>
      </c>
      <c r="C57" s="195">
        <v>46113</v>
      </c>
      <c r="D57" s="91">
        <f t="shared" ca="1" si="0"/>
        <v>114</v>
      </c>
      <c r="E57" s="138" t="str">
        <f t="shared" ca="1" si="1"/>
        <v>CRÍTICO</v>
      </c>
      <c r="F57" s="96" t="s">
        <v>42</v>
      </c>
      <c r="G57" s="19" t="s">
        <v>145</v>
      </c>
      <c r="H57" s="19" t="s">
        <v>259</v>
      </c>
      <c r="I57" s="19" t="str">
        <f>IF(W57="ADMITIDO","ADMITIDO",IF(W57="CANCELADA","CANCELADA",IF(H57="","",IFERROR(_xlfn.XLOOKUP(H57,Listas!I:I,Listas!J:J),"OUTROS"))))</f>
        <v>TRIAGEM</v>
      </c>
      <c r="J57" s="12" t="s">
        <v>53</v>
      </c>
      <c r="K57" s="11" t="s">
        <v>103</v>
      </c>
      <c r="L57" s="11" t="s">
        <v>104</v>
      </c>
      <c r="M57" s="11" t="s">
        <v>33</v>
      </c>
      <c r="N57" s="11" t="s">
        <v>34</v>
      </c>
      <c r="O57" s="11" t="s">
        <v>48</v>
      </c>
      <c r="P57" s="11" t="s">
        <v>49</v>
      </c>
      <c r="Q57" s="108"/>
      <c r="R57" s="13"/>
      <c r="S57" s="13"/>
      <c r="Z57" s="15"/>
      <c r="AB57" s="10">
        <v>0</v>
      </c>
    </row>
    <row r="58" spans="1:28" ht="15.75" hidden="1" customHeight="1">
      <c r="A58" s="90">
        <v>29689</v>
      </c>
      <c r="B58" s="91">
        <v>1</v>
      </c>
      <c r="C58" s="195">
        <v>46113</v>
      </c>
      <c r="D58" s="91">
        <f t="shared" ca="1" si="0"/>
        <v>114</v>
      </c>
      <c r="E58" s="138" t="str">
        <f t="shared" si="1"/>
        <v>ADMITIDO</v>
      </c>
      <c r="F58" s="96" t="s">
        <v>42</v>
      </c>
      <c r="G58" s="19" t="s">
        <v>240</v>
      </c>
      <c r="H58" s="19" t="str">
        <f>W58</f>
        <v>ADMITIDO</v>
      </c>
      <c r="I58" s="19" t="str">
        <f>IF(W58="ADMITIDO","ADMITIDO",IF(W58="CANCELADA","CANCELADA",IF(H58="","",IFERROR(_xlfn.XLOOKUP(H58,Listas!I:I,Listas!J:J),"OUTROS"))))</f>
        <v>ADMITIDO</v>
      </c>
      <c r="J58" s="12" t="s">
        <v>53</v>
      </c>
      <c r="K58" s="11" t="s">
        <v>241</v>
      </c>
      <c r="L58" s="11" t="s">
        <v>300</v>
      </c>
      <c r="M58" s="11" t="s">
        <v>33</v>
      </c>
      <c r="N58" s="11" t="s">
        <v>34</v>
      </c>
      <c r="O58" s="11" t="s">
        <v>57</v>
      </c>
      <c r="P58" s="11" t="s">
        <v>231</v>
      </c>
      <c r="Q58" s="108" t="s">
        <v>301</v>
      </c>
      <c r="R58" s="13"/>
      <c r="S58" s="13" t="s">
        <v>302</v>
      </c>
      <c r="T58" s="11" t="s">
        <v>132</v>
      </c>
      <c r="U58" s="202">
        <v>46135</v>
      </c>
      <c r="V58" s="41" t="s">
        <v>303</v>
      </c>
      <c r="W58" s="23" t="s">
        <v>40</v>
      </c>
      <c r="X58" s="31">
        <v>46140</v>
      </c>
      <c r="Y58" s="31">
        <v>46141</v>
      </c>
      <c r="Z58" s="15">
        <v>145901</v>
      </c>
      <c r="AA58" s="149" t="s">
        <v>304</v>
      </c>
      <c r="AB58" s="10">
        <v>0</v>
      </c>
    </row>
    <row r="59" spans="1:28" ht="15.75" hidden="1" customHeight="1">
      <c r="A59" s="90">
        <v>29604</v>
      </c>
      <c r="B59" s="91">
        <v>1</v>
      </c>
      <c r="C59" s="195">
        <v>46113</v>
      </c>
      <c r="D59" s="91">
        <f t="shared" ca="1" si="0"/>
        <v>114</v>
      </c>
      <c r="E59" s="138" t="str">
        <f t="shared" si="1"/>
        <v>ADMITIDO</v>
      </c>
      <c r="F59" s="96" t="s">
        <v>42</v>
      </c>
      <c r="G59" s="19" t="s">
        <v>29</v>
      </c>
      <c r="H59" s="117" t="s">
        <v>40</v>
      </c>
      <c r="I59" s="19" t="str">
        <f>IF(W59="ADMITIDO","ADMITIDO",IF(W59="CANCELADA","CANCELADA",IF(H59="","",IFERROR(_xlfn.XLOOKUP(H59,Listas!I:I,Listas!J:J),"OUTROS"))))</f>
        <v>ADMITIDO</v>
      </c>
      <c r="J59" s="12" t="s">
        <v>53</v>
      </c>
      <c r="K59" s="11" t="s">
        <v>54</v>
      </c>
      <c r="L59" s="11" t="s">
        <v>164</v>
      </c>
      <c r="M59" s="11" t="s">
        <v>88</v>
      </c>
      <c r="N59" s="11" t="s">
        <v>34</v>
      </c>
      <c r="O59" s="11" t="s">
        <v>57</v>
      </c>
      <c r="P59" s="11" t="s">
        <v>94</v>
      </c>
      <c r="Q59" s="108"/>
      <c r="R59" s="13"/>
      <c r="S59" s="13"/>
      <c r="T59" s="11" t="s">
        <v>38</v>
      </c>
      <c r="U59" s="202">
        <v>46154</v>
      </c>
      <c r="V59" s="41" t="s">
        <v>305</v>
      </c>
      <c r="W59" s="59" t="s">
        <v>40</v>
      </c>
      <c r="X59" s="14">
        <v>46157</v>
      </c>
      <c r="Y59" s="14">
        <v>46158</v>
      </c>
      <c r="Z59" s="15">
        <v>145944</v>
      </c>
      <c r="AA59" s="149" t="s">
        <v>306</v>
      </c>
      <c r="AB59" s="10">
        <v>0</v>
      </c>
    </row>
    <row r="60" spans="1:28" ht="15.75" hidden="1" customHeight="1">
      <c r="A60" s="92">
        <v>29684</v>
      </c>
      <c r="B60" s="91">
        <v>1</v>
      </c>
      <c r="C60" s="195">
        <v>46113</v>
      </c>
      <c r="D60" s="91">
        <f t="shared" ca="1" si="0"/>
        <v>114</v>
      </c>
      <c r="E60" s="139" t="str">
        <f t="shared" si="1"/>
        <v>CANCELADA</v>
      </c>
      <c r="F60" s="96" t="s">
        <v>42</v>
      </c>
      <c r="G60" s="19" t="s">
        <v>240</v>
      </c>
      <c r="H60" s="83" t="s">
        <v>52</v>
      </c>
      <c r="I60" s="19" t="str">
        <f>IF(W60="ADMITIDO","ADMITIDO",IF(W60="CANCELADA","CANCELADA",IF(H60="","",IFERROR(_xlfn.XLOOKUP(H60,Listas!I:I,Listas!J:J),"OUTROS"))))</f>
        <v>CANCELADA</v>
      </c>
      <c r="J60" s="12" t="s">
        <v>44</v>
      </c>
      <c r="K60" s="11" t="s">
        <v>241</v>
      </c>
      <c r="L60" s="11" t="s">
        <v>307</v>
      </c>
      <c r="M60" s="11" t="s">
        <v>243</v>
      </c>
      <c r="N60" s="11" t="s">
        <v>34</v>
      </c>
      <c r="O60" s="11" t="s">
        <v>57</v>
      </c>
      <c r="P60" s="11" t="s">
        <v>308</v>
      </c>
      <c r="Q60" s="108"/>
      <c r="R60" s="13"/>
      <c r="S60" s="13"/>
      <c r="W60" s="23" t="s">
        <v>52</v>
      </c>
      <c r="Z60" s="15"/>
      <c r="AB60" s="10">
        <v>0</v>
      </c>
    </row>
    <row r="61" spans="1:28" ht="15.75" hidden="1" customHeight="1">
      <c r="A61" s="92">
        <v>29685</v>
      </c>
      <c r="B61" s="91">
        <v>1</v>
      </c>
      <c r="C61" s="195">
        <v>46113</v>
      </c>
      <c r="D61" s="91">
        <f t="shared" ca="1" si="0"/>
        <v>114</v>
      </c>
      <c r="E61" s="138" t="str">
        <f t="shared" si="1"/>
        <v>ADMITIDO</v>
      </c>
      <c r="F61" s="96" t="s">
        <v>42</v>
      </c>
      <c r="G61" s="19" t="s">
        <v>240</v>
      </c>
      <c r="H61" s="19" t="str">
        <f>W61</f>
        <v>ADMITIDO</v>
      </c>
      <c r="I61" s="19" t="str">
        <f>IF(W61="ADMITIDO","ADMITIDO",IF(W61="CANCELADA","CANCELADA",IF(H61="","",IFERROR(_xlfn.XLOOKUP(H61,Listas!I:I,Listas!J:J),"OUTROS"))))</f>
        <v>ADMITIDO</v>
      </c>
      <c r="J61" s="12" t="s">
        <v>44</v>
      </c>
      <c r="K61" s="11" t="s">
        <v>241</v>
      </c>
      <c r="L61" s="11" t="s">
        <v>307</v>
      </c>
      <c r="M61" s="11" t="s">
        <v>243</v>
      </c>
      <c r="N61" s="11" t="s">
        <v>34</v>
      </c>
      <c r="O61" s="11" t="s">
        <v>57</v>
      </c>
      <c r="P61" s="11" t="s">
        <v>309</v>
      </c>
      <c r="Q61" s="108"/>
      <c r="R61" s="13"/>
      <c r="S61" s="13" t="s">
        <v>310</v>
      </c>
      <c r="T61" s="11" t="s">
        <v>132</v>
      </c>
      <c r="U61" s="202">
        <v>46132</v>
      </c>
      <c r="V61" s="49" t="s">
        <v>311</v>
      </c>
      <c r="W61" s="44" t="s">
        <v>40</v>
      </c>
      <c r="X61" s="14">
        <v>46132</v>
      </c>
      <c r="Y61" s="14">
        <v>46134</v>
      </c>
      <c r="Z61" s="15">
        <v>145868</v>
      </c>
      <c r="AB61" s="10">
        <v>0</v>
      </c>
    </row>
    <row r="62" spans="1:28" ht="15.75" hidden="1" customHeight="1">
      <c r="A62" s="92">
        <v>29671</v>
      </c>
      <c r="B62" s="91">
        <v>1</v>
      </c>
      <c r="C62" s="195">
        <v>46113</v>
      </c>
      <c r="D62" s="91">
        <f t="shared" ca="1" si="0"/>
        <v>114</v>
      </c>
      <c r="E62" s="138" t="str">
        <f t="shared" si="1"/>
        <v>ADMITIDO</v>
      </c>
      <c r="F62" s="96" t="s">
        <v>42</v>
      </c>
      <c r="G62" s="19" t="s">
        <v>240</v>
      </c>
      <c r="H62" s="19" t="s">
        <v>40</v>
      </c>
      <c r="I62" s="19" t="str">
        <f>IF(W62="ADMITIDO","ADMITIDO",IF(W62="CANCELADA","CANCELADA",IF(H62="","",IFERROR(_xlfn.XLOOKUP(H62,Listas!I:I,Listas!J:J),"OUTROS"))))</f>
        <v>ADMITIDO</v>
      </c>
      <c r="J62" s="12" t="s">
        <v>53</v>
      </c>
      <c r="K62" s="11" t="s">
        <v>241</v>
      </c>
      <c r="L62" s="11" t="s">
        <v>312</v>
      </c>
      <c r="M62" s="11" t="s">
        <v>243</v>
      </c>
      <c r="N62" s="11" t="s">
        <v>34</v>
      </c>
      <c r="O62" s="11" t="s">
        <v>57</v>
      </c>
      <c r="P62" s="11" t="s">
        <v>313</v>
      </c>
      <c r="Q62" s="108" t="s">
        <v>314</v>
      </c>
      <c r="R62" s="13"/>
      <c r="S62" s="13" t="s">
        <v>315</v>
      </c>
      <c r="T62" s="11" t="s">
        <v>109</v>
      </c>
      <c r="U62" s="213">
        <v>46141</v>
      </c>
      <c r="V62" s="42" t="s">
        <v>316</v>
      </c>
      <c r="W62" s="11" t="s">
        <v>40</v>
      </c>
      <c r="X62" s="43">
        <v>46146</v>
      </c>
      <c r="Y62" s="14">
        <v>46148</v>
      </c>
      <c r="Z62" s="15">
        <v>914213</v>
      </c>
      <c r="AA62" s="149" t="s">
        <v>317</v>
      </c>
      <c r="AB62" s="10">
        <v>0</v>
      </c>
    </row>
    <row r="63" spans="1:28" ht="15.75" hidden="1" customHeight="1">
      <c r="A63" s="605">
        <v>29694</v>
      </c>
      <c r="B63" s="91">
        <v>1</v>
      </c>
      <c r="C63" s="195">
        <v>46113</v>
      </c>
      <c r="D63" s="91">
        <f t="shared" ca="1" si="0"/>
        <v>114</v>
      </c>
      <c r="E63" s="138" t="str">
        <f t="shared" si="1"/>
        <v>ADMITIDO</v>
      </c>
      <c r="F63" s="96" t="s">
        <v>171</v>
      </c>
      <c r="G63" s="19" t="s">
        <v>60</v>
      </c>
      <c r="H63" s="19" t="s">
        <v>40</v>
      </c>
      <c r="I63" s="19" t="str">
        <f>IF(W63="ADMITIDO","ADMITIDO",IF(W63="CANCELADA","CANCELADA",IF(H63="","",IFERROR(_xlfn.XLOOKUP(H63,Listas!I:I,Listas!J:J),"OUTROS"))))</f>
        <v>ADMITIDO</v>
      </c>
      <c r="J63" s="12" t="s">
        <v>172</v>
      </c>
      <c r="K63" s="11" t="s">
        <v>318</v>
      </c>
      <c r="L63" s="11" t="s">
        <v>319</v>
      </c>
      <c r="M63" s="11" t="s">
        <v>33</v>
      </c>
      <c r="N63" s="11" t="s">
        <v>56</v>
      </c>
      <c r="O63" s="11" t="s">
        <v>35</v>
      </c>
      <c r="P63" s="11" t="s">
        <v>176</v>
      </c>
      <c r="Q63" s="108" t="s">
        <v>320</v>
      </c>
      <c r="R63" s="13"/>
      <c r="S63" s="13" t="s">
        <v>321</v>
      </c>
      <c r="T63" s="11" t="s">
        <v>109</v>
      </c>
      <c r="U63" s="202">
        <v>46149</v>
      </c>
      <c r="V63" s="53" t="s">
        <v>322</v>
      </c>
      <c r="W63" s="83" t="s">
        <v>40</v>
      </c>
      <c r="X63" s="14">
        <v>46150</v>
      </c>
      <c r="Y63" s="14">
        <v>46153</v>
      </c>
      <c r="Z63" s="15">
        <v>83281</v>
      </c>
      <c r="AB63" s="10">
        <v>0</v>
      </c>
    </row>
    <row r="64" spans="1:28" ht="15.75" hidden="1" customHeight="1">
      <c r="A64" s="606"/>
      <c r="B64" s="91">
        <v>1</v>
      </c>
      <c r="C64" s="195">
        <v>46113</v>
      </c>
      <c r="D64" s="91">
        <f t="shared" ca="1" si="0"/>
        <v>114</v>
      </c>
      <c r="E64" s="138" t="str">
        <f t="shared" si="1"/>
        <v>ADMITIDO</v>
      </c>
      <c r="F64" s="96" t="s">
        <v>171</v>
      </c>
      <c r="G64" s="19" t="s">
        <v>60</v>
      </c>
      <c r="H64" s="19" t="s">
        <v>40</v>
      </c>
      <c r="I64" s="19" t="str">
        <f>IF(W64="ADMITIDO","ADMITIDO",IF(W64="CANCELADA","CANCELADA",IF(H64="","",IFERROR(_xlfn.XLOOKUP(H64,Listas!I:I,Listas!J:J),"OUTROS"))))</f>
        <v>ADMITIDO</v>
      </c>
      <c r="J64" s="12" t="s">
        <v>172</v>
      </c>
      <c r="K64" s="11" t="s">
        <v>318</v>
      </c>
      <c r="L64" s="11" t="s">
        <v>319</v>
      </c>
      <c r="M64" s="12" t="s">
        <v>63</v>
      </c>
      <c r="N64" s="11" t="s">
        <v>56</v>
      </c>
      <c r="O64" s="11" t="s">
        <v>35</v>
      </c>
      <c r="P64" s="11" t="s">
        <v>176</v>
      </c>
      <c r="Q64" s="108" t="s">
        <v>323</v>
      </c>
      <c r="R64" s="13" t="s">
        <v>65</v>
      </c>
      <c r="S64" s="13" t="s">
        <v>324</v>
      </c>
      <c r="T64" s="11" t="s">
        <v>132</v>
      </c>
      <c r="U64" s="202">
        <v>46153</v>
      </c>
      <c r="V64" s="41" t="s">
        <v>325</v>
      </c>
      <c r="W64" s="19" t="s">
        <v>40</v>
      </c>
      <c r="X64" s="48">
        <v>46155</v>
      </c>
      <c r="Y64" s="48">
        <v>46157</v>
      </c>
      <c r="Z64" s="50">
        <v>83289</v>
      </c>
      <c r="AA64" s="152"/>
      <c r="AB64" s="10">
        <v>0</v>
      </c>
    </row>
    <row r="65" spans="1:28" ht="15.75" hidden="1" customHeight="1">
      <c r="A65" s="90">
        <v>29641</v>
      </c>
      <c r="B65" s="91">
        <v>1</v>
      </c>
      <c r="C65" s="195">
        <v>46113</v>
      </c>
      <c r="D65" s="91">
        <f t="shared" ca="1" si="0"/>
        <v>114</v>
      </c>
      <c r="E65" s="138" t="str">
        <f t="shared" si="1"/>
        <v>ADMITIDO</v>
      </c>
      <c r="F65" s="96" t="s">
        <v>28</v>
      </c>
      <c r="G65" s="19" t="s">
        <v>102</v>
      </c>
      <c r="H65" s="19" t="str">
        <f>W65</f>
        <v>ADMITIDO</v>
      </c>
      <c r="I65" s="19" t="str">
        <f>IF(W65="ADMITIDO","ADMITIDO",IF(W65="CANCELADA","CANCELADA",IF(H65="","",IFERROR(_xlfn.XLOOKUP(H65,Listas!I:I,Listas!J:J),"OUTROS"))))</f>
        <v>ADMITIDO</v>
      </c>
      <c r="J65" s="12" t="s">
        <v>268</v>
      </c>
      <c r="K65" s="11" t="s">
        <v>326</v>
      </c>
      <c r="L65" s="11" t="s">
        <v>327</v>
      </c>
      <c r="M65" s="11" t="s">
        <v>33</v>
      </c>
      <c r="N65" s="11" t="s">
        <v>56</v>
      </c>
      <c r="O65" s="11" t="s">
        <v>35</v>
      </c>
      <c r="P65" s="11" t="s">
        <v>176</v>
      </c>
      <c r="Q65" s="108" t="s">
        <v>328</v>
      </c>
      <c r="R65" s="13"/>
      <c r="S65" s="13"/>
      <c r="T65" s="11" t="s">
        <v>67</v>
      </c>
      <c r="U65" s="202">
        <v>46129</v>
      </c>
      <c r="V65" s="41" t="s">
        <v>329</v>
      </c>
      <c r="W65" s="76" t="s">
        <v>40</v>
      </c>
      <c r="X65" s="14">
        <v>46139</v>
      </c>
      <c r="Y65" s="14">
        <v>46140</v>
      </c>
      <c r="Z65" s="15">
        <v>914183</v>
      </c>
      <c r="AB65" s="10">
        <v>0</v>
      </c>
    </row>
    <row r="66" spans="1:28" ht="15.75" hidden="1" customHeight="1">
      <c r="A66" s="92">
        <v>29679</v>
      </c>
      <c r="B66" s="91">
        <v>1</v>
      </c>
      <c r="C66" s="195">
        <v>46113</v>
      </c>
      <c r="D66" s="91">
        <f t="shared" ca="1" si="0"/>
        <v>114</v>
      </c>
      <c r="E66" s="138" t="str">
        <f t="shared" si="1"/>
        <v>ADMITIDO</v>
      </c>
      <c r="F66" s="96" t="s">
        <v>28</v>
      </c>
      <c r="G66" s="19" t="s">
        <v>60</v>
      </c>
      <c r="H66" s="19" t="str">
        <f>W66</f>
        <v>ADMITIDO</v>
      </c>
      <c r="I66" s="19" t="str">
        <f>IF(W66="ADMITIDO","ADMITIDO",IF(W66="CANCELADA","CANCELADA",IF(H66="","",IFERROR(_xlfn.XLOOKUP(H66,Listas!I:I,Listas!J:J),"OUTROS"))))</f>
        <v>ADMITIDO</v>
      </c>
      <c r="J66" s="12" t="s">
        <v>268</v>
      </c>
      <c r="K66" s="11" t="s">
        <v>330</v>
      </c>
      <c r="L66" s="11" t="s">
        <v>331</v>
      </c>
      <c r="M66" s="11" t="s">
        <v>33</v>
      </c>
      <c r="N66" s="11" t="s">
        <v>34</v>
      </c>
      <c r="O66" s="11" t="s">
        <v>35</v>
      </c>
      <c r="P66" s="11" t="s">
        <v>36</v>
      </c>
      <c r="Q66" s="108"/>
      <c r="R66" s="13"/>
      <c r="S66" s="13" t="s">
        <v>332</v>
      </c>
      <c r="T66" s="11" t="s">
        <v>76</v>
      </c>
      <c r="U66" s="213">
        <v>46140</v>
      </c>
      <c r="V66" s="49" t="s">
        <v>333</v>
      </c>
      <c r="W66" s="23" t="s">
        <v>40</v>
      </c>
      <c r="X66" s="81">
        <v>46142</v>
      </c>
      <c r="Y66" s="81">
        <v>46147</v>
      </c>
      <c r="Z66" s="82">
        <v>914207</v>
      </c>
      <c r="AA66" s="154"/>
      <c r="AB66" s="10">
        <v>0</v>
      </c>
    </row>
    <row r="67" spans="1:28" ht="15.75" hidden="1" customHeight="1">
      <c r="A67" s="92">
        <v>29660</v>
      </c>
      <c r="B67" s="91">
        <v>1</v>
      </c>
      <c r="C67" s="195">
        <v>46113</v>
      </c>
      <c r="D67" s="91">
        <f t="shared" ca="1" si="0"/>
        <v>114</v>
      </c>
      <c r="E67" s="138" t="str">
        <f t="shared" ref="E67:E130" ca="1" si="3">IF(W67="ADMITIDO","ADMITIDO",IF(W67="CANCELADA","CANCELADA",IF(H67="","",IF(H67="ADMITIDO","ADMITIDO",IF(H67="CANCELADA","CANCELADA",IF(OR(H67="ANALISE CANCELAMENTO",H67="ANÁLISE CANCELAMENTO"),"EM ANÁLISE",IF(D67="","",IF(D67&lt;=7,"NO PRAZO",IF(D67&lt;=14,"ATENÇÃO","CRÍTICO")))))))))</f>
        <v>CRÍTICO</v>
      </c>
      <c r="F67" s="96" t="s">
        <v>28</v>
      </c>
      <c r="G67" s="19" t="s">
        <v>43</v>
      </c>
      <c r="H67" s="19" t="s">
        <v>334</v>
      </c>
      <c r="I67" s="19" t="str">
        <f>IF(W67="ADMITIDO","ADMITIDO",IF(W67="CANCELADA","CANCELADA",IF(H67="","",IFERROR(_xlfn.XLOOKUP(H67,Listas!I:I,Listas!J:J),"OUTROS"))))</f>
        <v>DOCUMENTAÇÃO</v>
      </c>
      <c r="J67" s="12" t="s">
        <v>268</v>
      </c>
      <c r="K67" s="11" t="s">
        <v>335</v>
      </c>
      <c r="L67" s="11" t="s">
        <v>336</v>
      </c>
      <c r="M67" s="11" t="s">
        <v>337</v>
      </c>
      <c r="N67" s="11" t="s">
        <v>56</v>
      </c>
      <c r="O67" s="11" t="s">
        <v>35</v>
      </c>
      <c r="P67" s="11" t="s">
        <v>176</v>
      </c>
      <c r="Q67" s="108" t="s">
        <v>338</v>
      </c>
      <c r="R67" s="13"/>
      <c r="S67" s="17">
        <v>15974019115</v>
      </c>
      <c r="T67" s="11" t="s">
        <v>67</v>
      </c>
      <c r="U67" s="215">
        <v>46150</v>
      </c>
      <c r="V67" s="41" t="s">
        <v>339</v>
      </c>
      <c r="W67" s="207" t="s">
        <v>188</v>
      </c>
      <c r="X67" s="14" t="s">
        <v>340</v>
      </c>
      <c r="Y67" s="14" t="s">
        <v>341</v>
      </c>
      <c r="Z67" s="15">
        <v>914279</v>
      </c>
      <c r="AA67" s="149" t="s">
        <v>342</v>
      </c>
      <c r="AB67" s="10">
        <v>0</v>
      </c>
    </row>
    <row r="68" spans="1:28" ht="15.75" hidden="1" customHeight="1">
      <c r="A68" s="92">
        <v>29703</v>
      </c>
      <c r="B68" s="91">
        <v>1</v>
      </c>
      <c r="C68" s="195">
        <v>46114</v>
      </c>
      <c r="D68" s="91">
        <f t="shared" ref="D68:D132" ca="1" si="4">TODAY()-C68</f>
        <v>113</v>
      </c>
      <c r="E68" s="138" t="str">
        <f t="shared" si="3"/>
        <v>ADMITIDO</v>
      </c>
      <c r="F68" s="96" t="s">
        <v>42</v>
      </c>
      <c r="G68" s="19" t="s">
        <v>69</v>
      </c>
      <c r="H68" s="117" t="s">
        <v>40</v>
      </c>
      <c r="I68" s="19" t="str">
        <f>IF(W68="ADMITIDO","ADMITIDO",IF(W68="CANCELADA","CANCELADA",IF(H68="","",IFERROR(_xlfn.XLOOKUP(H68,Listas!I:I,Listas!J:J),"OUTROS"))))</f>
        <v>ADMITIDO</v>
      </c>
      <c r="J68" s="12" t="s">
        <v>53</v>
      </c>
      <c r="K68" s="11" t="s">
        <v>70</v>
      </c>
      <c r="L68" s="11" t="s">
        <v>343</v>
      </c>
      <c r="M68" s="11" t="s">
        <v>63</v>
      </c>
      <c r="N68" s="11" t="s">
        <v>34</v>
      </c>
      <c r="O68" s="11" t="s">
        <v>219</v>
      </c>
      <c r="P68" s="11" t="s">
        <v>238</v>
      </c>
      <c r="Q68" s="108"/>
      <c r="R68" s="13" t="s">
        <v>65</v>
      </c>
      <c r="S68" s="13"/>
      <c r="T68" s="35" t="s">
        <v>76</v>
      </c>
      <c r="U68" s="202">
        <v>46146</v>
      </c>
      <c r="V68" s="53" t="s">
        <v>344</v>
      </c>
      <c r="W68" s="23" t="s">
        <v>40</v>
      </c>
      <c r="X68" s="130">
        <v>46156</v>
      </c>
      <c r="Y68" s="52">
        <v>46157</v>
      </c>
      <c r="Z68" s="54">
        <v>914283</v>
      </c>
      <c r="AA68" s="155" t="s">
        <v>345</v>
      </c>
      <c r="AB68" s="10">
        <v>0</v>
      </c>
    </row>
    <row r="69" spans="1:28" ht="15.75" hidden="1" customHeight="1">
      <c r="A69" s="92">
        <v>29705</v>
      </c>
      <c r="B69" s="91">
        <v>1</v>
      </c>
      <c r="C69" s="195">
        <v>46114</v>
      </c>
      <c r="D69" s="91">
        <f t="shared" ca="1" si="4"/>
        <v>113</v>
      </c>
      <c r="E69" s="138" t="str">
        <f t="shared" si="3"/>
        <v>CANCELADA</v>
      </c>
      <c r="F69" s="96" t="s">
        <v>42</v>
      </c>
      <c r="G69" s="19" t="s">
        <v>29</v>
      </c>
      <c r="H69" s="19" t="s">
        <v>52</v>
      </c>
      <c r="I69" s="19" t="str">
        <f>IF(W69="ADMITIDO","ADMITIDO",IF(W69="CANCELADA","CANCELADA",IF(H69="","",IFERROR(_xlfn.XLOOKUP(H69,Listas!I:I,Listas!J:J),"OUTROS"))))</f>
        <v>CANCELADA</v>
      </c>
      <c r="J69" s="12" t="s">
        <v>346</v>
      </c>
      <c r="K69" s="11" t="s">
        <v>347</v>
      </c>
      <c r="L69" s="11" t="s">
        <v>348</v>
      </c>
      <c r="M69" s="11" t="s">
        <v>33</v>
      </c>
      <c r="N69" s="11" t="s">
        <v>34</v>
      </c>
      <c r="O69" s="11" t="s">
        <v>57</v>
      </c>
      <c r="P69" s="11" t="s">
        <v>349</v>
      </c>
      <c r="Q69" s="108" t="s">
        <v>350</v>
      </c>
      <c r="R69" s="13"/>
      <c r="S69" s="13"/>
      <c r="U69" s="212"/>
      <c r="V69" s="53"/>
      <c r="W69" s="56" t="s">
        <v>52</v>
      </c>
      <c r="Z69" s="15"/>
      <c r="AB69" s="10">
        <v>0</v>
      </c>
    </row>
    <row r="70" spans="1:28" ht="15.75" hidden="1" customHeight="1">
      <c r="A70" s="92">
        <v>29698</v>
      </c>
      <c r="B70" s="91">
        <v>1</v>
      </c>
      <c r="C70" s="195">
        <v>46114</v>
      </c>
      <c r="D70" s="91">
        <f t="shared" ca="1" si="4"/>
        <v>113</v>
      </c>
      <c r="E70" s="138" t="str">
        <f t="shared" si="3"/>
        <v>ADMITIDO</v>
      </c>
      <c r="F70" s="96" t="s">
        <v>42</v>
      </c>
      <c r="G70" s="19" t="s">
        <v>240</v>
      </c>
      <c r="H70" s="117" t="str">
        <f>W70</f>
        <v>ADMITIDO</v>
      </c>
      <c r="I70" s="19" t="str">
        <f>IF(W70="ADMITIDO","ADMITIDO",IF(W70="CANCELADA","CANCELADA",IF(H70="","",IFERROR(_xlfn.XLOOKUP(H70,Listas!I:I,Listas!J:J),"OUTROS"))))</f>
        <v>ADMITIDO</v>
      </c>
      <c r="J70" s="12" t="s">
        <v>44</v>
      </c>
      <c r="K70" s="11" t="s">
        <v>241</v>
      </c>
      <c r="L70" s="11" t="s">
        <v>351</v>
      </c>
      <c r="M70" s="11" t="s">
        <v>63</v>
      </c>
      <c r="N70" s="11" t="s">
        <v>34</v>
      </c>
      <c r="O70" s="11" t="s">
        <v>57</v>
      </c>
      <c r="P70" s="11" t="s">
        <v>352</v>
      </c>
      <c r="Q70" s="108" t="s">
        <v>353</v>
      </c>
      <c r="R70" s="13"/>
      <c r="S70" s="13" t="s">
        <v>354</v>
      </c>
      <c r="T70" s="11" t="s">
        <v>76</v>
      </c>
      <c r="U70" s="202">
        <v>46147</v>
      </c>
      <c r="V70" s="41" t="s">
        <v>355</v>
      </c>
      <c r="W70" s="11" t="s">
        <v>40</v>
      </c>
      <c r="X70" s="14">
        <v>46149</v>
      </c>
      <c r="Y70" s="14">
        <v>46153</v>
      </c>
      <c r="Z70" s="15">
        <v>914238</v>
      </c>
      <c r="AA70" s="45" t="s">
        <v>356</v>
      </c>
      <c r="AB70" s="10">
        <v>0</v>
      </c>
    </row>
    <row r="71" spans="1:28" ht="15.75" hidden="1" customHeight="1">
      <c r="A71" s="90">
        <v>29696</v>
      </c>
      <c r="B71" s="91">
        <v>1</v>
      </c>
      <c r="C71" s="195">
        <v>46114</v>
      </c>
      <c r="D71" s="91">
        <f t="shared" ca="1" si="4"/>
        <v>113</v>
      </c>
      <c r="E71" s="138" t="str">
        <f t="shared" si="3"/>
        <v>ADMITIDO</v>
      </c>
      <c r="F71" s="96" t="s">
        <v>28</v>
      </c>
      <c r="G71" s="19" t="s">
        <v>43</v>
      </c>
      <c r="H71" s="19" t="str">
        <f>W71</f>
        <v>ADMITIDO</v>
      </c>
      <c r="I71" s="19" t="str">
        <f>IF(W71="ADMITIDO","ADMITIDO",IF(W71="CANCELADA","CANCELADA",IF(H71="","",IFERROR(_xlfn.XLOOKUP(H71,Listas!I:I,Listas!J:J),"OUTROS"))))</f>
        <v>ADMITIDO</v>
      </c>
      <c r="J71" s="12" t="s">
        <v>268</v>
      </c>
      <c r="K71" s="11" t="s">
        <v>285</v>
      </c>
      <c r="L71" s="11" t="s">
        <v>286</v>
      </c>
      <c r="M71" s="11" t="s">
        <v>33</v>
      </c>
      <c r="N71" s="11" t="s">
        <v>56</v>
      </c>
      <c r="O71" s="11" t="s">
        <v>35</v>
      </c>
      <c r="P71" s="11" t="s">
        <v>357</v>
      </c>
      <c r="Q71" s="108"/>
      <c r="R71" s="13"/>
      <c r="T71" s="11" t="s">
        <v>50</v>
      </c>
      <c r="U71" s="202">
        <v>46128</v>
      </c>
      <c r="V71" s="41" t="s">
        <v>358</v>
      </c>
      <c r="W71" s="23" t="s">
        <v>40</v>
      </c>
      <c r="X71" s="48">
        <v>46141</v>
      </c>
      <c r="Y71" s="48">
        <v>46147</v>
      </c>
      <c r="Z71" s="50">
        <v>914185</v>
      </c>
      <c r="AA71" s="152" t="s">
        <v>359</v>
      </c>
      <c r="AB71" s="10">
        <v>0</v>
      </c>
    </row>
    <row r="72" spans="1:28" ht="15.75" hidden="1" customHeight="1">
      <c r="A72" s="92">
        <v>29695</v>
      </c>
      <c r="B72" s="91">
        <v>1</v>
      </c>
      <c r="C72" s="195">
        <v>46114</v>
      </c>
      <c r="D72" s="91">
        <f t="shared" ca="1" si="4"/>
        <v>113</v>
      </c>
      <c r="E72" s="138" t="str">
        <f t="shared" si="3"/>
        <v>ADMITIDO</v>
      </c>
      <c r="F72" s="96" t="s">
        <v>171</v>
      </c>
      <c r="G72" s="19" t="s">
        <v>43</v>
      </c>
      <c r="H72" s="19" t="s">
        <v>40</v>
      </c>
      <c r="I72" s="19" t="str">
        <f>IF(W72="ADMITIDO","ADMITIDO",IF(W72="CANCELADA","CANCELADA",IF(H72="","",IFERROR(_xlfn.XLOOKUP(H72,Listas!I:I,Listas!J:J),"OUTROS"))))</f>
        <v>ADMITIDO</v>
      </c>
      <c r="J72" s="12" t="s">
        <v>172</v>
      </c>
      <c r="K72" s="11" t="s">
        <v>360</v>
      </c>
      <c r="L72" s="11" t="s">
        <v>361</v>
      </c>
      <c r="M72" s="11" t="s">
        <v>33</v>
      </c>
      <c r="N72" s="11" t="s">
        <v>34</v>
      </c>
      <c r="O72" s="11" t="s">
        <v>35</v>
      </c>
      <c r="P72" s="11" t="s">
        <v>362</v>
      </c>
      <c r="Q72" s="108" t="s">
        <v>363</v>
      </c>
      <c r="R72" s="13"/>
      <c r="S72" s="17">
        <v>11966108244</v>
      </c>
      <c r="T72" s="11" t="s">
        <v>67</v>
      </c>
      <c r="U72" s="202">
        <v>46148</v>
      </c>
      <c r="V72" s="41" t="s">
        <v>364</v>
      </c>
      <c r="W72" s="124" t="s">
        <v>40</v>
      </c>
      <c r="X72" s="14">
        <v>46157</v>
      </c>
      <c r="Y72" s="14">
        <v>46157</v>
      </c>
      <c r="Z72" s="15">
        <v>83285</v>
      </c>
      <c r="AB72" s="10">
        <v>0</v>
      </c>
    </row>
    <row r="73" spans="1:28" ht="15.75" hidden="1" customHeight="1">
      <c r="A73" s="92">
        <v>29723</v>
      </c>
      <c r="B73" s="91">
        <v>1</v>
      </c>
      <c r="C73" s="195">
        <v>46119</v>
      </c>
      <c r="D73" s="91">
        <f t="shared" ca="1" si="4"/>
        <v>108</v>
      </c>
      <c r="E73" s="138" t="str">
        <f t="shared" si="3"/>
        <v>CANCELADA</v>
      </c>
      <c r="F73" s="96" t="s">
        <v>42</v>
      </c>
      <c r="G73" s="19" t="s">
        <v>240</v>
      </c>
      <c r="H73" s="19" t="s">
        <v>52</v>
      </c>
      <c r="I73" s="19" t="str">
        <f>IF(W73="ADMITIDO","ADMITIDO",IF(W73="CANCELADA","CANCELADA",IF(H73="","",IFERROR(_xlfn.XLOOKUP(H73,Listas!I:I,Listas!J:J),"OUTROS"))))</f>
        <v>CANCELADA</v>
      </c>
      <c r="J73" s="12" t="s">
        <v>53</v>
      </c>
      <c r="K73" s="11" t="s">
        <v>241</v>
      </c>
      <c r="L73" s="11" t="s">
        <v>300</v>
      </c>
      <c r="M73" s="11" t="s">
        <v>33</v>
      </c>
      <c r="N73" s="11" t="s">
        <v>34</v>
      </c>
      <c r="O73" s="11" t="s">
        <v>57</v>
      </c>
      <c r="P73" s="11" t="s">
        <v>231</v>
      </c>
      <c r="Q73" s="108" t="s">
        <v>365</v>
      </c>
      <c r="R73" s="13"/>
      <c r="S73" s="13"/>
      <c r="W73" s="23" t="s">
        <v>52</v>
      </c>
      <c r="X73" s="52"/>
      <c r="Y73" s="52"/>
      <c r="Z73" s="54"/>
      <c r="AA73" s="155"/>
      <c r="AB73" s="10">
        <v>0</v>
      </c>
    </row>
    <row r="74" spans="1:28" ht="15.75" hidden="1" customHeight="1">
      <c r="A74" s="92">
        <v>29724</v>
      </c>
      <c r="B74" s="91">
        <v>1</v>
      </c>
      <c r="C74" s="195">
        <v>46119</v>
      </c>
      <c r="D74" s="91">
        <f t="shared" ca="1" si="4"/>
        <v>108</v>
      </c>
      <c r="E74" s="138" t="str">
        <f t="shared" si="3"/>
        <v>CANCELADA</v>
      </c>
      <c r="F74" s="96" t="s">
        <v>42</v>
      </c>
      <c r="G74" s="19" t="s">
        <v>240</v>
      </c>
      <c r="H74" s="19" t="s">
        <v>52</v>
      </c>
      <c r="I74" s="19" t="str">
        <f>IF(W74="ADMITIDO","ADMITIDO",IF(W74="CANCELADA","CANCELADA",IF(H74="","",IFERROR(_xlfn.XLOOKUP(H74,Listas!I:I,Listas!J:J),"OUTROS"))))</f>
        <v>CANCELADA</v>
      </c>
      <c r="J74" s="12" t="s">
        <v>53</v>
      </c>
      <c r="K74" s="11" t="s">
        <v>241</v>
      </c>
      <c r="L74" s="11" t="s">
        <v>300</v>
      </c>
      <c r="M74" s="11" t="s">
        <v>33</v>
      </c>
      <c r="N74" s="11" t="s">
        <v>34</v>
      </c>
      <c r="O74" s="11" t="s">
        <v>57</v>
      </c>
      <c r="P74" s="11" t="s">
        <v>366</v>
      </c>
      <c r="Q74" s="108" t="s">
        <v>365</v>
      </c>
      <c r="R74" s="13"/>
      <c r="S74" s="13"/>
      <c r="W74" s="23" t="s">
        <v>52</v>
      </c>
      <c r="Z74" s="15"/>
      <c r="AB74" s="10">
        <v>0</v>
      </c>
    </row>
    <row r="75" spans="1:28" ht="15.75" hidden="1" customHeight="1">
      <c r="A75" s="607">
        <v>29721</v>
      </c>
      <c r="B75" s="91">
        <v>1</v>
      </c>
      <c r="C75" s="195">
        <v>46119</v>
      </c>
      <c r="D75" s="91">
        <f t="shared" ca="1" si="4"/>
        <v>108</v>
      </c>
      <c r="E75" s="138" t="str">
        <f t="shared" si="3"/>
        <v>CANCELADA</v>
      </c>
      <c r="F75" s="96" t="s">
        <v>171</v>
      </c>
      <c r="G75" s="19" t="s">
        <v>29</v>
      </c>
      <c r="H75" s="19" t="s">
        <v>52</v>
      </c>
      <c r="I75" s="19" t="str">
        <f>IF(W75="ADMITIDO","ADMITIDO",IF(W75="CANCELADA","CANCELADA",IF(H75="","",IFERROR(_xlfn.XLOOKUP(H75,Listas!I:I,Listas!J:J),"OUTROS"))))</f>
        <v>CANCELADA</v>
      </c>
      <c r="J75" s="12" t="s">
        <v>367</v>
      </c>
      <c r="K75" s="11" t="s">
        <v>31</v>
      </c>
      <c r="L75" s="11" t="s">
        <v>368</v>
      </c>
      <c r="M75" s="11" t="s">
        <v>63</v>
      </c>
      <c r="N75" s="11" t="s">
        <v>34</v>
      </c>
      <c r="O75" s="11" t="s">
        <v>35</v>
      </c>
      <c r="P75" s="11" t="s">
        <v>369</v>
      </c>
      <c r="Q75" s="108" t="s">
        <v>370</v>
      </c>
      <c r="R75" s="13"/>
      <c r="S75" s="13"/>
      <c r="W75" s="23" t="s">
        <v>52</v>
      </c>
      <c r="Z75" s="15"/>
      <c r="AB75" s="10">
        <v>0</v>
      </c>
    </row>
    <row r="76" spans="1:28" ht="15.75" hidden="1" customHeight="1">
      <c r="A76" s="608"/>
      <c r="B76" s="91">
        <v>1</v>
      </c>
      <c r="C76" s="195">
        <v>46119</v>
      </c>
      <c r="D76" s="91">
        <f t="shared" ca="1" si="4"/>
        <v>108</v>
      </c>
      <c r="E76" s="138" t="str">
        <f t="shared" si="3"/>
        <v>CANCELADA</v>
      </c>
      <c r="F76" s="96" t="s">
        <v>171</v>
      </c>
      <c r="G76" s="19" t="s">
        <v>29</v>
      </c>
      <c r="H76" s="19" t="s">
        <v>52</v>
      </c>
      <c r="I76" s="19" t="str">
        <f>IF(W76="ADMITIDO","ADMITIDO",IF(W76="CANCELADA","CANCELADA",IF(H76="","",IFERROR(_xlfn.XLOOKUP(H76,Listas!I:I,Listas!J:J),"OUTROS"))))</f>
        <v>CANCELADA</v>
      </c>
      <c r="J76" s="12" t="s">
        <v>367</v>
      </c>
      <c r="K76" s="11" t="s">
        <v>31</v>
      </c>
      <c r="L76" s="11" t="s">
        <v>368</v>
      </c>
      <c r="M76" s="11" t="s">
        <v>63</v>
      </c>
      <c r="N76" s="11" t="s">
        <v>34</v>
      </c>
      <c r="O76" s="11" t="s">
        <v>35</v>
      </c>
      <c r="P76" s="11" t="s">
        <v>369</v>
      </c>
      <c r="Q76" s="108"/>
      <c r="R76" s="13"/>
      <c r="S76" s="13"/>
      <c r="W76" s="23" t="s">
        <v>52</v>
      </c>
      <c r="Z76" s="15"/>
      <c r="AB76" s="10">
        <v>0</v>
      </c>
    </row>
    <row r="77" spans="1:28" ht="15.75" hidden="1" customHeight="1">
      <c r="A77" s="607">
        <v>29719</v>
      </c>
      <c r="B77" s="91">
        <v>1</v>
      </c>
      <c r="C77" s="195">
        <v>46119</v>
      </c>
      <c r="D77" s="91">
        <f ca="1">TODAY()-C77</f>
        <v>108</v>
      </c>
      <c r="E77" s="138" t="str">
        <f t="shared" si="3"/>
        <v>ADMITIDO</v>
      </c>
      <c r="F77" s="96" t="s">
        <v>171</v>
      </c>
      <c r="G77" s="19" t="s">
        <v>145</v>
      </c>
      <c r="H77" s="117" t="s">
        <v>40</v>
      </c>
      <c r="I77" s="19" t="str">
        <f>IF(W77="ADMITIDO","ADMITIDO",IF(W77="CANCELADA","CANCELADA",IF(H77="","",IFERROR(_xlfn.XLOOKUP(H77,Listas!I:I,Listas!J:J),"OUTROS"))))</f>
        <v>ADMITIDO</v>
      </c>
      <c r="J77" s="12" t="s">
        <v>172</v>
      </c>
      <c r="K77" s="11" t="s">
        <v>371</v>
      </c>
      <c r="L77" s="11" t="s">
        <v>372</v>
      </c>
      <c r="M77" s="11" t="s">
        <v>33</v>
      </c>
      <c r="N77" s="11" t="s">
        <v>34</v>
      </c>
      <c r="O77" s="11" t="s">
        <v>35</v>
      </c>
      <c r="P77" s="11" t="s">
        <v>36</v>
      </c>
      <c r="Q77" s="108"/>
      <c r="R77" s="13" t="s">
        <v>373</v>
      </c>
      <c r="S77" s="13"/>
      <c r="T77" s="11" t="s">
        <v>132</v>
      </c>
      <c r="U77" s="202">
        <v>46155</v>
      </c>
      <c r="V77" s="41" t="s">
        <v>374</v>
      </c>
      <c r="W77" s="23" t="s">
        <v>40</v>
      </c>
      <c r="X77" s="14">
        <v>46157</v>
      </c>
      <c r="Y77" s="14">
        <v>46161</v>
      </c>
      <c r="Z77" s="15">
        <v>83295</v>
      </c>
      <c r="AB77" s="10">
        <v>0</v>
      </c>
    </row>
    <row r="78" spans="1:28" ht="15.75" hidden="1" customHeight="1">
      <c r="A78" s="608"/>
      <c r="B78" s="91">
        <v>1</v>
      </c>
      <c r="C78" s="195">
        <v>46120</v>
      </c>
      <c r="D78" s="91">
        <f t="shared" ca="1" si="4"/>
        <v>107</v>
      </c>
      <c r="E78" s="138" t="str">
        <f t="shared" si="3"/>
        <v>ADMITIDO</v>
      </c>
      <c r="F78" s="96" t="s">
        <v>42</v>
      </c>
      <c r="G78" s="19" t="s">
        <v>145</v>
      </c>
      <c r="H78" s="19" t="s">
        <v>40</v>
      </c>
      <c r="I78" s="19" t="str">
        <f>IF(W78="ADMITIDO","ADMITIDO",IF(W78="CANCELADA","CANCELADA",IF(H78="","",IFERROR(_xlfn.XLOOKUP(H78,Listas!I:I,Listas!J:J),"OUTROS"))))</f>
        <v>ADMITIDO</v>
      </c>
      <c r="J78" s="12" t="s">
        <v>172</v>
      </c>
      <c r="K78" s="11" t="s">
        <v>371</v>
      </c>
      <c r="L78" s="11" t="s">
        <v>372</v>
      </c>
      <c r="M78" s="11" t="s">
        <v>33</v>
      </c>
      <c r="N78" s="11" t="s">
        <v>34</v>
      </c>
      <c r="O78" s="11" t="s">
        <v>35</v>
      </c>
      <c r="P78" s="11" t="s">
        <v>36</v>
      </c>
      <c r="Q78" s="108"/>
      <c r="R78" s="13"/>
      <c r="S78" s="13" t="s">
        <v>375</v>
      </c>
      <c r="T78" s="11" t="s">
        <v>76</v>
      </c>
      <c r="U78" s="202">
        <v>46129</v>
      </c>
      <c r="V78" s="41" t="s">
        <v>376</v>
      </c>
      <c r="W78" s="23" t="s">
        <v>40</v>
      </c>
      <c r="X78" s="14">
        <v>46135</v>
      </c>
      <c r="Y78" s="14">
        <v>46136</v>
      </c>
      <c r="Z78" s="15">
        <v>83272</v>
      </c>
      <c r="AB78" s="10">
        <v>0</v>
      </c>
    </row>
    <row r="79" spans="1:28" ht="15.75" hidden="1" customHeight="1">
      <c r="A79" s="92">
        <v>29755</v>
      </c>
      <c r="B79" s="91">
        <v>1</v>
      </c>
      <c r="C79" s="195">
        <v>46120</v>
      </c>
      <c r="D79" s="91">
        <f t="shared" ca="1" si="4"/>
        <v>107</v>
      </c>
      <c r="E79" s="138" t="str">
        <f t="shared" si="3"/>
        <v>ADMITIDO</v>
      </c>
      <c r="F79" s="96" t="s">
        <v>42</v>
      </c>
      <c r="G79" s="19" t="s">
        <v>43</v>
      </c>
      <c r="H79" s="19" t="s">
        <v>40</v>
      </c>
      <c r="I79" s="19" t="str">
        <f>IF(W79="ADMITIDO","ADMITIDO",IF(W79="CANCELADA","CANCELADA",IF(H79="","",IFERROR(_xlfn.XLOOKUP(H79,Listas!I:I,Listas!J:J),"OUTROS"))))</f>
        <v>ADMITIDO</v>
      </c>
      <c r="J79" s="12" t="s">
        <v>53</v>
      </c>
      <c r="K79" s="11" t="s">
        <v>45</v>
      </c>
      <c r="L79" s="11" t="s">
        <v>377</v>
      </c>
      <c r="M79" s="11" t="s">
        <v>378</v>
      </c>
      <c r="N79" s="11" t="s">
        <v>56</v>
      </c>
      <c r="O79" s="11" t="s">
        <v>35</v>
      </c>
      <c r="P79" s="11" t="s">
        <v>176</v>
      </c>
      <c r="Q79" s="108"/>
      <c r="R79" s="13" t="s">
        <v>379</v>
      </c>
      <c r="T79" s="11" t="s">
        <v>50</v>
      </c>
      <c r="U79" s="202">
        <v>46127</v>
      </c>
      <c r="V79" s="41" t="s">
        <v>380</v>
      </c>
      <c r="W79" s="23" t="s">
        <v>40</v>
      </c>
      <c r="X79" s="14">
        <v>46136</v>
      </c>
      <c r="Y79" s="14">
        <v>46139</v>
      </c>
      <c r="Z79" s="15">
        <v>145879</v>
      </c>
      <c r="AB79" s="10">
        <v>0</v>
      </c>
    </row>
    <row r="80" spans="1:28" ht="15.75" hidden="1" customHeight="1">
      <c r="A80" s="97">
        <v>29743</v>
      </c>
      <c r="B80" s="91">
        <v>1</v>
      </c>
      <c r="C80" s="195">
        <v>46120</v>
      </c>
      <c r="D80" s="91">
        <f t="shared" ca="1" si="4"/>
        <v>107</v>
      </c>
      <c r="E80" s="138" t="str">
        <f t="shared" ca="1" si="3"/>
        <v>CRÍTICO</v>
      </c>
      <c r="F80" s="96" t="s">
        <v>42</v>
      </c>
      <c r="G80" s="19" t="s">
        <v>29</v>
      </c>
      <c r="H80" s="19" t="s">
        <v>91</v>
      </c>
      <c r="I80" s="19" t="str">
        <f>IF(W80="ADMITIDO","ADMITIDO",IF(W80="CANCELADA","CANCELADA",IF(H80="","",IFERROR(_xlfn.XLOOKUP(H80,Listas!I:I,Listas!J:J),"OUTROS"))))</f>
        <v>TRIAGEM</v>
      </c>
      <c r="J80" s="12" t="s">
        <v>227</v>
      </c>
      <c r="K80" s="11" t="s">
        <v>228</v>
      </c>
      <c r="L80" s="11" t="s">
        <v>229</v>
      </c>
      <c r="M80" s="11" t="s">
        <v>88</v>
      </c>
      <c r="N80" s="11" t="s">
        <v>34</v>
      </c>
      <c r="O80" s="11" t="s">
        <v>381</v>
      </c>
      <c r="P80" s="11" t="s">
        <v>231</v>
      </c>
      <c r="Q80" s="108"/>
      <c r="R80" s="13"/>
      <c r="S80" s="13"/>
      <c r="Z80" s="15"/>
      <c r="AA80" s="45" t="s">
        <v>382</v>
      </c>
      <c r="AB80" s="10">
        <v>0</v>
      </c>
    </row>
    <row r="81" spans="1:28" ht="15.75" hidden="1" customHeight="1">
      <c r="A81" s="92">
        <v>29741</v>
      </c>
      <c r="B81" s="91">
        <v>1</v>
      </c>
      <c r="C81" s="195">
        <v>46120</v>
      </c>
      <c r="D81" s="91">
        <f t="shared" ca="1" si="4"/>
        <v>107</v>
      </c>
      <c r="E81" s="138" t="str">
        <f t="shared" si="3"/>
        <v>ADMITIDO</v>
      </c>
      <c r="F81" s="96" t="s">
        <v>28</v>
      </c>
      <c r="G81" s="19" t="s">
        <v>43</v>
      </c>
      <c r="H81" s="19" t="str">
        <f>W81</f>
        <v>ADMITIDO</v>
      </c>
      <c r="I81" s="19" t="str">
        <f>IF(W81="ADMITIDO","ADMITIDO",IF(W81="CANCELADA","CANCELADA",IF(H81="","",IFERROR(_xlfn.XLOOKUP(H81,Listas!I:I,Listas!J:J),"OUTROS"))))</f>
        <v>ADMITIDO</v>
      </c>
      <c r="J81" s="12" t="s">
        <v>268</v>
      </c>
      <c r="K81" s="11" t="s">
        <v>383</v>
      </c>
      <c r="L81" s="11" t="s">
        <v>384</v>
      </c>
      <c r="M81" s="11" t="s">
        <v>97</v>
      </c>
      <c r="N81" s="11" t="s">
        <v>56</v>
      </c>
      <c r="O81" s="11" t="s">
        <v>35</v>
      </c>
      <c r="P81" s="11" t="s">
        <v>176</v>
      </c>
      <c r="Q81" s="108"/>
      <c r="R81" s="13"/>
      <c r="T81" s="11" t="s">
        <v>50</v>
      </c>
      <c r="U81" s="202">
        <v>46126</v>
      </c>
      <c r="V81" s="41" t="s">
        <v>385</v>
      </c>
      <c r="W81" s="23" t="s">
        <v>40</v>
      </c>
      <c r="X81" s="14">
        <v>46134</v>
      </c>
      <c r="Y81" s="14">
        <v>46135</v>
      </c>
      <c r="Z81" s="15">
        <v>914144</v>
      </c>
      <c r="AB81" s="10">
        <v>0</v>
      </c>
    </row>
    <row r="82" spans="1:28" ht="15.75" hidden="1" customHeight="1">
      <c r="A82" s="92">
        <v>29751</v>
      </c>
      <c r="B82" s="91">
        <v>1</v>
      </c>
      <c r="C82" s="195">
        <v>46120</v>
      </c>
      <c r="D82" s="91">
        <f t="shared" ca="1" si="4"/>
        <v>107</v>
      </c>
      <c r="E82" s="138" t="str">
        <f t="shared" ca="1" si="3"/>
        <v>CRÍTICO</v>
      </c>
      <c r="F82" s="96" t="s">
        <v>42</v>
      </c>
      <c r="G82" s="19" t="s">
        <v>60</v>
      </c>
      <c r="H82" s="19" t="s">
        <v>91</v>
      </c>
      <c r="I82" s="19" t="str">
        <f>IF(W82="ADMITIDO","ADMITIDO",IF(W82="CANCELADA","CANCELADA",IF(H82="","",IFERROR(_xlfn.XLOOKUP(H82,Listas!I:I,Listas!J:J),"OUTROS"))))</f>
        <v>TRIAGEM</v>
      </c>
      <c r="J82" s="12" t="s">
        <v>53</v>
      </c>
      <c r="K82" s="11" t="s">
        <v>61</v>
      </c>
      <c r="L82" s="11" t="s">
        <v>161</v>
      </c>
      <c r="M82" s="11" t="s">
        <v>33</v>
      </c>
      <c r="N82" s="11" t="s">
        <v>34</v>
      </c>
      <c r="O82" s="11" t="s">
        <v>72</v>
      </c>
      <c r="P82" s="11" t="s">
        <v>73</v>
      </c>
      <c r="Q82" s="108"/>
      <c r="R82" s="13"/>
      <c r="S82" s="13"/>
      <c r="Z82" s="15"/>
      <c r="AB82" s="10">
        <v>0</v>
      </c>
    </row>
    <row r="83" spans="1:28" ht="15.75" hidden="1" customHeight="1">
      <c r="A83" s="93">
        <v>29749</v>
      </c>
      <c r="B83" s="98">
        <v>1</v>
      </c>
      <c r="C83" s="197">
        <v>46120</v>
      </c>
      <c r="D83" s="98">
        <f t="shared" ca="1" si="4"/>
        <v>107</v>
      </c>
      <c r="E83" s="138" t="str">
        <f t="shared" si="3"/>
        <v>ADMITIDO</v>
      </c>
      <c r="F83" s="140" t="s">
        <v>42</v>
      </c>
      <c r="G83" s="51" t="s">
        <v>43</v>
      </c>
      <c r="H83" s="51" t="str">
        <f>W83</f>
        <v>ADMITIDO</v>
      </c>
      <c r="I83" s="51" t="str">
        <f>IF(W83="ADMITIDO","ADMITIDO",IF(W83="CANCELADA","CANCELADA",IF(H83="","",IFERROR(_xlfn.XLOOKUP(H83,Listas!I:I,Listas!J:J),"OUTROS"))))</f>
        <v>ADMITIDO</v>
      </c>
      <c r="J83" s="37" t="s">
        <v>53</v>
      </c>
      <c r="K83" s="38" t="s">
        <v>45</v>
      </c>
      <c r="L83" s="38" t="s">
        <v>386</v>
      </c>
      <c r="M83" s="38" t="s">
        <v>243</v>
      </c>
      <c r="N83" s="38" t="s">
        <v>34</v>
      </c>
      <c r="O83" s="38" t="s">
        <v>57</v>
      </c>
      <c r="P83" s="38" t="s">
        <v>387</v>
      </c>
      <c r="Q83" s="110"/>
      <c r="R83" s="13" t="s">
        <v>388</v>
      </c>
      <c r="T83" s="38" t="s">
        <v>50</v>
      </c>
      <c r="U83" s="211">
        <v>46128</v>
      </c>
      <c r="V83" s="49" t="s">
        <v>389</v>
      </c>
      <c r="W83" s="44" t="s">
        <v>40</v>
      </c>
      <c r="X83" s="48">
        <v>46136</v>
      </c>
      <c r="Y83" s="48">
        <v>46136</v>
      </c>
      <c r="Z83" s="50">
        <v>145882</v>
      </c>
      <c r="AA83" s="152"/>
      <c r="AB83" s="10">
        <v>0</v>
      </c>
    </row>
    <row r="84" spans="1:28" ht="15.75" hidden="1" customHeight="1">
      <c r="A84" s="92">
        <v>29733</v>
      </c>
      <c r="B84" s="91">
        <v>1</v>
      </c>
      <c r="C84" s="195">
        <v>46120</v>
      </c>
      <c r="D84" s="91">
        <f t="shared" ca="1" si="4"/>
        <v>107</v>
      </c>
      <c r="E84" s="138" t="str">
        <f t="shared" si="3"/>
        <v>ADMITIDO</v>
      </c>
      <c r="F84" s="96" t="s">
        <v>171</v>
      </c>
      <c r="G84" s="141" t="s">
        <v>145</v>
      </c>
      <c r="H84" s="117" t="s">
        <v>40</v>
      </c>
      <c r="I84" s="142" t="str">
        <f>IF(W84="ADMITIDO","ADMITIDO",IF(W84="CANCELADA","CANCELADA",IF(H84="","",IFERROR(_xlfn.XLOOKUP(H84,Listas!I:I,Listas!J:J),"OUTROS"))))</f>
        <v>ADMITIDO</v>
      </c>
      <c r="J84" s="12" t="s">
        <v>172</v>
      </c>
      <c r="K84" s="11" t="s">
        <v>371</v>
      </c>
      <c r="L84" s="86" t="s">
        <v>390</v>
      </c>
      <c r="M84" s="11" t="s">
        <v>391</v>
      </c>
      <c r="N84" s="11" t="s">
        <v>34</v>
      </c>
      <c r="O84" s="11" t="s">
        <v>35</v>
      </c>
      <c r="P84" s="11" t="s">
        <v>36</v>
      </c>
      <c r="Q84" s="108" t="s">
        <v>392</v>
      </c>
      <c r="R84" s="13" t="s">
        <v>107</v>
      </c>
      <c r="S84" s="45" t="s">
        <v>393</v>
      </c>
      <c r="T84" s="35" t="s">
        <v>132</v>
      </c>
      <c r="U84" s="202">
        <v>46154</v>
      </c>
      <c r="V84" s="41" t="s">
        <v>394</v>
      </c>
      <c r="W84" s="23" t="s">
        <v>40</v>
      </c>
      <c r="X84" s="43">
        <v>46156</v>
      </c>
      <c r="Y84" s="14">
        <v>46161</v>
      </c>
      <c r="Z84" s="15">
        <v>83291</v>
      </c>
      <c r="AB84" s="10">
        <v>0</v>
      </c>
    </row>
    <row r="85" spans="1:28" ht="15.75" hidden="1" customHeight="1">
      <c r="A85" s="94">
        <v>29750</v>
      </c>
      <c r="B85" s="99">
        <v>1</v>
      </c>
      <c r="C85" s="198">
        <v>46120</v>
      </c>
      <c r="D85" s="99">
        <f t="shared" ca="1" si="4"/>
        <v>107</v>
      </c>
      <c r="E85" s="138" t="str">
        <f t="shared" si="3"/>
        <v>CANCELADA</v>
      </c>
      <c r="F85" s="143" t="s">
        <v>42</v>
      </c>
      <c r="G85" s="83" t="s">
        <v>60</v>
      </c>
      <c r="H85" s="83" t="s">
        <v>52</v>
      </c>
      <c r="I85" s="83" t="str">
        <f>IF(W85="ADMITIDO","ADMITIDO",IF(W85="CANCELADA","CANCELADA",IF(H85="","",IFERROR(_xlfn.XLOOKUP(H85,Listas!I:I,Listas!J:J),"OUTROS"))))</f>
        <v>CANCELADA</v>
      </c>
      <c r="J85" s="39" t="s">
        <v>163</v>
      </c>
      <c r="K85" s="40" t="s">
        <v>61</v>
      </c>
      <c r="L85" s="40" t="s">
        <v>255</v>
      </c>
      <c r="M85" s="40" t="s">
        <v>63</v>
      </c>
      <c r="N85" s="40" t="s">
        <v>34</v>
      </c>
      <c r="O85" s="40" t="s">
        <v>219</v>
      </c>
      <c r="P85" s="40" t="s">
        <v>73</v>
      </c>
      <c r="Q85" s="111" t="s">
        <v>395</v>
      </c>
      <c r="R85" s="13" t="s">
        <v>396</v>
      </c>
      <c r="S85" s="13" t="s">
        <v>397</v>
      </c>
      <c r="T85" s="40"/>
      <c r="U85" s="212"/>
      <c r="V85" s="53" t="s">
        <v>398</v>
      </c>
      <c r="W85" s="56" t="s">
        <v>52</v>
      </c>
      <c r="X85" s="52"/>
      <c r="Y85" s="52"/>
      <c r="Z85" s="54"/>
      <c r="AA85" s="155" t="s">
        <v>399</v>
      </c>
      <c r="AB85" s="10">
        <v>0</v>
      </c>
    </row>
    <row r="86" spans="1:28" ht="15.75" hidden="1" customHeight="1">
      <c r="A86" s="92">
        <v>29739</v>
      </c>
      <c r="B86" s="91">
        <v>1</v>
      </c>
      <c r="C86" s="195">
        <v>46120</v>
      </c>
      <c r="D86" s="91">
        <f t="shared" ca="1" si="4"/>
        <v>107</v>
      </c>
      <c r="E86" s="138" t="str">
        <f t="shared" si="3"/>
        <v>ADMITIDO</v>
      </c>
      <c r="F86" s="96" t="s">
        <v>171</v>
      </c>
      <c r="G86" s="19" t="s">
        <v>43</v>
      </c>
      <c r="H86" s="19" t="str">
        <f>W86</f>
        <v>ADMITIDO</v>
      </c>
      <c r="I86" s="19" t="str">
        <f>IF(W86="ADMITIDO","ADMITIDO",IF(W86="CANCELADA","CANCELADA",IF(H86="","",IFERROR(_xlfn.XLOOKUP(H86,Listas!I:I,Listas!J:J),"OUTROS"))))</f>
        <v>ADMITIDO</v>
      </c>
      <c r="J86" s="12" t="s">
        <v>172</v>
      </c>
      <c r="K86" s="11" t="s">
        <v>383</v>
      </c>
      <c r="L86" s="11" t="s">
        <v>286</v>
      </c>
      <c r="M86" s="11" t="s">
        <v>33</v>
      </c>
      <c r="N86" s="11" t="s">
        <v>56</v>
      </c>
      <c r="O86" s="11" t="s">
        <v>35</v>
      </c>
      <c r="P86" s="11" t="s">
        <v>357</v>
      </c>
      <c r="Q86" s="108"/>
      <c r="R86" s="13" t="s">
        <v>400</v>
      </c>
      <c r="T86" s="11" t="s">
        <v>50</v>
      </c>
      <c r="U86" s="202">
        <v>46127</v>
      </c>
      <c r="V86" s="41" t="s">
        <v>401</v>
      </c>
      <c r="W86" s="23" t="s">
        <v>40</v>
      </c>
      <c r="X86" s="14">
        <v>46136</v>
      </c>
      <c r="Y86" s="14">
        <v>46139</v>
      </c>
      <c r="Z86" s="15">
        <v>83267</v>
      </c>
      <c r="AB86" s="10">
        <v>0</v>
      </c>
    </row>
    <row r="87" spans="1:28" ht="15.75" hidden="1" customHeight="1">
      <c r="A87" s="90">
        <v>29738</v>
      </c>
      <c r="B87" s="91">
        <v>1</v>
      </c>
      <c r="C87" s="195">
        <v>46120</v>
      </c>
      <c r="D87" s="91">
        <f t="shared" ca="1" si="4"/>
        <v>107</v>
      </c>
      <c r="E87" s="138" t="str">
        <f t="shared" si="3"/>
        <v>ADMITIDO</v>
      </c>
      <c r="F87" s="96" t="s">
        <v>42</v>
      </c>
      <c r="G87" s="19" t="s">
        <v>43</v>
      </c>
      <c r="H87" s="19" t="s">
        <v>40</v>
      </c>
      <c r="I87" s="19" t="str">
        <f>IF(W87="ADMITIDO","ADMITIDO",IF(W87="CANCELADA","CANCELADA",IF(H87="","",IFERROR(_xlfn.XLOOKUP(H87,Listas!I:I,Listas!J:J),"OUTROS"))))</f>
        <v>ADMITIDO</v>
      </c>
      <c r="J87" s="12" t="s">
        <v>53</v>
      </c>
      <c r="K87" s="11" t="s">
        <v>45</v>
      </c>
      <c r="L87" s="11" t="s">
        <v>402</v>
      </c>
      <c r="M87" s="11" t="s">
        <v>33</v>
      </c>
      <c r="N87" s="11" t="s">
        <v>34</v>
      </c>
      <c r="O87" s="11" t="s">
        <v>57</v>
      </c>
      <c r="P87" s="11" t="s">
        <v>98</v>
      </c>
      <c r="Q87" s="108"/>
      <c r="R87" s="13"/>
      <c r="T87" s="11" t="s">
        <v>50</v>
      </c>
      <c r="U87" s="202">
        <v>46129</v>
      </c>
      <c r="V87" s="41" t="s">
        <v>403</v>
      </c>
      <c r="W87" s="23" t="s">
        <v>40</v>
      </c>
      <c r="X87" s="14">
        <v>46139</v>
      </c>
      <c r="Y87" s="14">
        <v>46140</v>
      </c>
      <c r="Z87" s="15">
        <v>145886</v>
      </c>
      <c r="AB87" s="10">
        <v>0</v>
      </c>
    </row>
    <row r="88" spans="1:28" ht="15.75" hidden="1" customHeight="1">
      <c r="A88" s="92">
        <v>29740</v>
      </c>
      <c r="B88" s="91">
        <v>1</v>
      </c>
      <c r="C88" s="195">
        <v>46120</v>
      </c>
      <c r="D88" s="91">
        <f t="shared" ca="1" si="4"/>
        <v>107</v>
      </c>
      <c r="E88" s="138" t="str">
        <f t="shared" si="3"/>
        <v>ADMITIDO</v>
      </c>
      <c r="F88" s="96" t="s">
        <v>28</v>
      </c>
      <c r="G88" s="19" t="s">
        <v>43</v>
      </c>
      <c r="H88" s="19" t="str">
        <f>W88</f>
        <v>ADMITIDO</v>
      </c>
      <c r="I88" s="19" t="str">
        <f>IF(W88="ADMITIDO","ADMITIDO",IF(W88="CANCELADA","CANCELADA",IF(H88="","",IFERROR(_xlfn.XLOOKUP(H88,Listas!I:I,Listas!J:J),"OUTROS"))))</f>
        <v>ADMITIDO</v>
      </c>
      <c r="J88" s="12" t="s">
        <v>268</v>
      </c>
      <c r="K88" s="11" t="s">
        <v>383</v>
      </c>
      <c r="L88" s="11" t="s">
        <v>218</v>
      </c>
      <c r="M88" s="11" t="s">
        <v>97</v>
      </c>
      <c r="N88" s="11" t="s">
        <v>56</v>
      </c>
      <c r="O88" s="11" t="s">
        <v>35</v>
      </c>
      <c r="P88" s="11" t="s">
        <v>357</v>
      </c>
      <c r="Q88" s="108"/>
      <c r="R88" s="13"/>
      <c r="T88" s="11" t="s">
        <v>50</v>
      </c>
      <c r="U88" s="202">
        <v>46126</v>
      </c>
      <c r="V88" s="41" t="s">
        <v>404</v>
      </c>
      <c r="W88" s="23" t="s">
        <v>40</v>
      </c>
      <c r="X88" s="14">
        <v>46134</v>
      </c>
      <c r="Y88" s="14">
        <v>46136</v>
      </c>
      <c r="Z88" s="15">
        <v>914142</v>
      </c>
      <c r="AB88" s="10">
        <v>0</v>
      </c>
    </row>
    <row r="89" spans="1:28" ht="15.75" hidden="1" customHeight="1">
      <c r="A89" s="90">
        <v>29775</v>
      </c>
      <c r="B89" s="91">
        <v>1</v>
      </c>
      <c r="C89" s="195">
        <v>46121</v>
      </c>
      <c r="D89" s="91">
        <f t="shared" ca="1" si="4"/>
        <v>106</v>
      </c>
      <c r="E89" s="138" t="str">
        <f t="shared" si="3"/>
        <v>ADMITIDO</v>
      </c>
      <c r="F89" s="96" t="s">
        <v>42</v>
      </c>
      <c r="G89" s="19" t="s">
        <v>43</v>
      </c>
      <c r="H89" s="19" t="s">
        <v>40</v>
      </c>
      <c r="I89" s="19" t="str">
        <f>IF(W89="ADMITIDO","ADMITIDO",IF(W89="CANCELADA","CANCELADA",IF(H89="","",IFERROR(_xlfn.XLOOKUP(H89,Listas!I:I,Listas!J:J),"OUTROS"))))</f>
        <v>ADMITIDO</v>
      </c>
      <c r="J89" s="12" t="s">
        <v>405</v>
      </c>
      <c r="K89" s="11" t="s">
        <v>45</v>
      </c>
      <c r="L89" s="11" t="s">
        <v>156</v>
      </c>
      <c r="M89" s="11" t="s">
        <v>97</v>
      </c>
      <c r="N89" s="11" t="s">
        <v>34</v>
      </c>
      <c r="O89" s="11" t="s">
        <v>57</v>
      </c>
      <c r="P89" s="11" t="s">
        <v>308</v>
      </c>
      <c r="Q89" s="108"/>
      <c r="R89" s="13"/>
      <c r="S89" s="17">
        <v>11963180042</v>
      </c>
      <c r="T89" s="11" t="s">
        <v>50</v>
      </c>
      <c r="U89" s="202">
        <v>46136</v>
      </c>
      <c r="V89" s="41" t="s">
        <v>406</v>
      </c>
      <c r="W89" s="11" t="s">
        <v>40</v>
      </c>
      <c r="X89" s="14">
        <v>46117</v>
      </c>
      <c r="Y89" s="14">
        <v>46147</v>
      </c>
      <c r="Z89" s="15">
        <v>914209</v>
      </c>
      <c r="AB89" s="10">
        <v>0</v>
      </c>
    </row>
    <row r="90" spans="1:28" ht="15.75" hidden="1" customHeight="1">
      <c r="A90" s="92">
        <v>29781</v>
      </c>
      <c r="B90" s="91">
        <v>1</v>
      </c>
      <c r="C90" s="195">
        <v>46121</v>
      </c>
      <c r="D90" s="91">
        <f t="shared" ca="1" si="4"/>
        <v>106</v>
      </c>
      <c r="E90" s="138" t="str">
        <f t="shared" si="3"/>
        <v>ADMITIDO</v>
      </c>
      <c r="F90" s="96" t="s">
        <v>42</v>
      </c>
      <c r="G90" s="19" t="s">
        <v>240</v>
      </c>
      <c r="H90" s="19" t="str">
        <f>W90</f>
        <v>ADMITIDO</v>
      </c>
      <c r="I90" s="19" t="str">
        <f>IF(W90="ADMITIDO","ADMITIDO",IF(W90="CANCELADA","CANCELADA",IF(H90="","",IFERROR(_xlfn.XLOOKUP(H90,Listas!I:I,Listas!J:J),"OUTROS"))))</f>
        <v>ADMITIDO</v>
      </c>
      <c r="J90" s="12" t="s">
        <v>53</v>
      </c>
      <c r="K90" s="11" t="s">
        <v>241</v>
      </c>
      <c r="L90" s="11" t="s">
        <v>407</v>
      </c>
      <c r="M90" s="11" t="s">
        <v>243</v>
      </c>
      <c r="N90" s="11" t="s">
        <v>34</v>
      </c>
      <c r="O90" s="11" t="s">
        <v>48</v>
      </c>
      <c r="P90" s="11" t="s">
        <v>49</v>
      </c>
      <c r="Q90" s="108" t="s">
        <v>408</v>
      </c>
      <c r="R90" s="13" t="s">
        <v>409</v>
      </c>
      <c r="S90" s="13" t="s">
        <v>410</v>
      </c>
      <c r="T90" s="11" t="s">
        <v>76</v>
      </c>
      <c r="U90" s="202">
        <v>46127</v>
      </c>
      <c r="V90" s="49" t="s">
        <v>411</v>
      </c>
      <c r="W90" s="44" t="s">
        <v>40</v>
      </c>
      <c r="X90" s="14">
        <v>46132</v>
      </c>
      <c r="Y90" s="14">
        <v>46134</v>
      </c>
      <c r="Z90" s="15">
        <v>145861</v>
      </c>
      <c r="AB90" s="10">
        <v>0</v>
      </c>
    </row>
    <row r="91" spans="1:28" ht="15.75" hidden="1" customHeight="1">
      <c r="A91" s="90">
        <v>29784</v>
      </c>
      <c r="B91" s="91">
        <v>1</v>
      </c>
      <c r="C91" s="195">
        <v>46121</v>
      </c>
      <c r="D91" s="91">
        <f t="shared" ca="1" si="4"/>
        <v>106</v>
      </c>
      <c r="E91" s="138" t="str">
        <f t="shared" ca="1" si="3"/>
        <v>CRÍTICO</v>
      </c>
      <c r="F91" s="96" t="s">
        <v>42</v>
      </c>
      <c r="G91" s="19" t="s">
        <v>29</v>
      </c>
      <c r="H91" s="19" t="s">
        <v>214</v>
      </c>
      <c r="I91" s="19" t="str">
        <f>IF(W91="ADMITIDO","ADMITIDO",IF(W91="CANCELADA","CANCELADA",IF(H91="","",IFERROR(_xlfn.XLOOKUP(H91,Listas!I:I,Listas!J:J),"OUTROS"))))</f>
        <v>TRIAGEM</v>
      </c>
      <c r="J91" s="12" t="s">
        <v>53</v>
      </c>
      <c r="K91" s="11" t="s">
        <v>347</v>
      </c>
      <c r="L91" s="11" t="s">
        <v>348</v>
      </c>
      <c r="M91" s="11" t="s">
        <v>33</v>
      </c>
      <c r="N91" s="11" t="s">
        <v>34</v>
      </c>
      <c r="O91" s="11" t="s">
        <v>57</v>
      </c>
      <c r="P91" s="11" t="s">
        <v>98</v>
      </c>
      <c r="Q91" s="108" t="s">
        <v>412</v>
      </c>
      <c r="R91" s="13"/>
      <c r="S91" s="13"/>
      <c r="U91" s="213"/>
      <c r="X91" s="116"/>
      <c r="Z91" s="15"/>
      <c r="AA91" s="45"/>
      <c r="AB91" s="10">
        <v>0</v>
      </c>
    </row>
    <row r="92" spans="1:28" ht="15.75" hidden="1" customHeight="1">
      <c r="A92" s="92">
        <v>29782</v>
      </c>
      <c r="B92" s="91">
        <v>1</v>
      </c>
      <c r="C92" s="195">
        <v>46121</v>
      </c>
      <c r="D92" s="91">
        <f t="shared" ca="1" si="4"/>
        <v>106</v>
      </c>
      <c r="E92" s="138" t="str">
        <f t="shared" si="3"/>
        <v>ADMITIDO</v>
      </c>
      <c r="F92" s="96" t="s">
        <v>42</v>
      </c>
      <c r="G92" s="19" t="s">
        <v>240</v>
      </c>
      <c r="H92" s="19" t="str">
        <f>W92</f>
        <v>ADMITIDO</v>
      </c>
      <c r="I92" s="19" t="str">
        <f>IF(W92="ADMITIDO","ADMITIDO",IF(W92="CANCELADA","CANCELADA",IF(H92="","",IFERROR(_xlfn.XLOOKUP(H92,Listas!I:I,Listas!J:J),"OUTROS"))))</f>
        <v>ADMITIDO</v>
      </c>
      <c r="J92" s="12" t="s">
        <v>44</v>
      </c>
      <c r="K92" s="11" t="s">
        <v>241</v>
      </c>
      <c r="L92" s="11" t="s">
        <v>413</v>
      </c>
      <c r="M92" s="11" t="s">
        <v>243</v>
      </c>
      <c r="N92" s="11" t="s">
        <v>34</v>
      </c>
      <c r="O92" s="11" t="s">
        <v>48</v>
      </c>
      <c r="P92" s="11" t="s">
        <v>414</v>
      </c>
      <c r="Q92" s="108"/>
      <c r="R92" s="13"/>
      <c r="S92" s="13"/>
      <c r="T92" s="11" t="s">
        <v>76</v>
      </c>
      <c r="U92" s="202">
        <v>46153</v>
      </c>
      <c r="V92" s="53" t="s">
        <v>415</v>
      </c>
      <c r="W92" s="56" t="s">
        <v>40</v>
      </c>
      <c r="X92" s="14">
        <v>46155</v>
      </c>
      <c r="Y92" s="14">
        <v>46160</v>
      </c>
      <c r="Z92" s="15">
        <v>145961</v>
      </c>
      <c r="AA92" s="45"/>
      <c r="AB92" s="10">
        <v>0</v>
      </c>
    </row>
    <row r="93" spans="1:28" ht="15.75" hidden="1" customHeight="1">
      <c r="A93" s="90">
        <v>29764</v>
      </c>
      <c r="B93" s="91">
        <v>1</v>
      </c>
      <c r="C93" s="195">
        <v>46121</v>
      </c>
      <c r="D93" s="91">
        <f t="shared" ca="1" si="4"/>
        <v>106</v>
      </c>
      <c r="E93" s="138" t="str">
        <f t="shared" ca="1" si="3"/>
        <v>CRÍTICO</v>
      </c>
      <c r="F93" s="96" t="s">
        <v>42</v>
      </c>
      <c r="G93" s="19" t="s">
        <v>60</v>
      </c>
      <c r="H93" s="19" t="s">
        <v>259</v>
      </c>
      <c r="I93" s="19" t="str">
        <f>IF(W93="ADMITIDO","ADMITIDO",IF(W93="CANCELADA","CANCELADA",IF(H93="","",IFERROR(_xlfn.XLOOKUP(H93,Listas!I:I,Listas!J:J),"OUTROS"))))</f>
        <v>TRIAGEM</v>
      </c>
      <c r="J93" s="12" t="s">
        <v>53</v>
      </c>
      <c r="K93" s="11" t="s">
        <v>61</v>
      </c>
      <c r="L93" s="11" t="s">
        <v>161</v>
      </c>
      <c r="M93" s="11" t="s">
        <v>33</v>
      </c>
      <c r="N93" s="11" t="s">
        <v>34</v>
      </c>
      <c r="O93" s="11" t="s">
        <v>72</v>
      </c>
      <c r="P93" s="11" t="s">
        <v>73</v>
      </c>
      <c r="Q93" s="108" t="s">
        <v>416</v>
      </c>
      <c r="R93" s="13" t="s">
        <v>65</v>
      </c>
      <c r="S93" s="13" t="s">
        <v>417</v>
      </c>
      <c r="Z93" s="15"/>
      <c r="AA93" s="149" t="s">
        <v>418</v>
      </c>
      <c r="AB93" s="10">
        <v>0</v>
      </c>
    </row>
    <row r="94" spans="1:28" ht="15.75" hidden="1" customHeight="1">
      <c r="A94" s="90">
        <v>29783</v>
      </c>
      <c r="B94" s="91">
        <v>1</v>
      </c>
      <c r="C94" s="195">
        <v>46121</v>
      </c>
      <c r="D94" s="91">
        <f t="shared" ca="1" si="4"/>
        <v>106</v>
      </c>
      <c r="E94" s="138" t="str">
        <f t="shared" si="3"/>
        <v>ADMITIDO</v>
      </c>
      <c r="F94" s="96" t="s">
        <v>42</v>
      </c>
      <c r="G94" s="19" t="s">
        <v>29</v>
      </c>
      <c r="H94" s="117" t="s">
        <v>40</v>
      </c>
      <c r="I94" s="19" t="str">
        <f>IF(W94="ADMITIDO","ADMITIDO",IF(W94="CANCELADA","CANCELADA",IF(H94="","",IFERROR(_xlfn.XLOOKUP(H94,Listas!I:I,Listas!J:J),"OUTROS"))))</f>
        <v>ADMITIDO</v>
      </c>
      <c r="J94" s="12" t="s">
        <v>116</v>
      </c>
      <c r="K94" s="11" t="s">
        <v>347</v>
      </c>
      <c r="L94" s="11" t="s">
        <v>419</v>
      </c>
      <c r="M94" s="11" t="s">
        <v>420</v>
      </c>
      <c r="N94" s="11" t="s">
        <v>34</v>
      </c>
      <c r="O94" s="11" t="s">
        <v>48</v>
      </c>
      <c r="P94" s="11" t="s">
        <v>131</v>
      </c>
      <c r="Q94" s="108"/>
      <c r="R94" s="13"/>
      <c r="S94" s="13" t="s">
        <v>421</v>
      </c>
      <c r="T94" s="11" t="s">
        <v>38</v>
      </c>
      <c r="U94" s="202">
        <v>46135</v>
      </c>
      <c r="V94" s="41" t="s">
        <v>422</v>
      </c>
      <c r="W94" s="59" t="s">
        <v>40</v>
      </c>
      <c r="X94" s="14">
        <v>46150</v>
      </c>
      <c r="Y94" s="14">
        <v>46153</v>
      </c>
      <c r="Z94" s="15">
        <v>145424</v>
      </c>
      <c r="AA94" s="45"/>
      <c r="AB94" s="10">
        <v>0</v>
      </c>
    </row>
    <row r="95" spans="1:28" ht="15.75" hidden="1" customHeight="1">
      <c r="A95" s="90">
        <v>29780</v>
      </c>
      <c r="B95" s="91">
        <v>1</v>
      </c>
      <c r="C95" s="195">
        <v>46121</v>
      </c>
      <c r="D95" s="91">
        <f t="shared" ca="1" si="4"/>
        <v>106</v>
      </c>
      <c r="E95" s="138" t="str">
        <f t="shared" si="3"/>
        <v>ADMITIDO</v>
      </c>
      <c r="F95" s="96" t="s">
        <v>28</v>
      </c>
      <c r="G95" s="19" t="s">
        <v>240</v>
      </c>
      <c r="H95" s="19" t="str">
        <f t="shared" ref="H95:H101" si="5">W95</f>
        <v>ADMITIDO</v>
      </c>
      <c r="I95" s="19" t="str">
        <f>IF(W95="ADMITIDO","ADMITIDO",IF(W95="CANCELADA","CANCELADA",IF(H95="","",IFERROR(_xlfn.XLOOKUP(H95,Listas!I:I,Listas!J:J),"OUTROS"))))</f>
        <v>ADMITIDO</v>
      </c>
      <c r="J95" s="12" t="s">
        <v>268</v>
      </c>
      <c r="K95" s="11" t="s">
        <v>423</v>
      </c>
      <c r="L95" s="11" t="s">
        <v>424</v>
      </c>
      <c r="M95" s="11" t="s">
        <v>243</v>
      </c>
      <c r="N95" s="11" t="s">
        <v>34</v>
      </c>
      <c r="O95" s="11" t="s">
        <v>35</v>
      </c>
      <c r="P95" s="11" t="s">
        <v>36</v>
      </c>
      <c r="Q95" s="108"/>
      <c r="R95" s="13"/>
      <c r="S95" s="13" t="s">
        <v>425</v>
      </c>
      <c r="T95" s="11" t="s">
        <v>132</v>
      </c>
      <c r="U95" s="202">
        <v>46135</v>
      </c>
      <c r="V95" s="41" t="s">
        <v>426</v>
      </c>
      <c r="W95" s="23" t="s">
        <v>40</v>
      </c>
      <c r="X95" s="14">
        <v>46140</v>
      </c>
      <c r="Y95" s="14">
        <v>46141</v>
      </c>
      <c r="Z95" s="15">
        <v>914182</v>
      </c>
      <c r="AB95" s="10">
        <v>0</v>
      </c>
    </row>
    <row r="96" spans="1:28" ht="15.75" hidden="1" customHeight="1">
      <c r="A96" s="92">
        <v>29769</v>
      </c>
      <c r="B96" s="91">
        <v>1</v>
      </c>
      <c r="C96" s="195">
        <v>46121</v>
      </c>
      <c r="D96" s="91">
        <f t="shared" ca="1" si="4"/>
        <v>106</v>
      </c>
      <c r="E96" s="138" t="str">
        <f t="shared" si="3"/>
        <v>ADMITIDO</v>
      </c>
      <c r="F96" s="96" t="s">
        <v>28</v>
      </c>
      <c r="G96" s="19" t="s">
        <v>29</v>
      </c>
      <c r="H96" s="117" t="str">
        <f t="shared" si="5"/>
        <v>ADMITIDO</v>
      </c>
      <c r="I96" s="19" t="str">
        <f>IF(W96="ADMITIDO","ADMITIDO",IF(W96="CANCELADA","CANCELADA",IF(H96="","",IFERROR(_xlfn.XLOOKUP(H96,Listas!I:I,Listas!J:J),"OUTROS"))))</f>
        <v>ADMITIDO</v>
      </c>
      <c r="J96" s="12" t="s">
        <v>427</v>
      </c>
      <c r="K96" s="11" t="s">
        <v>31</v>
      </c>
      <c r="L96" s="11" t="s">
        <v>428</v>
      </c>
      <c r="M96" s="11" t="s">
        <v>205</v>
      </c>
      <c r="N96" s="11" t="s">
        <v>34</v>
      </c>
      <c r="O96" s="11" t="s">
        <v>35</v>
      </c>
      <c r="P96" s="11" t="s">
        <v>36</v>
      </c>
      <c r="Q96" s="108"/>
      <c r="R96" s="13"/>
      <c r="S96" s="13"/>
      <c r="T96" s="11" t="s">
        <v>38</v>
      </c>
      <c r="U96" s="202">
        <v>46134</v>
      </c>
      <c r="V96" s="57" t="s">
        <v>429</v>
      </c>
      <c r="W96" s="11" t="s">
        <v>40</v>
      </c>
      <c r="X96" s="14">
        <v>46142</v>
      </c>
      <c r="Y96" s="14">
        <v>46143</v>
      </c>
      <c r="Z96" s="15">
        <v>914204</v>
      </c>
      <c r="AA96" s="45"/>
      <c r="AB96" s="10">
        <v>0</v>
      </c>
    </row>
    <row r="97" spans="1:28" ht="15.75" hidden="1" customHeight="1">
      <c r="A97" s="92">
        <v>29774</v>
      </c>
      <c r="B97" s="91">
        <v>1</v>
      </c>
      <c r="C97" s="195">
        <v>46121</v>
      </c>
      <c r="D97" s="91">
        <f t="shared" ca="1" si="4"/>
        <v>106</v>
      </c>
      <c r="E97" s="138" t="str">
        <f t="shared" si="3"/>
        <v>ADMITIDO</v>
      </c>
      <c r="F97" s="96" t="s">
        <v>42</v>
      </c>
      <c r="G97" s="19" t="s">
        <v>43</v>
      </c>
      <c r="H97" s="19" t="str">
        <f t="shared" si="5"/>
        <v>ADMITIDO</v>
      </c>
      <c r="I97" s="19" t="str">
        <f>IF(W97="ADMITIDO","ADMITIDO",IF(W97="CANCELADA","CANCELADA",IF(H97="","",IFERROR(_xlfn.XLOOKUP(H97,Listas!I:I,Listas!J:J),"OUTROS"))))</f>
        <v>ADMITIDO</v>
      </c>
      <c r="J97" s="12" t="s">
        <v>44</v>
      </c>
      <c r="K97" s="11" t="s">
        <v>45</v>
      </c>
      <c r="L97" s="11" t="s">
        <v>430</v>
      </c>
      <c r="M97" s="11" t="s">
        <v>431</v>
      </c>
      <c r="N97" s="11" t="s">
        <v>34</v>
      </c>
      <c r="O97" s="11" t="s">
        <v>57</v>
      </c>
      <c r="P97" s="11" t="s">
        <v>432</v>
      </c>
      <c r="Q97" s="108"/>
      <c r="R97" s="13"/>
      <c r="T97" s="11" t="s">
        <v>50</v>
      </c>
      <c r="U97" s="202">
        <v>46126</v>
      </c>
      <c r="V97" s="41" t="s">
        <v>433</v>
      </c>
      <c r="W97" s="23" t="s">
        <v>40</v>
      </c>
      <c r="X97" s="14">
        <v>46134</v>
      </c>
      <c r="Y97" s="14">
        <v>46139</v>
      </c>
      <c r="Z97" s="15">
        <v>914143</v>
      </c>
      <c r="AB97" s="10">
        <v>0</v>
      </c>
    </row>
    <row r="98" spans="1:28" ht="15.75" hidden="1" customHeight="1">
      <c r="A98" s="92">
        <v>29786</v>
      </c>
      <c r="B98" s="91">
        <v>1</v>
      </c>
      <c r="C98" s="195">
        <v>46121</v>
      </c>
      <c r="D98" s="91">
        <f t="shared" ca="1" si="4"/>
        <v>106</v>
      </c>
      <c r="E98" s="138" t="str">
        <f t="shared" si="3"/>
        <v>ADMITIDO</v>
      </c>
      <c r="F98" s="96" t="s">
        <v>42</v>
      </c>
      <c r="G98" s="19" t="s">
        <v>29</v>
      </c>
      <c r="H98" s="19" t="str">
        <f t="shared" si="5"/>
        <v>ADMITIDO</v>
      </c>
      <c r="I98" s="19" t="str">
        <f>IF(W98="ADMITIDO","ADMITIDO",IF(W98="CANCELADA","CANCELADA",IF(H98="","",IFERROR(_xlfn.XLOOKUP(H98,Listas!I:I,Listas!J:J),"OUTROS"))))</f>
        <v>ADMITIDO</v>
      </c>
      <c r="J98" s="12" t="s">
        <v>44</v>
      </c>
      <c r="K98" s="11" t="s">
        <v>54</v>
      </c>
      <c r="L98" s="11" t="s">
        <v>434</v>
      </c>
      <c r="M98" s="11" t="s">
        <v>435</v>
      </c>
      <c r="N98" s="11" t="s">
        <v>34</v>
      </c>
      <c r="O98" s="11" t="s">
        <v>48</v>
      </c>
      <c r="P98" s="11" t="s">
        <v>49</v>
      </c>
      <c r="Q98" s="108"/>
      <c r="R98" s="13"/>
      <c r="S98" s="24" t="s">
        <v>436</v>
      </c>
      <c r="T98" s="11" t="s">
        <v>38</v>
      </c>
      <c r="U98" s="202">
        <v>46127</v>
      </c>
      <c r="V98" s="41" t="s">
        <v>437</v>
      </c>
      <c r="W98" s="23" t="s">
        <v>40</v>
      </c>
      <c r="X98" s="14">
        <v>46132</v>
      </c>
      <c r="Y98" s="14">
        <v>46134</v>
      </c>
      <c r="Z98" s="15">
        <v>145864</v>
      </c>
      <c r="AB98" s="10">
        <v>0</v>
      </c>
    </row>
    <row r="99" spans="1:28" ht="15.75" hidden="1" customHeight="1">
      <c r="A99" s="90">
        <v>29772</v>
      </c>
      <c r="B99" s="91">
        <v>1</v>
      </c>
      <c r="C99" s="195">
        <v>46121</v>
      </c>
      <c r="D99" s="91">
        <f t="shared" ca="1" si="4"/>
        <v>106</v>
      </c>
      <c r="E99" s="138" t="str">
        <f t="shared" si="3"/>
        <v>ADMITIDO</v>
      </c>
      <c r="F99" s="96" t="s">
        <v>119</v>
      </c>
      <c r="G99" s="19" t="s">
        <v>145</v>
      </c>
      <c r="H99" s="19" t="str">
        <f t="shared" si="5"/>
        <v>ADMITIDO</v>
      </c>
      <c r="I99" s="19" t="str">
        <f>IF(W99="ADMITIDO","ADMITIDO",IF(W99="CANCELADA","CANCELADA",IF(H99="","",IFERROR(_xlfn.XLOOKUP(H99,Listas!I:I,Listas!J:J),"OUTROS"))))</f>
        <v>ADMITIDO</v>
      </c>
      <c r="J99" s="12" t="s">
        <v>438</v>
      </c>
      <c r="K99" s="11" t="s">
        <v>439</v>
      </c>
      <c r="L99" s="11" t="s">
        <v>440</v>
      </c>
      <c r="M99" s="11" t="s">
        <v>119</v>
      </c>
      <c r="N99" s="11" t="s">
        <v>34</v>
      </c>
      <c r="O99" s="11" t="s">
        <v>48</v>
      </c>
      <c r="P99" s="11" t="s">
        <v>441</v>
      </c>
      <c r="Q99" s="108"/>
      <c r="R99" s="13"/>
      <c r="S99" s="13" t="s">
        <v>442</v>
      </c>
      <c r="T99" s="11" t="s">
        <v>132</v>
      </c>
      <c r="U99" s="202">
        <v>46135</v>
      </c>
      <c r="V99" s="41" t="s">
        <v>443</v>
      </c>
      <c r="W99" s="23" t="s">
        <v>40</v>
      </c>
      <c r="X99" s="14">
        <v>46139</v>
      </c>
      <c r="Y99" s="14">
        <v>46139</v>
      </c>
      <c r="Z99" s="15">
        <v>145888</v>
      </c>
      <c r="AB99" s="10">
        <v>0</v>
      </c>
    </row>
    <row r="100" spans="1:28" ht="15.75" hidden="1" customHeight="1">
      <c r="A100" s="90">
        <v>29773</v>
      </c>
      <c r="B100" s="91">
        <v>1</v>
      </c>
      <c r="C100" s="195">
        <v>46121</v>
      </c>
      <c r="D100" s="91">
        <f t="shared" ca="1" si="4"/>
        <v>106</v>
      </c>
      <c r="E100" s="138" t="str">
        <f t="shared" si="3"/>
        <v>ADMITIDO</v>
      </c>
      <c r="F100" s="96" t="s">
        <v>119</v>
      </c>
      <c r="G100" s="19" t="s">
        <v>145</v>
      </c>
      <c r="H100" s="19" t="str">
        <f t="shared" si="5"/>
        <v>ADMITIDO</v>
      </c>
      <c r="I100" s="19" t="str">
        <f>IF(W100="ADMITIDO","ADMITIDO",IF(W100="CANCELADA","CANCELADA",IF(H100="","",IFERROR(_xlfn.XLOOKUP(H100,Listas!I:I,Listas!J:J),"OUTROS"))))</f>
        <v>ADMITIDO</v>
      </c>
      <c r="J100" s="12" t="s">
        <v>444</v>
      </c>
      <c r="K100" s="11" t="s">
        <v>439</v>
      </c>
      <c r="L100" s="11" t="s">
        <v>440</v>
      </c>
      <c r="M100" s="11" t="s">
        <v>119</v>
      </c>
      <c r="N100" s="11" t="s">
        <v>34</v>
      </c>
      <c r="O100" s="11" t="s">
        <v>48</v>
      </c>
      <c r="P100" s="11" t="s">
        <v>441</v>
      </c>
      <c r="Q100" s="108" t="s">
        <v>445</v>
      </c>
      <c r="R100" s="13" t="s">
        <v>373</v>
      </c>
      <c r="S100" s="13" t="s">
        <v>446</v>
      </c>
      <c r="T100" s="11" t="s">
        <v>132</v>
      </c>
      <c r="U100" s="202">
        <v>46135</v>
      </c>
      <c r="V100" s="41" t="s">
        <v>447</v>
      </c>
      <c r="W100" s="23" t="s">
        <v>40</v>
      </c>
      <c r="X100" s="14">
        <v>46139</v>
      </c>
      <c r="Y100" s="14">
        <v>46139</v>
      </c>
      <c r="Z100" s="15">
        <v>145887</v>
      </c>
      <c r="AA100" s="69"/>
      <c r="AB100" s="10">
        <v>0</v>
      </c>
    </row>
    <row r="101" spans="1:28" ht="15.75" hidden="1" customHeight="1">
      <c r="A101" s="92">
        <v>29777</v>
      </c>
      <c r="B101" s="91">
        <v>1</v>
      </c>
      <c r="C101" s="195">
        <v>46121</v>
      </c>
      <c r="D101" s="91">
        <f t="shared" ca="1" si="4"/>
        <v>106</v>
      </c>
      <c r="E101" s="138" t="str">
        <f t="shared" si="3"/>
        <v>ADMITIDO</v>
      </c>
      <c r="F101" s="96" t="s">
        <v>28</v>
      </c>
      <c r="G101" s="19" t="s">
        <v>240</v>
      </c>
      <c r="H101" s="19" t="str">
        <f t="shared" si="5"/>
        <v>ADMITIDO</v>
      </c>
      <c r="I101" s="19" t="str">
        <f>IF(W101="ADMITIDO","ADMITIDO",IF(W101="CANCELADA","CANCELADA",IF(H101="","",IFERROR(_xlfn.XLOOKUP(H101,Listas!I:I,Listas!J:J),"OUTROS"))))</f>
        <v>ADMITIDO</v>
      </c>
      <c r="J101" s="12" t="s">
        <v>448</v>
      </c>
      <c r="K101" s="11" t="s">
        <v>423</v>
      </c>
      <c r="L101" s="11" t="s">
        <v>449</v>
      </c>
      <c r="M101" s="11" t="s">
        <v>63</v>
      </c>
      <c r="N101" s="11" t="s">
        <v>34</v>
      </c>
      <c r="O101" s="11" t="s">
        <v>48</v>
      </c>
      <c r="P101" s="11" t="s">
        <v>450</v>
      </c>
      <c r="Q101" s="108"/>
      <c r="R101" s="13"/>
      <c r="S101" s="13" t="s">
        <v>451</v>
      </c>
      <c r="T101" s="11" t="s">
        <v>132</v>
      </c>
      <c r="V101" s="41" t="s">
        <v>452</v>
      </c>
      <c r="W101" s="23" t="s">
        <v>40</v>
      </c>
      <c r="X101" s="14">
        <v>46132</v>
      </c>
      <c r="Y101" s="14">
        <v>46134</v>
      </c>
      <c r="Z101" s="15">
        <v>914151</v>
      </c>
      <c r="AB101" s="10">
        <v>0</v>
      </c>
    </row>
    <row r="102" spans="1:28" ht="15.75" hidden="1" customHeight="1">
      <c r="A102" s="90">
        <v>29814</v>
      </c>
      <c r="B102" s="91">
        <v>1</v>
      </c>
      <c r="C102" s="195">
        <v>46122</v>
      </c>
      <c r="D102" s="91">
        <f t="shared" ca="1" si="4"/>
        <v>105</v>
      </c>
      <c r="E102" s="138" t="str">
        <f t="shared" si="3"/>
        <v>ADMITIDO</v>
      </c>
      <c r="F102" s="96" t="s">
        <v>42</v>
      </c>
      <c r="G102" s="19" t="s">
        <v>29</v>
      </c>
      <c r="H102" s="117" t="s">
        <v>40</v>
      </c>
      <c r="I102" s="19" t="str">
        <f>IF(W102="ADMITIDO","ADMITIDO",IF(W102="CANCELADA","CANCELADA",IF(H102="","",IFERROR(_xlfn.XLOOKUP(H102,Listas!I:I,Listas!J:J),"OUTROS"))))</f>
        <v>ADMITIDO</v>
      </c>
      <c r="J102" s="12" t="s">
        <v>53</v>
      </c>
      <c r="K102" s="11" t="s">
        <v>54</v>
      </c>
      <c r="L102" s="11" t="s">
        <v>453</v>
      </c>
      <c r="M102" s="11" t="s">
        <v>93</v>
      </c>
      <c r="N102" s="11" t="s">
        <v>56</v>
      </c>
      <c r="O102" s="11" t="s">
        <v>57</v>
      </c>
      <c r="P102" s="11" t="s">
        <v>165</v>
      </c>
      <c r="Q102" s="108"/>
      <c r="R102" s="13"/>
      <c r="S102" s="13"/>
      <c r="T102" s="11" t="s">
        <v>38</v>
      </c>
      <c r="U102" s="202">
        <v>46154</v>
      </c>
      <c r="V102" s="41" t="s">
        <v>454</v>
      </c>
      <c r="W102" s="23" t="s">
        <v>40</v>
      </c>
      <c r="X102" s="14">
        <v>46157</v>
      </c>
      <c r="Y102" s="14">
        <v>46160</v>
      </c>
      <c r="Z102" s="15">
        <v>914280</v>
      </c>
      <c r="AA102" s="45"/>
      <c r="AB102" s="10">
        <v>0</v>
      </c>
    </row>
    <row r="103" spans="1:28" ht="15.75" hidden="1" customHeight="1">
      <c r="A103" s="90">
        <v>29804</v>
      </c>
      <c r="B103" s="91">
        <v>1</v>
      </c>
      <c r="C103" s="195">
        <v>46122</v>
      </c>
      <c r="D103" s="91">
        <f t="shared" ca="1" si="4"/>
        <v>105</v>
      </c>
      <c r="E103" s="138" t="str">
        <f t="shared" ca="1" si="3"/>
        <v>CRÍTICO</v>
      </c>
      <c r="F103" s="96" t="s">
        <v>42</v>
      </c>
      <c r="G103" s="19" t="s">
        <v>240</v>
      </c>
      <c r="H103" s="19" t="s">
        <v>214</v>
      </c>
      <c r="I103" s="19" t="str">
        <f>IF(W103="ADMITIDO","ADMITIDO",IF(W103="CANCELADA","CANCELADA",IF(H103="","",IFERROR(_xlfn.XLOOKUP(H103,Listas!I:I,Listas!J:J),"OUTROS"))))</f>
        <v>TRIAGEM</v>
      </c>
      <c r="J103" s="12" t="s">
        <v>44</v>
      </c>
      <c r="K103" s="11" t="s">
        <v>241</v>
      </c>
      <c r="L103" s="11" t="s">
        <v>407</v>
      </c>
      <c r="M103" s="11" t="s">
        <v>243</v>
      </c>
      <c r="N103" s="11" t="s">
        <v>34</v>
      </c>
      <c r="O103" s="11" t="s">
        <v>48</v>
      </c>
      <c r="P103" s="11" t="s">
        <v>49</v>
      </c>
      <c r="Q103" s="108"/>
      <c r="R103" s="13" t="s">
        <v>455</v>
      </c>
      <c r="S103" s="13" t="s">
        <v>456</v>
      </c>
      <c r="W103" s="59"/>
      <c r="Z103" s="15"/>
      <c r="AA103" s="149" t="s">
        <v>457</v>
      </c>
      <c r="AB103" s="10">
        <v>0</v>
      </c>
    </row>
    <row r="104" spans="1:28" ht="15.75" hidden="1" customHeight="1">
      <c r="A104" s="92">
        <v>29744</v>
      </c>
      <c r="B104" s="91">
        <v>1</v>
      </c>
      <c r="C104" s="195">
        <v>46120</v>
      </c>
      <c r="D104" s="91">
        <f ca="1">TODAY()-C104</f>
        <v>107</v>
      </c>
      <c r="E104" s="138" t="str">
        <f t="shared" si="3"/>
        <v>ADMITIDO</v>
      </c>
      <c r="F104" s="96" t="s">
        <v>42</v>
      </c>
      <c r="G104" s="19" t="s">
        <v>69</v>
      </c>
      <c r="H104" s="19" t="s">
        <v>40</v>
      </c>
      <c r="I104" s="19" t="str">
        <f>IF(W104="ADMITIDO","ADMITIDO",IF(W104="CANCELADA","CANCELADA",IF(H104="","",IFERROR(_xlfn.XLOOKUP(H104,Listas!I:I,Listas!J:J),"OUTROS"))))</f>
        <v>ADMITIDO</v>
      </c>
      <c r="J104" s="12" t="s">
        <v>53</v>
      </c>
      <c r="K104" s="11" t="s">
        <v>158</v>
      </c>
      <c r="L104" s="11" t="s">
        <v>159</v>
      </c>
      <c r="M104" s="11" t="s">
        <v>63</v>
      </c>
      <c r="N104" s="11" t="s">
        <v>34</v>
      </c>
      <c r="O104" s="11" t="s">
        <v>57</v>
      </c>
      <c r="P104" s="11" t="s">
        <v>220</v>
      </c>
      <c r="Q104" s="108"/>
      <c r="R104" s="13" t="s">
        <v>65</v>
      </c>
      <c r="S104" s="13" t="s">
        <v>458</v>
      </c>
      <c r="T104" s="11" t="s">
        <v>76</v>
      </c>
      <c r="U104" s="202">
        <v>46155</v>
      </c>
      <c r="V104" s="41" t="s">
        <v>459</v>
      </c>
      <c r="W104" s="23" t="s">
        <v>40</v>
      </c>
      <c r="X104" s="48">
        <v>46157</v>
      </c>
      <c r="Y104" s="48">
        <v>46161</v>
      </c>
      <c r="Z104" s="50">
        <v>145972</v>
      </c>
      <c r="AA104" s="152" t="s">
        <v>460</v>
      </c>
      <c r="AB104" s="10">
        <v>0</v>
      </c>
    </row>
    <row r="105" spans="1:28" ht="15.75" hidden="1" customHeight="1">
      <c r="A105" s="92">
        <v>29810</v>
      </c>
      <c r="B105" s="91">
        <v>1</v>
      </c>
      <c r="C105" s="195">
        <v>46122</v>
      </c>
      <c r="D105" s="91">
        <f t="shared" ca="1" si="4"/>
        <v>105</v>
      </c>
      <c r="E105" s="138" t="str">
        <f t="shared" si="3"/>
        <v>ADMITIDO</v>
      </c>
      <c r="F105" s="96" t="s">
        <v>42</v>
      </c>
      <c r="G105" s="19" t="s">
        <v>69</v>
      </c>
      <c r="H105" s="19" t="str">
        <f>W105</f>
        <v>ADMITIDO</v>
      </c>
      <c r="I105" s="19" t="str">
        <f>IF(W105="ADMITIDO","ADMITIDO",IF(W105="CANCELADA","CANCELADA",IF(H105="","",IFERROR(_xlfn.XLOOKUP(H105,Listas!I:I,Listas!J:J),"OUTROS"))))</f>
        <v>ADMITIDO</v>
      </c>
      <c r="J105" s="12" t="s">
        <v>461</v>
      </c>
      <c r="K105" s="11" t="s">
        <v>70</v>
      </c>
      <c r="L105" s="11" t="s">
        <v>343</v>
      </c>
      <c r="M105" s="11" t="s">
        <v>63</v>
      </c>
      <c r="N105" s="11" t="s">
        <v>34</v>
      </c>
      <c r="O105" s="11" t="s">
        <v>219</v>
      </c>
      <c r="P105" s="11" t="s">
        <v>462</v>
      </c>
      <c r="Q105" s="108"/>
      <c r="R105" s="13" t="s">
        <v>463</v>
      </c>
      <c r="S105" s="13" t="s">
        <v>464</v>
      </c>
      <c r="T105" s="11" t="s">
        <v>67</v>
      </c>
      <c r="U105" s="202">
        <v>46129</v>
      </c>
      <c r="V105" s="41" t="s">
        <v>465</v>
      </c>
      <c r="W105" s="76" t="s">
        <v>40</v>
      </c>
      <c r="X105" s="14">
        <v>46135</v>
      </c>
      <c r="Y105" s="14">
        <v>46136</v>
      </c>
      <c r="Z105" s="15">
        <v>914160</v>
      </c>
      <c r="AB105" s="10">
        <v>0</v>
      </c>
    </row>
    <row r="106" spans="1:28" ht="15.75" hidden="1" customHeight="1">
      <c r="A106" s="92">
        <v>29812</v>
      </c>
      <c r="B106" s="91">
        <v>1</v>
      </c>
      <c r="C106" s="195">
        <v>46122</v>
      </c>
      <c r="D106" s="91">
        <f t="shared" ca="1" si="4"/>
        <v>105</v>
      </c>
      <c r="E106" s="138" t="str">
        <f t="shared" si="3"/>
        <v>ADMITIDO</v>
      </c>
      <c r="F106" s="96" t="s">
        <v>42</v>
      </c>
      <c r="G106" s="19" t="s">
        <v>29</v>
      </c>
      <c r="H106" s="19" t="str">
        <f>W106</f>
        <v>ADMITIDO</v>
      </c>
      <c r="I106" s="19" t="str">
        <f>IF(W106="ADMITIDO","ADMITIDO",IF(W106="CANCELADA","CANCELADA",IF(H106="","",IFERROR(_xlfn.XLOOKUP(H106,Listas!I:I,Listas!J:J),"OUTROS"))))</f>
        <v>ADMITIDO</v>
      </c>
      <c r="J106" s="12" t="s">
        <v>53</v>
      </c>
      <c r="K106" s="11" t="s">
        <v>54</v>
      </c>
      <c r="L106" s="11" t="s">
        <v>164</v>
      </c>
      <c r="M106" s="11" t="s">
        <v>88</v>
      </c>
      <c r="N106" s="11" t="s">
        <v>34</v>
      </c>
      <c r="O106" s="11" t="s">
        <v>57</v>
      </c>
      <c r="P106" s="11" t="s">
        <v>94</v>
      </c>
      <c r="Q106" s="108"/>
      <c r="R106" s="13"/>
      <c r="S106" s="24" t="s">
        <v>466</v>
      </c>
      <c r="T106" s="11" t="s">
        <v>38</v>
      </c>
      <c r="U106" s="202">
        <v>46126</v>
      </c>
      <c r="V106" s="41" t="s">
        <v>467</v>
      </c>
      <c r="W106" s="23" t="s">
        <v>40</v>
      </c>
      <c r="X106" s="52">
        <v>46129</v>
      </c>
      <c r="Y106" s="52">
        <v>46134</v>
      </c>
      <c r="Z106" s="54">
        <v>145851</v>
      </c>
      <c r="AA106" s="155"/>
      <c r="AB106" s="61">
        <v>0</v>
      </c>
    </row>
    <row r="107" spans="1:28" ht="15.75" hidden="1" customHeight="1">
      <c r="A107" s="92">
        <v>29813</v>
      </c>
      <c r="B107" s="91">
        <v>1</v>
      </c>
      <c r="C107" s="195">
        <v>46122</v>
      </c>
      <c r="D107" s="91">
        <f t="shared" ca="1" si="4"/>
        <v>105</v>
      </c>
      <c r="E107" s="138" t="str">
        <f t="shared" si="3"/>
        <v>ADMITIDO</v>
      </c>
      <c r="F107" s="96" t="s">
        <v>42</v>
      </c>
      <c r="G107" s="19" t="s">
        <v>29</v>
      </c>
      <c r="H107" s="19" t="str">
        <f>W107</f>
        <v>ADMITIDO</v>
      </c>
      <c r="I107" s="19" t="str">
        <f>IF(W107="ADMITIDO","ADMITIDO",IF(W107="CANCELADA","CANCELADA",IF(H107="","",IFERROR(_xlfn.XLOOKUP(H107,Listas!I:I,Listas!J:J),"OUTROS"))))</f>
        <v>ADMITIDO</v>
      </c>
      <c r="J107" s="12" t="s">
        <v>53</v>
      </c>
      <c r="K107" s="11" t="s">
        <v>54</v>
      </c>
      <c r="L107" s="11" t="s">
        <v>164</v>
      </c>
      <c r="M107" s="11" t="s">
        <v>88</v>
      </c>
      <c r="N107" s="11" t="s">
        <v>34</v>
      </c>
      <c r="O107" s="11" t="s">
        <v>57</v>
      </c>
      <c r="P107" s="11" t="s">
        <v>231</v>
      </c>
      <c r="Q107" s="108"/>
      <c r="R107" s="13"/>
      <c r="S107" s="24" t="s">
        <v>468</v>
      </c>
      <c r="T107" s="11" t="s">
        <v>38</v>
      </c>
      <c r="U107" s="202">
        <v>46126</v>
      </c>
      <c r="V107" s="49" t="s">
        <v>469</v>
      </c>
      <c r="W107" s="23" t="s">
        <v>40</v>
      </c>
      <c r="X107" s="14">
        <v>46134</v>
      </c>
      <c r="Y107" s="14">
        <v>46135</v>
      </c>
      <c r="Z107" s="15">
        <v>145858</v>
      </c>
      <c r="AB107" s="10">
        <v>0</v>
      </c>
    </row>
    <row r="108" spans="1:28" ht="15.75" hidden="1" customHeight="1">
      <c r="A108" s="90">
        <v>29803</v>
      </c>
      <c r="B108" s="91">
        <v>1</v>
      </c>
      <c r="C108" s="195">
        <v>46122</v>
      </c>
      <c r="D108" s="91">
        <f t="shared" ca="1" si="4"/>
        <v>105</v>
      </c>
      <c r="E108" s="138" t="str">
        <f t="shared" ca="1" si="3"/>
        <v>CRÍTICO</v>
      </c>
      <c r="F108" s="96" t="s">
        <v>42</v>
      </c>
      <c r="G108" s="19" t="s">
        <v>240</v>
      </c>
      <c r="H108" s="19" t="s">
        <v>181</v>
      </c>
      <c r="I108" s="19" t="str">
        <f>IF(W108="ADMITIDO","ADMITIDO",IF(W108="CANCELADA","CANCELADA",IF(H108="","",IFERROR(_xlfn.XLOOKUP(H108,Listas!I:I,Listas!J:J),"OUTROS"))))</f>
        <v>DOCUMENTAÇÃO</v>
      </c>
      <c r="J108" s="12" t="s">
        <v>44</v>
      </c>
      <c r="K108" s="11" t="s">
        <v>241</v>
      </c>
      <c r="L108" s="11" t="s">
        <v>351</v>
      </c>
      <c r="M108" s="11" t="s">
        <v>63</v>
      </c>
      <c r="N108" s="11" t="s">
        <v>34</v>
      </c>
      <c r="O108" s="11" t="s">
        <v>57</v>
      </c>
      <c r="P108" s="11" t="s">
        <v>470</v>
      </c>
      <c r="Q108" s="108" t="s">
        <v>471</v>
      </c>
      <c r="R108" s="13" t="s">
        <v>65</v>
      </c>
      <c r="S108" s="13" t="s">
        <v>472</v>
      </c>
      <c r="T108" s="11" t="s">
        <v>76</v>
      </c>
      <c r="U108" s="213">
        <v>46157</v>
      </c>
      <c r="V108" s="41" t="s">
        <v>473</v>
      </c>
      <c r="W108" s="208" t="s">
        <v>284</v>
      </c>
      <c r="Z108" s="15"/>
      <c r="AA108" s="45" t="s">
        <v>474</v>
      </c>
      <c r="AB108" s="10">
        <v>0</v>
      </c>
    </row>
    <row r="109" spans="1:28" ht="15.75" hidden="1" customHeight="1">
      <c r="A109" s="92">
        <v>29806</v>
      </c>
      <c r="B109" s="91">
        <v>1</v>
      </c>
      <c r="C109" s="195">
        <v>46122</v>
      </c>
      <c r="D109" s="91">
        <f t="shared" ca="1" si="4"/>
        <v>105</v>
      </c>
      <c r="E109" s="138" t="str">
        <f t="shared" si="3"/>
        <v>ADMITIDO</v>
      </c>
      <c r="F109" s="96" t="s">
        <v>42</v>
      </c>
      <c r="G109" s="19" t="s">
        <v>240</v>
      </c>
      <c r="H109" s="19" t="str">
        <f>W109</f>
        <v>ADMITIDO</v>
      </c>
      <c r="I109" s="19" t="str">
        <f>IF(W109="ADMITIDO","ADMITIDO",IF(W109="CANCELADA","CANCELADA",IF(H109="","",IFERROR(_xlfn.XLOOKUP(H109,Listas!I:I,Listas!J:J),"OUTROS"))))</f>
        <v>ADMITIDO</v>
      </c>
      <c r="J109" s="12" t="s">
        <v>53</v>
      </c>
      <c r="K109" s="11" t="s">
        <v>241</v>
      </c>
      <c r="L109" s="11" t="s">
        <v>475</v>
      </c>
      <c r="M109" s="11" t="s">
        <v>243</v>
      </c>
      <c r="N109" s="11" t="s">
        <v>34</v>
      </c>
      <c r="O109" s="11" t="s">
        <v>57</v>
      </c>
      <c r="P109" s="11" t="s">
        <v>476</v>
      </c>
      <c r="Q109" s="108" t="s">
        <v>477</v>
      </c>
      <c r="R109" s="13"/>
      <c r="S109" s="13"/>
      <c r="T109" s="11" t="s">
        <v>109</v>
      </c>
      <c r="U109" s="202">
        <v>46149</v>
      </c>
      <c r="V109" s="53" t="s">
        <v>478</v>
      </c>
      <c r="W109" s="19" t="s">
        <v>40</v>
      </c>
      <c r="X109" s="14">
        <v>46155</v>
      </c>
      <c r="Y109" s="14">
        <v>46157</v>
      </c>
      <c r="Z109" s="15">
        <v>145952</v>
      </c>
      <c r="AB109" s="10">
        <v>0</v>
      </c>
    </row>
    <row r="110" spans="1:28" ht="15.75" hidden="1" customHeight="1">
      <c r="A110" s="92">
        <v>29805</v>
      </c>
      <c r="B110" s="91">
        <v>1</v>
      </c>
      <c r="C110" s="195">
        <v>46122</v>
      </c>
      <c r="D110" s="91">
        <f t="shared" ca="1" si="4"/>
        <v>105</v>
      </c>
      <c r="E110" s="138" t="str">
        <f t="shared" si="3"/>
        <v>CANCELADA</v>
      </c>
      <c r="F110" s="96" t="s">
        <v>42</v>
      </c>
      <c r="G110" s="19" t="s">
        <v>240</v>
      </c>
      <c r="H110" s="19" t="s">
        <v>52</v>
      </c>
      <c r="I110" s="19" t="str">
        <f>IF(W110="ADMITIDO","ADMITIDO",IF(W110="CANCELADA","CANCELADA",IF(H110="","",IFERROR(_xlfn.XLOOKUP(H110,Listas!I:I,Listas!J:J),"OUTROS"))))</f>
        <v>CANCELADA</v>
      </c>
      <c r="J110" s="12" t="s">
        <v>479</v>
      </c>
      <c r="K110" s="11" t="s">
        <v>241</v>
      </c>
      <c r="L110" s="11" t="s">
        <v>475</v>
      </c>
      <c r="M110" s="11" t="s">
        <v>243</v>
      </c>
      <c r="N110" s="11" t="s">
        <v>34</v>
      </c>
      <c r="O110" s="11" t="s">
        <v>57</v>
      </c>
      <c r="P110" s="11" t="s">
        <v>98</v>
      </c>
      <c r="Q110" s="108" t="s">
        <v>365</v>
      </c>
      <c r="R110" s="13"/>
      <c r="S110" s="13"/>
      <c r="W110" s="23" t="s">
        <v>52</v>
      </c>
      <c r="Z110" s="15"/>
      <c r="AB110" s="10">
        <v>0</v>
      </c>
    </row>
    <row r="111" spans="1:28" ht="15.75" hidden="1" customHeight="1">
      <c r="A111" s="90">
        <v>29807</v>
      </c>
      <c r="B111" s="91">
        <v>1</v>
      </c>
      <c r="C111" s="195">
        <v>46122</v>
      </c>
      <c r="D111" s="91">
        <f t="shared" ca="1" si="4"/>
        <v>105</v>
      </c>
      <c r="E111" s="138" t="str">
        <f t="shared" si="3"/>
        <v>ADMITIDO</v>
      </c>
      <c r="F111" s="96" t="s">
        <v>42</v>
      </c>
      <c r="G111" s="19" t="s">
        <v>240</v>
      </c>
      <c r="H111" s="19" t="str">
        <f>W111</f>
        <v>ADMITIDO</v>
      </c>
      <c r="I111" s="19" t="str">
        <f>IF(W111="ADMITIDO","ADMITIDO",IF(W111="CANCELADA","CANCELADA",IF(H111="","",IFERROR(_xlfn.XLOOKUP(H111,Listas!I:I,Listas!J:J),"OUTROS"))))</f>
        <v>ADMITIDO</v>
      </c>
      <c r="J111" s="12" t="s">
        <v>53</v>
      </c>
      <c r="K111" s="11" t="s">
        <v>241</v>
      </c>
      <c r="L111" s="11" t="s">
        <v>312</v>
      </c>
      <c r="M111" s="11" t="s">
        <v>243</v>
      </c>
      <c r="N111" s="11" t="s">
        <v>34</v>
      </c>
      <c r="O111" s="11" t="s">
        <v>57</v>
      </c>
      <c r="P111" s="11" t="s">
        <v>480</v>
      </c>
      <c r="Q111" s="108"/>
      <c r="R111" s="13"/>
      <c r="S111" s="13" t="s">
        <v>481</v>
      </c>
      <c r="T111" s="11" t="s">
        <v>132</v>
      </c>
      <c r="U111" s="202">
        <v>46135</v>
      </c>
      <c r="V111" s="41" t="s">
        <v>482</v>
      </c>
      <c r="W111" s="23" t="s">
        <v>40</v>
      </c>
      <c r="X111" s="14">
        <v>46140</v>
      </c>
      <c r="Y111" s="14">
        <v>46141</v>
      </c>
      <c r="Z111" s="15">
        <v>914194</v>
      </c>
      <c r="AA111" s="149" t="s">
        <v>483</v>
      </c>
      <c r="AB111" s="10">
        <v>0</v>
      </c>
    </row>
    <row r="112" spans="1:28" ht="15.75" hidden="1" customHeight="1">
      <c r="A112" s="92">
        <v>29809</v>
      </c>
      <c r="B112" s="91">
        <v>1</v>
      </c>
      <c r="C112" s="195">
        <v>46122</v>
      </c>
      <c r="D112" s="91">
        <f t="shared" ca="1" si="4"/>
        <v>105</v>
      </c>
      <c r="E112" s="138" t="str">
        <f t="shared" si="3"/>
        <v>CANCELADA</v>
      </c>
      <c r="F112" s="96" t="s">
        <v>42</v>
      </c>
      <c r="G112" s="19" t="s">
        <v>240</v>
      </c>
      <c r="H112" s="19" t="s">
        <v>52</v>
      </c>
      <c r="I112" s="19" t="str">
        <f>IF(W112="ADMITIDO","ADMITIDO",IF(W112="CANCELADA","CANCELADA",IF(H112="","",IFERROR(_xlfn.XLOOKUP(H112,Listas!I:I,Listas!J:J),"OUTROS"))))</f>
        <v>CANCELADA</v>
      </c>
      <c r="J112" s="12" t="s">
        <v>53</v>
      </c>
      <c r="K112" s="11" t="s">
        <v>241</v>
      </c>
      <c r="L112" s="11" t="s">
        <v>312</v>
      </c>
      <c r="M112" s="11" t="s">
        <v>243</v>
      </c>
      <c r="N112" s="11" t="s">
        <v>34</v>
      </c>
      <c r="O112" s="11" t="s">
        <v>57</v>
      </c>
      <c r="P112" s="11" t="s">
        <v>480</v>
      </c>
      <c r="Q112" s="108"/>
      <c r="R112" s="13"/>
      <c r="S112" s="13"/>
      <c r="W112" s="23" t="s">
        <v>52</v>
      </c>
      <c r="X112" s="48"/>
      <c r="Y112" s="48"/>
      <c r="Z112" s="50"/>
      <c r="AA112" s="152"/>
      <c r="AB112" s="10">
        <v>0</v>
      </c>
    </row>
    <row r="113" spans="1:28" ht="15.75" hidden="1" customHeight="1">
      <c r="A113" s="92">
        <v>29797</v>
      </c>
      <c r="B113" s="91">
        <v>1</v>
      </c>
      <c r="C113" s="195">
        <v>46122</v>
      </c>
      <c r="D113" s="91">
        <f t="shared" ca="1" si="4"/>
        <v>105</v>
      </c>
      <c r="E113" s="138" t="str">
        <f t="shared" si="3"/>
        <v>ADMITIDO</v>
      </c>
      <c r="F113" s="96" t="s">
        <v>28</v>
      </c>
      <c r="G113" s="19" t="s">
        <v>60</v>
      </c>
      <c r="H113" s="19" t="str">
        <f>W113</f>
        <v>ADMITIDO</v>
      </c>
      <c r="I113" s="19" t="str">
        <f>IF(W113="ADMITIDO","ADMITIDO",IF(W113="CANCELADA","CANCELADA",IF(H113="","",IFERROR(_xlfn.XLOOKUP(H113,Listas!I:I,Listas!J:J),"OUTROS"))))</f>
        <v>ADMITIDO</v>
      </c>
      <c r="J113" s="12" t="s">
        <v>268</v>
      </c>
      <c r="K113" s="11" t="s">
        <v>61</v>
      </c>
      <c r="L113" s="11" t="s">
        <v>255</v>
      </c>
      <c r="M113" s="11" t="s">
        <v>63</v>
      </c>
      <c r="N113" s="11" t="s">
        <v>34</v>
      </c>
      <c r="O113" s="11" t="s">
        <v>35</v>
      </c>
      <c r="P113" s="11" t="s">
        <v>36</v>
      </c>
      <c r="Q113" s="108" t="s">
        <v>484</v>
      </c>
      <c r="R113" s="13" t="s">
        <v>65</v>
      </c>
      <c r="S113" s="13" t="s">
        <v>485</v>
      </c>
      <c r="T113" s="11" t="s">
        <v>67</v>
      </c>
      <c r="U113" s="202">
        <v>46129</v>
      </c>
      <c r="V113" s="41" t="s">
        <v>486</v>
      </c>
      <c r="W113" s="76" t="s">
        <v>40</v>
      </c>
      <c r="X113" s="14">
        <v>46134</v>
      </c>
      <c r="Y113" s="14">
        <v>46135</v>
      </c>
      <c r="Z113" s="15">
        <v>914159</v>
      </c>
      <c r="AB113" s="10">
        <v>0</v>
      </c>
    </row>
    <row r="114" spans="1:28" ht="15.75" hidden="1" customHeight="1">
      <c r="A114" s="92">
        <v>29801</v>
      </c>
      <c r="B114" s="91">
        <v>1</v>
      </c>
      <c r="C114" s="195">
        <v>46122</v>
      </c>
      <c r="D114" s="91">
        <f t="shared" ca="1" si="4"/>
        <v>105</v>
      </c>
      <c r="E114" s="138" t="str">
        <f t="shared" si="3"/>
        <v>ADMITIDO</v>
      </c>
      <c r="F114" s="96" t="s">
        <v>28</v>
      </c>
      <c r="G114" s="19" t="s">
        <v>240</v>
      </c>
      <c r="H114" s="19" t="s">
        <v>40</v>
      </c>
      <c r="I114" s="19" t="str">
        <f>IF(W114="ADMITIDO","ADMITIDO",IF(W114="CANCELADA","CANCELADA",IF(H114="","",IFERROR(_xlfn.XLOOKUP(H114,Listas!I:I,Listas!J:J),"OUTROS"))))</f>
        <v>ADMITIDO</v>
      </c>
      <c r="J114" s="12" t="s">
        <v>487</v>
      </c>
      <c r="K114" s="11" t="s">
        <v>423</v>
      </c>
      <c r="L114" s="11" t="s">
        <v>488</v>
      </c>
      <c r="M114" s="11" t="s">
        <v>63</v>
      </c>
      <c r="N114" s="11" t="s">
        <v>34</v>
      </c>
      <c r="O114" s="11" t="s">
        <v>35</v>
      </c>
      <c r="P114" s="11" t="s">
        <v>36</v>
      </c>
      <c r="Q114" s="108"/>
      <c r="R114" s="13"/>
      <c r="S114" s="13" t="s">
        <v>489</v>
      </c>
      <c r="T114" s="11" t="s">
        <v>76</v>
      </c>
      <c r="U114" s="202">
        <v>46132</v>
      </c>
      <c r="V114" s="41" t="s">
        <v>490</v>
      </c>
      <c r="W114" s="23" t="s">
        <v>40</v>
      </c>
      <c r="X114" s="52">
        <v>46134</v>
      </c>
      <c r="Y114" s="52">
        <v>46135</v>
      </c>
      <c r="Z114" s="54">
        <v>914158</v>
      </c>
      <c r="AA114" s="155"/>
      <c r="AB114" s="10">
        <v>0</v>
      </c>
    </row>
    <row r="115" spans="1:28" ht="15.75" hidden="1" customHeight="1">
      <c r="A115" s="92">
        <v>29792</v>
      </c>
      <c r="B115" s="91">
        <v>1</v>
      </c>
      <c r="C115" s="195">
        <v>46122</v>
      </c>
      <c r="D115" s="91">
        <f t="shared" ca="1" si="4"/>
        <v>105</v>
      </c>
      <c r="E115" s="138" t="str">
        <f t="shared" si="3"/>
        <v>ADMITIDO</v>
      </c>
      <c r="F115" s="96" t="s">
        <v>42</v>
      </c>
      <c r="G115" s="19" t="s">
        <v>240</v>
      </c>
      <c r="H115" s="19" t="str">
        <f>W115</f>
        <v>ADMITIDO</v>
      </c>
      <c r="I115" s="19" t="str">
        <f>IF(W115="ADMITIDO","ADMITIDO",IF(W115="CANCELADA","CANCELADA",IF(H115="","",IFERROR(_xlfn.XLOOKUP(H115,Listas!I:I,Listas!J:J),"OUTROS"))))</f>
        <v>ADMITIDO</v>
      </c>
      <c r="J115" s="12" t="s">
        <v>163</v>
      </c>
      <c r="K115" s="11" t="s">
        <v>241</v>
      </c>
      <c r="L115" s="11" t="s">
        <v>491</v>
      </c>
      <c r="M115" s="11" t="s">
        <v>63</v>
      </c>
      <c r="N115" s="11" t="s">
        <v>34</v>
      </c>
      <c r="O115" s="11" t="s">
        <v>57</v>
      </c>
      <c r="P115" s="11" t="s">
        <v>432</v>
      </c>
      <c r="Q115" s="108"/>
      <c r="R115" s="13"/>
      <c r="S115" s="13" t="s">
        <v>492</v>
      </c>
      <c r="T115" s="11" t="s">
        <v>132</v>
      </c>
      <c r="U115" s="202">
        <v>46126</v>
      </c>
      <c r="V115" s="41" t="s">
        <v>493</v>
      </c>
      <c r="W115" s="23" t="s">
        <v>40</v>
      </c>
      <c r="X115" s="14">
        <v>46132</v>
      </c>
      <c r="Y115" s="14">
        <v>46134</v>
      </c>
      <c r="Z115" s="15">
        <v>145865</v>
      </c>
      <c r="AB115" s="10">
        <v>0</v>
      </c>
    </row>
    <row r="116" spans="1:28" ht="15.75" hidden="1" customHeight="1">
      <c r="A116" s="92">
        <v>29802</v>
      </c>
      <c r="B116" s="91">
        <v>1</v>
      </c>
      <c r="C116" s="195">
        <v>46122</v>
      </c>
      <c r="D116" s="91">
        <f t="shared" ca="1" si="4"/>
        <v>105</v>
      </c>
      <c r="E116" s="138" t="str">
        <f t="shared" si="3"/>
        <v>CANCELADA</v>
      </c>
      <c r="F116" s="96" t="s">
        <v>42</v>
      </c>
      <c r="G116" s="19" t="s">
        <v>240</v>
      </c>
      <c r="H116" s="19" t="s">
        <v>52</v>
      </c>
      <c r="I116" s="19" t="str">
        <f>IF(W116="ADMITIDO","ADMITIDO",IF(W116="CANCELADA","CANCELADA",IF(H116="","",IFERROR(_xlfn.XLOOKUP(H116,Listas!I:I,Listas!J:J),"OUTROS"))))</f>
        <v>CANCELADA</v>
      </c>
      <c r="J116" s="12" t="s">
        <v>53</v>
      </c>
      <c r="K116" s="11" t="s">
        <v>241</v>
      </c>
      <c r="L116" s="11" t="s">
        <v>494</v>
      </c>
      <c r="M116" s="11" t="s">
        <v>175</v>
      </c>
      <c r="N116" s="11" t="s">
        <v>56</v>
      </c>
      <c r="O116" s="11" t="s">
        <v>35</v>
      </c>
      <c r="P116" s="11" t="s">
        <v>176</v>
      </c>
      <c r="Q116" s="108"/>
      <c r="R116" s="13"/>
      <c r="S116" s="13"/>
      <c r="W116" s="23" t="s">
        <v>52</v>
      </c>
      <c r="Z116" s="15"/>
      <c r="AB116" s="10">
        <v>0</v>
      </c>
    </row>
    <row r="117" spans="1:28" ht="15.75" hidden="1" customHeight="1">
      <c r="A117" s="92">
        <v>29819</v>
      </c>
      <c r="B117" s="91">
        <v>1</v>
      </c>
      <c r="C117" s="195">
        <v>46125</v>
      </c>
      <c r="D117" s="91">
        <f t="shared" ca="1" si="4"/>
        <v>102</v>
      </c>
      <c r="E117" s="138" t="str">
        <f t="shared" si="3"/>
        <v>CANCELADA</v>
      </c>
      <c r="F117" s="96" t="s">
        <v>28</v>
      </c>
      <c r="G117" s="19" t="s">
        <v>29</v>
      </c>
      <c r="H117" s="19" t="s">
        <v>52</v>
      </c>
      <c r="I117" s="19" t="str">
        <f>IF(W117="ADMITIDO","ADMITIDO",IF(W117="CANCELADA","CANCELADA",IF(H117="","",IFERROR(_xlfn.XLOOKUP(H117,Listas!I:I,Listas!J:J),"OUTROS"))))</f>
        <v>CANCELADA</v>
      </c>
      <c r="J117" s="12" t="s">
        <v>30</v>
      </c>
      <c r="K117" s="11" t="s">
        <v>86</v>
      </c>
      <c r="L117" s="11" t="s">
        <v>495</v>
      </c>
      <c r="M117" s="11" t="s">
        <v>496</v>
      </c>
      <c r="N117" s="11" t="s">
        <v>34</v>
      </c>
      <c r="O117" s="11" t="s">
        <v>35</v>
      </c>
      <c r="P117" s="11" t="s">
        <v>36</v>
      </c>
      <c r="Q117" s="108" t="s">
        <v>497</v>
      </c>
      <c r="R117" s="13"/>
      <c r="S117" s="13"/>
      <c r="W117" s="23" t="s">
        <v>52</v>
      </c>
      <c r="Z117" s="15"/>
      <c r="AB117" s="10">
        <v>0</v>
      </c>
    </row>
    <row r="118" spans="1:28" ht="15.75" hidden="1" customHeight="1">
      <c r="A118" s="92">
        <v>29827</v>
      </c>
      <c r="B118" s="91">
        <v>1</v>
      </c>
      <c r="C118" s="195">
        <v>46125</v>
      </c>
      <c r="D118" s="91">
        <f t="shared" ca="1" si="4"/>
        <v>102</v>
      </c>
      <c r="E118" s="138" t="str">
        <f t="shared" si="3"/>
        <v>ADMITIDO</v>
      </c>
      <c r="F118" s="96" t="s">
        <v>42</v>
      </c>
      <c r="G118" s="19" t="s">
        <v>60</v>
      </c>
      <c r="H118" s="19" t="s">
        <v>40</v>
      </c>
      <c r="I118" s="19" t="str">
        <f>IF(W118="ADMITIDO","ADMITIDO",IF(W118="CANCELADA","CANCELADA",IF(H118="","",IFERROR(_xlfn.XLOOKUP(H118,Listas!I:I,Listas!J:J),"OUTROS"))))</f>
        <v>ADMITIDO</v>
      </c>
      <c r="J118" s="12" t="s">
        <v>53</v>
      </c>
      <c r="K118" s="11" t="s">
        <v>61</v>
      </c>
      <c r="L118" s="11" t="s">
        <v>498</v>
      </c>
      <c r="M118" s="11" t="s">
        <v>63</v>
      </c>
      <c r="N118" s="11" t="s">
        <v>34</v>
      </c>
      <c r="O118" s="11" t="s">
        <v>72</v>
      </c>
      <c r="P118" s="11" t="s">
        <v>151</v>
      </c>
      <c r="Q118" s="108" t="s">
        <v>499</v>
      </c>
      <c r="R118" s="13"/>
      <c r="S118" s="13"/>
      <c r="T118" s="11" t="s">
        <v>132</v>
      </c>
      <c r="U118" s="202">
        <v>46141</v>
      </c>
      <c r="V118" s="41" t="s">
        <v>500</v>
      </c>
      <c r="W118" s="23" t="s">
        <v>40</v>
      </c>
      <c r="X118" s="14">
        <v>46146</v>
      </c>
      <c r="Y118" s="14">
        <v>46147</v>
      </c>
      <c r="Z118" s="15">
        <v>145911</v>
      </c>
      <c r="AA118" s="149" t="s">
        <v>501</v>
      </c>
      <c r="AB118" s="10">
        <v>0</v>
      </c>
    </row>
    <row r="119" spans="1:28" ht="15.75" hidden="1" customHeight="1">
      <c r="A119" s="92">
        <v>29820</v>
      </c>
      <c r="B119" s="91">
        <v>1</v>
      </c>
      <c r="C119" s="195">
        <v>46125</v>
      </c>
      <c r="D119" s="91">
        <f t="shared" ca="1" si="4"/>
        <v>102</v>
      </c>
      <c r="E119" s="138" t="str">
        <f t="shared" si="3"/>
        <v>CANCELADA</v>
      </c>
      <c r="F119" s="96" t="s">
        <v>28</v>
      </c>
      <c r="G119" s="19" t="s">
        <v>240</v>
      </c>
      <c r="H119" s="19" t="s">
        <v>52</v>
      </c>
      <c r="I119" s="19" t="str">
        <f>IF(W119="ADMITIDO","ADMITIDO",IF(W119="CANCELADA","CANCELADA",IF(H119="","",IFERROR(_xlfn.XLOOKUP(H119,Listas!I:I,Listas!J:J),"OUTROS"))))</f>
        <v>CANCELADA</v>
      </c>
      <c r="J119" s="12" t="s">
        <v>268</v>
      </c>
      <c r="K119" s="11" t="s">
        <v>423</v>
      </c>
      <c r="L119" s="11" t="s">
        <v>502</v>
      </c>
      <c r="M119" s="11" t="s">
        <v>63</v>
      </c>
      <c r="N119" s="11" t="s">
        <v>34</v>
      </c>
      <c r="O119" s="11" t="s">
        <v>35</v>
      </c>
      <c r="P119" s="11" t="s">
        <v>36</v>
      </c>
      <c r="Q119" s="108" t="s">
        <v>365</v>
      </c>
      <c r="R119" s="13"/>
      <c r="S119" s="13"/>
      <c r="W119" s="23" t="s">
        <v>52</v>
      </c>
      <c r="Z119" s="15"/>
      <c r="AB119" s="10">
        <v>0</v>
      </c>
    </row>
    <row r="120" spans="1:28" ht="15.75" hidden="1" customHeight="1">
      <c r="A120" s="90">
        <v>29822</v>
      </c>
      <c r="B120" s="91">
        <v>1</v>
      </c>
      <c r="C120" s="195">
        <v>46125</v>
      </c>
      <c r="D120" s="91">
        <f t="shared" ca="1" si="4"/>
        <v>102</v>
      </c>
      <c r="E120" s="138" t="str">
        <f t="shared" si="3"/>
        <v>ADMITIDO</v>
      </c>
      <c r="F120" s="96" t="s">
        <v>42</v>
      </c>
      <c r="G120" s="19" t="s">
        <v>60</v>
      </c>
      <c r="H120" s="19" t="str">
        <f>W120</f>
        <v>ADMITIDO</v>
      </c>
      <c r="I120" s="19" t="str">
        <f>IF(W120="ADMITIDO","ADMITIDO",IF(W120="CANCELADA","CANCELADA",IF(H120="","",IFERROR(_xlfn.XLOOKUP(H120,Listas!I:I,Listas!J:J),"OUTROS"))))</f>
        <v>ADMITIDO</v>
      </c>
      <c r="J120" s="12" t="s">
        <v>53</v>
      </c>
      <c r="K120" s="11" t="s">
        <v>61</v>
      </c>
      <c r="L120" s="11" t="s">
        <v>161</v>
      </c>
      <c r="M120" s="11" t="s">
        <v>33</v>
      </c>
      <c r="N120" s="11" t="s">
        <v>34</v>
      </c>
      <c r="O120" s="11" t="s">
        <v>72</v>
      </c>
      <c r="P120" s="11" t="s">
        <v>73</v>
      </c>
      <c r="Q120" s="108"/>
      <c r="R120" s="13" t="s">
        <v>65</v>
      </c>
      <c r="S120" s="13" t="s">
        <v>503</v>
      </c>
      <c r="T120" s="11" t="s">
        <v>76</v>
      </c>
      <c r="U120" s="202">
        <v>46134</v>
      </c>
      <c r="V120" s="41" t="s">
        <v>504</v>
      </c>
      <c r="W120" s="23" t="s">
        <v>40</v>
      </c>
      <c r="X120" s="14">
        <v>46140</v>
      </c>
      <c r="Y120" s="14">
        <v>46141</v>
      </c>
      <c r="Z120" s="15">
        <v>145898</v>
      </c>
      <c r="AA120" s="149" t="s">
        <v>505</v>
      </c>
      <c r="AB120" s="10">
        <v>0</v>
      </c>
    </row>
    <row r="121" spans="1:28" ht="15.75" hidden="1" customHeight="1">
      <c r="A121" s="92">
        <v>29825</v>
      </c>
      <c r="B121" s="91">
        <v>1</v>
      </c>
      <c r="C121" s="195">
        <v>46125</v>
      </c>
      <c r="D121" s="91">
        <f t="shared" ca="1" si="4"/>
        <v>102</v>
      </c>
      <c r="E121" s="138" t="str">
        <f t="shared" si="3"/>
        <v>ADMITIDO</v>
      </c>
      <c r="F121" s="96" t="s">
        <v>42</v>
      </c>
      <c r="G121" s="19" t="s">
        <v>60</v>
      </c>
      <c r="H121" s="117" t="s">
        <v>40</v>
      </c>
      <c r="I121" s="19" t="str">
        <f>IF(W121="ADMITIDO","ADMITIDO",IF(W121="CANCELADA","CANCELADA",IF(H121="","",IFERROR(_xlfn.XLOOKUP(H121,Listas!I:I,Listas!J:J),"OUTROS"))))</f>
        <v>ADMITIDO</v>
      </c>
      <c r="J121" s="12" t="s">
        <v>461</v>
      </c>
      <c r="K121" s="11" t="s">
        <v>61</v>
      </c>
      <c r="L121" s="11" t="s">
        <v>506</v>
      </c>
      <c r="M121" s="11" t="s">
        <v>63</v>
      </c>
      <c r="N121" s="11" t="s">
        <v>34</v>
      </c>
      <c r="O121" s="11" t="s">
        <v>57</v>
      </c>
      <c r="P121" s="11" t="s">
        <v>98</v>
      </c>
      <c r="Q121" s="108" t="s">
        <v>507</v>
      </c>
      <c r="R121" s="13" t="s">
        <v>65</v>
      </c>
      <c r="S121" s="13" t="s">
        <v>508</v>
      </c>
      <c r="T121" s="11" t="s">
        <v>76</v>
      </c>
      <c r="U121" s="202">
        <v>46141</v>
      </c>
      <c r="V121" s="41" t="s">
        <v>509</v>
      </c>
      <c r="W121" s="11" t="s">
        <v>40</v>
      </c>
      <c r="X121" s="14">
        <v>46149</v>
      </c>
      <c r="Y121" s="14">
        <v>46150</v>
      </c>
      <c r="Z121" s="15">
        <v>914232</v>
      </c>
      <c r="AA121" s="45" t="s">
        <v>510</v>
      </c>
      <c r="AB121" s="10">
        <v>0</v>
      </c>
    </row>
    <row r="122" spans="1:28" ht="15.75" hidden="1" customHeight="1">
      <c r="A122" s="92">
        <v>29857</v>
      </c>
      <c r="B122" s="91">
        <v>1</v>
      </c>
      <c r="C122" s="195">
        <v>46125</v>
      </c>
      <c r="D122" s="91">
        <f t="shared" ca="1" si="4"/>
        <v>102</v>
      </c>
      <c r="E122" s="138" t="str">
        <f t="shared" ca="1" si="3"/>
        <v>CRÍTICO</v>
      </c>
      <c r="F122" s="96" t="s">
        <v>42</v>
      </c>
      <c r="G122" s="19" t="s">
        <v>43</v>
      </c>
      <c r="H122" s="19" t="s">
        <v>214</v>
      </c>
      <c r="I122" s="19" t="str">
        <f>IF(W122="ADMITIDO","ADMITIDO",IF(W122="CANCELADA","CANCELADA",IF(H122="","",IFERROR(_xlfn.XLOOKUP(H122,Listas!I:I,Listas!J:J),"OUTROS"))))</f>
        <v>TRIAGEM</v>
      </c>
      <c r="J122" s="12" t="s">
        <v>116</v>
      </c>
      <c r="K122" s="11" t="s">
        <v>189</v>
      </c>
      <c r="L122" s="11" t="s">
        <v>511</v>
      </c>
      <c r="M122" s="11" t="s">
        <v>512</v>
      </c>
      <c r="N122" s="11" t="s">
        <v>34</v>
      </c>
      <c r="O122" s="11" t="s">
        <v>48</v>
      </c>
      <c r="P122" s="11" t="s">
        <v>414</v>
      </c>
      <c r="Q122" s="108" t="s">
        <v>513</v>
      </c>
      <c r="R122" s="13"/>
      <c r="Z122" s="15"/>
      <c r="AB122" s="10">
        <v>0</v>
      </c>
    </row>
    <row r="123" spans="1:28" ht="15.75" hidden="1" customHeight="1">
      <c r="A123" s="92">
        <v>29839</v>
      </c>
      <c r="B123" s="91">
        <v>1</v>
      </c>
      <c r="C123" s="195">
        <v>46125</v>
      </c>
      <c r="D123" s="91">
        <f t="shared" ca="1" si="4"/>
        <v>102</v>
      </c>
      <c r="E123" s="138" t="str">
        <f t="shared" si="3"/>
        <v>ADMITIDO</v>
      </c>
      <c r="F123" s="96" t="s">
        <v>171</v>
      </c>
      <c r="G123" s="19" t="s">
        <v>145</v>
      </c>
      <c r="H123" s="19" t="s">
        <v>40</v>
      </c>
      <c r="I123" s="19" t="str">
        <f>IF(W123="ADMITIDO","ADMITIDO",IF(W123="CANCELADA","CANCELADA",IF(H123="","",IFERROR(_xlfn.XLOOKUP(H123,Listas!I:I,Listas!J:J),"OUTROS"))))</f>
        <v>ADMITIDO</v>
      </c>
      <c r="J123" s="12" t="s">
        <v>514</v>
      </c>
      <c r="K123" s="11" t="s">
        <v>371</v>
      </c>
      <c r="L123" s="11" t="s">
        <v>515</v>
      </c>
      <c r="M123" s="11" t="s">
        <v>63</v>
      </c>
      <c r="N123" s="11" t="s">
        <v>34</v>
      </c>
      <c r="O123" s="11" t="s">
        <v>35</v>
      </c>
      <c r="P123" s="11" t="s">
        <v>36</v>
      </c>
      <c r="Q123" s="108"/>
      <c r="R123" s="13" t="s">
        <v>65</v>
      </c>
      <c r="S123" s="13" t="s">
        <v>516</v>
      </c>
      <c r="T123" s="11" t="s">
        <v>132</v>
      </c>
      <c r="U123" s="202">
        <v>46129</v>
      </c>
      <c r="V123" s="41" t="s">
        <v>517</v>
      </c>
      <c r="W123" s="23" t="s">
        <v>40</v>
      </c>
      <c r="X123" s="14">
        <v>46135</v>
      </c>
      <c r="Y123" s="14">
        <v>46136</v>
      </c>
      <c r="Z123" s="15">
        <v>83268</v>
      </c>
      <c r="AB123" s="10">
        <v>0</v>
      </c>
    </row>
    <row r="124" spans="1:28" ht="15.75" hidden="1" customHeight="1">
      <c r="A124" s="92">
        <v>29847</v>
      </c>
      <c r="B124" s="91">
        <v>1</v>
      </c>
      <c r="C124" s="195">
        <v>46125</v>
      </c>
      <c r="D124" s="91">
        <f t="shared" ca="1" si="4"/>
        <v>102</v>
      </c>
      <c r="E124" s="138" t="str">
        <f t="shared" si="3"/>
        <v>ADMITIDO</v>
      </c>
      <c r="F124" s="96" t="s">
        <v>42</v>
      </c>
      <c r="G124" s="19" t="s">
        <v>240</v>
      </c>
      <c r="H124" s="19" t="s">
        <v>40</v>
      </c>
      <c r="I124" s="19" t="str">
        <f>IF(W124="ADMITIDO","ADMITIDO",IF(W124="CANCELADA","CANCELADA",IF(H124="","",IFERROR(_xlfn.XLOOKUP(H124,Listas!I:I,Listas!J:J),"OUTROS"))))</f>
        <v>ADMITIDO</v>
      </c>
      <c r="J124" s="12" t="s">
        <v>53</v>
      </c>
      <c r="K124" s="11" t="s">
        <v>241</v>
      </c>
      <c r="L124" s="11" t="s">
        <v>518</v>
      </c>
      <c r="M124" s="11" t="s">
        <v>63</v>
      </c>
      <c r="N124" s="11" t="s">
        <v>34</v>
      </c>
      <c r="O124" s="11" t="s">
        <v>48</v>
      </c>
      <c r="P124" s="11" t="s">
        <v>120</v>
      </c>
      <c r="Q124" s="108" t="s">
        <v>365</v>
      </c>
      <c r="R124" s="13"/>
      <c r="S124" s="13" t="s">
        <v>519</v>
      </c>
      <c r="T124" s="11" t="s">
        <v>132</v>
      </c>
      <c r="V124" s="41" t="s">
        <v>520</v>
      </c>
      <c r="W124" s="23" t="s">
        <v>40</v>
      </c>
      <c r="X124" s="14">
        <v>46134</v>
      </c>
      <c r="Y124" s="14">
        <v>46135</v>
      </c>
      <c r="Z124" s="15">
        <v>145867</v>
      </c>
      <c r="AB124" s="10">
        <v>0</v>
      </c>
    </row>
    <row r="125" spans="1:28" ht="15.75" hidden="1" customHeight="1">
      <c r="A125" s="92">
        <v>29824</v>
      </c>
      <c r="B125" s="91">
        <v>1</v>
      </c>
      <c r="C125" s="195">
        <v>46125</v>
      </c>
      <c r="D125" s="91">
        <f t="shared" ca="1" si="4"/>
        <v>102</v>
      </c>
      <c r="E125" s="138" t="str">
        <f t="shared" si="3"/>
        <v>CANCELADA</v>
      </c>
      <c r="F125" s="96" t="s">
        <v>42</v>
      </c>
      <c r="G125" s="19" t="s">
        <v>60</v>
      </c>
      <c r="H125" s="19" t="s">
        <v>52</v>
      </c>
      <c r="I125" s="19" t="str">
        <f>IF(W125="ADMITIDO","ADMITIDO",IF(W125="CANCELADA","CANCELADA",IF(H125="","",IFERROR(_xlfn.XLOOKUP(H125,Listas!I:I,Listas!J:J),"OUTROS"))))</f>
        <v>CANCELADA</v>
      </c>
      <c r="J125" s="12" t="s">
        <v>44</v>
      </c>
      <c r="K125" s="11" t="s">
        <v>61</v>
      </c>
      <c r="L125" s="11" t="s">
        <v>521</v>
      </c>
      <c r="M125" s="11" t="s">
        <v>63</v>
      </c>
      <c r="N125" s="11" t="s">
        <v>34</v>
      </c>
      <c r="O125" s="11" t="s">
        <v>57</v>
      </c>
      <c r="P125" s="11" t="s">
        <v>98</v>
      </c>
      <c r="Q125" s="108" t="s">
        <v>522</v>
      </c>
      <c r="R125" s="13"/>
      <c r="S125" s="13"/>
      <c r="W125" s="23" t="s">
        <v>52</v>
      </c>
      <c r="Z125" s="15"/>
      <c r="AB125" s="10">
        <v>0</v>
      </c>
    </row>
    <row r="126" spans="1:28" ht="15.75" hidden="1" customHeight="1">
      <c r="A126" s="92">
        <v>29849</v>
      </c>
      <c r="B126" s="91">
        <v>1</v>
      </c>
      <c r="C126" s="195">
        <v>46125</v>
      </c>
      <c r="D126" s="91">
        <f t="shared" ca="1" si="4"/>
        <v>102</v>
      </c>
      <c r="E126" s="138" t="str">
        <f t="shared" si="3"/>
        <v>ADMITIDO</v>
      </c>
      <c r="F126" s="96" t="s">
        <v>42</v>
      </c>
      <c r="G126" s="19" t="s">
        <v>102</v>
      </c>
      <c r="H126" s="19" t="str">
        <f>W126</f>
        <v>ADMITIDO</v>
      </c>
      <c r="I126" s="117" t="str">
        <f>IF(W126="ADMITIDO","ADMITIDO",IF(W126="CANCELADA","CANCELADA",IF(H126="","",IFERROR(_xlfn.XLOOKUP(H126,Listas!I:I,Listas!J:J),"OUTROS"))))</f>
        <v>ADMITIDO</v>
      </c>
      <c r="J126" s="12" t="s">
        <v>53</v>
      </c>
      <c r="K126" s="11" t="s">
        <v>103</v>
      </c>
      <c r="L126" s="11" t="s">
        <v>523</v>
      </c>
      <c r="M126" s="11" t="s">
        <v>274</v>
      </c>
      <c r="N126" s="11" t="s">
        <v>34</v>
      </c>
      <c r="O126" s="11" t="s">
        <v>48</v>
      </c>
      <c r="P126" s="11" t="s">
        <v>275</v>
      </c>
      <c r="Q126" s="108"/>
      <c r="R126" s="13"/>
      <c r="S126" s="13"/>
      <c r="T126" s="11" t="s">
        <v>67</v>
      </c>
      <c r="U126" s="202">
        <v>46128</v>
      </c>
      <c r="V126" s="41" t="s">
        <v>524</v>
      </c>
      <c r="W126" s="23" t="s">
        <v>40</v>
      </c>
      <c r="X126" s="14">
        <v>46134</v>
      </c>
      <c r="Y126" s="14">
        <v>46136</v>
      </c>
      <c r="Z126" s="15">
        <v>145875</v>
      </c>
      <c r="AB126" s="10">
        <v>0</v>
      </c>
    </row>
    <row r="127" spans="1:28" ht="15.75" hidden="1" customHeight="1">
      <c r="A127" s="90">
        <v>29844</v>
      </c>
      <c r="B127" s="91">
        <v>1</v>
      </c>
      <c r="C127" s="195">
        <v>46125</v>
      </c>
      <c r="D127" s="91">
        <f t="shared" ca="1" si="4"/>
        <v>102</v>
      </c>
      <c r="E127" s="138" t="str">
        <f t="shared" si="3"/>
        <v>ADMITIDO</v>
      </c>
      <c r="F127" s="96" t="s">
        <v>42</v>
      </c>
      <c r="G127" s="19" t="s">
        <v>69</v>
      </c>
      <c r="H127" s="117" t="str">
        <f>W127</f>
        <v>ADMITIDO</v>
      </c>
      <c r="I127" s="19" t="str">
        <f>IF(W127="ADMITIDO","ADMITIDO",IF(W127="CANCELADA","CANCELADA",IF(H127="","",IFERROR(_xlfn.XLOOKUP(H127,Listas!I:I,Listas!J:J),"OUTROS"))))</f>
        <v>ADMITIDO</v>
      </c>
      <c r="J127" s="12" t="s">
        <v>53</v>
      </c>
      <c r="K127" s="11" t="s">
        <v>70</v>
      </c>
      <c r="L127" s="11" t="s">
        <v>525</v>
      </c>
      <c r="M127" s="11" t="s">
        <v>63</v>
      </c>
      <c r="N127" s="11" t="s">
        <v>34</v>
      </c>
      <c r="O127" s="11" t="s">
        <v>72</v>
      </c>
      <c r="P127" s="11" t="s">
        <v>151</v>
      </c>
      <c r="Q127" s="108"/>
      <c r="R127" s="13" t="s">
        <v>373</v>
      </c>
      <c r="S127" s="13"/>
      <c r="T127" s="11" t="s">
        <v>109</v>
      </c>
      <c r="U127" s="202">
        <v>46148</v>
      </c>
      <c r="V127" s="41" t="s">
        <v>526</v>
      </c>
      <c r="W127" s="85" t="s">
        <v>40</v>
      </c>
      <c r="X127" s="14">
        <v>46153</v>
      </c>
      <c r="Y127" s="14">
        <v>46155</v>
      </c>
      <c r="Z127" s="15">
        <v>145940</v>
      </c>
      <c r="AA127" s="149" t="s">
        <v>527</v>
      </c>
      <c r="AB127" s="10">
        <v>0</v>
      </c>
    </row>
    <row r="128" spans="1:28" ht="15.75" hidden="1" customHeight="1">
      <c r="A128" s="92">
        <v>29843</v>
      </c>
      <c r="B128" s="91">
        <v>1</v>
      </c>
      <c r="C128" s="195">
        <v>46125</v>
      </c>
      <c r="D128" s="91">
        <f t="shared" ca="1" si="4"/>
        <v>102</v>
      </c>
      <c r="E128" s="138" t="str">
        <f t="shared" si="3"/>
        <v>CANCELADA</v>
      </c>
      <c r="F128" s="96" t="s">
        <v>171</v>
      </c>
      <c r="G128" s="19" t="s">
        <v>43</v>
      </c>
      <c r="H128" s="19" t="s">
        <v>52</v>
      </c>
      <c r="I128" s="19" t="str">
        <f>IF(W128="ADMITIDO","ADMITIDO",IF(W128="CANCELADA","CANCELADA",IF(H128="","",IFERROR(_xlfn.XLOOKUP(H128,Listas!I:I,Listas!J:J),"OUTROS"))))</f>
        <v>CANCELADA</v>
      </c>
      <c r="J128" s="12" t="s">
        <v>172</v>
      </c>
      <c r="K128" s="11" t="s">
        <v>360</v>
      </c>
      <c r="L128" s="11" t="s">
        <v>528</v>
      </c>
      <c r="M128" s="11" t="s">
        <v>529</v>
      </c>
      <c r="N128" s="11" t="s">
        <v>34</v>
      </c>
      <c r="O128" s="11" t="s">
        <v>35</v>
      </c>
      <c r="P128" s="11" t="s">
        <v>36</v>
      </c>
      <c r="Q128" s="108" t="s">
        <v>530</v>
      </c>
      <c r="R128" s="13"/>
      <c r="W128" s="23" t="s">
        <v>52</v>
      </c>
      <c r="Z128" s="15"/>
      <c r="AB128" s="10">
        <v>0</v>
      </c>
    </row>
    <row r="129" spans="1:28" ht="15.75" hidden="1" customHeight="1">
      <c r="A129" s="92">
        <v>29815</v>
      </c>
      <c r="B129" s="91">
        <v>1</v>
      </c>
      <c r="C129" s="195">
        <v>46125</v>
      </c>
      <c r="D129" s="91">
        <f t="shared" ca="1" si="4"/>
        <v>102</v>
      </c>
      <c r="E129" s="138" t="str">
        <f t="shared" si="3"/>
        <v>ADMITIDO</v>
      </c>
      <c r="F129" s="96" t="s">
        <v>42</v>
      </c>
      <c r="G129" s="19" t="s">
        <v>43</v>
      </c>
      <c r="H129" s="19" t="str">
        <f>W129</f>
        <v>ADMITIDO</v>
      </c>
      <c r="I129" s="19" t="str">
        <f>IF(W129="ADMITIDO","ADMITIDO",IF(W129="CANCELADA","CANCELADA",IF(H129="","",IFERROR(_xlfn.XLOOKUP(H129,Listas!I:I,Listas!J:J),"OUTROS"))))</f>
        <v>ADMITIDO</v>
      </c>
      <c r="J129" s="12" t="s">
        <v>53</v>
      </c>
      <c r="K129" s="11" t="s">
        <v>189</v>
      </c>
      <c r="L129" s="11" t="s">
        <v>531</v>
      </c>
      <c r="M129" s="11" t="s">
        <v>33</v>
      </c>
      <c r="N129" s="11" t="s">
        <v>34</v>
      </c>
      <c r="O129" s="11" t="s">
        <v>57</v>
      </c>
      <c r="P129" s="11" t="s">
        <v>532</v>
      </c>
      <c r="Q129" s="108"/>
      <c r="R129" s="13" t="s">
        <v>533</v>
      </c>
      <c r="T129" s="11" t="s">
        <v>50</v>
      </c>
      <c r="U129" s="202">
        <v>46128</v>
      </c>
      <c r="V129" s="41" t="s">
        <v>534</v>
      </c>
      <c r="W129" s="23" t="s">
        <v>40</v>
      </c>
      <c r="X129" s="14">
        <v>46136</v>
      </c>
      <c r="Y129" s="14">
        <v>46140</v>
      </c>
      <c r="Z129" s="15">
        <v>914167</v>
      </c>
      <c r="AB129" s="10">
        <v>0</v>
      </c>
    </row>
    <row r="130" spans="1:28" ht="15.75" hidden="1" customHeight="1">
      <c r="A130" s="90">
        <v>29816</v>
      </c>
      <c r="B130" s="91">
        <v>1</v>
      </c>
      <c r="C130" s="195">
        <v>46125</v>
      </c>
      <c r="D130" s="91">
        <f t="shared" ca="1" si="4"/>
        <v>102</v>
      </c>
      <c r="E130" s="138" t="str">
        <f t="shared" si="3"/>
        <v>ADMITIDO</v>
      </c>
      <c r="F130" s="96" t="s">
        <v>42</v>
      </c>
      <c r="G130" s="19" t="s">
        <v>43</v>
      </c>
      <c r="H130" s="19" t="s">
        <v>40</v>
      </c>
      <c r="I130" s="19" t="str">
        <f>IF(W130="ADMITIDO","ADMITIDO",IF(W130="CANCELADA","CANCELADA",IF(H130="","",IFERROR(_xlfn.XLOOKUP(H130,Listas!I:I,Listas!J:J),"OUTROS"))))</f>
        <v>ADMITIDO</v>
      </c>
      <c r="J130" s="12" t="s">
        <v>53</v>
      </c>
      <c r="K130" s="11" t="s">
        <v>189</v>
      </c>
      <c r="L130" s="21" t="s">
        <v>535</v>
      </c>
      <c r="M130" s="11" t="s">
        <v>33</v>
      </c>
      <c r="N130" s="11" t="s">
        <v>34</v>
      </c>
      <c r="O130" s="11" t="s">
        <v>57</v>
      </c>
      <c r="P130" s="11" t="s">
        <v>536</v>
      </c>
      <c r="Q130" s="108"/>
      <c r="R130" s="13" t="s">
        <v>537</v>
      </c>
      <c r="S130" s="17">
        <v>11941655172</v>
      </c>
      <c r="T130" s="11" t="s">
        <v>50</v>
      </c>
      <c r="U130" s="202">
        <v>46135</v>
      </c>
      <c r="V130" s="41" t="s">
        <v>538</v>
      </c>
      <c r="W130" s="19" t="s">
        <v>40</v>
      </c>
      <c r="X130" s="63">
        <v>46147</v>
      </c>
      <c r="Y130" s="63">
        <v>46147</v>
      </c>
      <c r="Z130" s="15">
        <v>914210</v>
      </c>
      <c r="AA130" s="45" t="s">
        <v>539</v>
      </c>
      <c r="AB130" s="10">
        <v>0</v>
      </c>
    </row>
    <row r="131" spans="1:28" ht="15.75" hidden="1" customHeight="1">
      <c r="A131" s="92">
        <v>29841</v>
      </c>
      <c r="B131" s="91">
        <v>1</v>
      </c>
      <c r="C131" s="195">
        <v>46125</v>
      </c>
      <c r="D131" s="91">
        <f t="shared" ca="1" si="4"/>
        <v>102</v>
      </c>
      <c r="E131" s="138" t="str">
        <f t="shared" ref="E131:E194" si="6">IF(W131="ADMITIDO","ADMITIDO",IF(W131="CANCELADA","CANCELADA",IF(H131="","",IF(H131="ADMITIDO","ADMITIDO",IF(H131="CANCELADA","CANCELADA",IF(OR(H131="ANALISE CANCELAMENTO",H131="ANÁLISE CANCELAMENTO"),"EM ANÁLISE",IF(D131="","",IF(D131&lt;=7,"NO PRAZO",IF(D131&lt;=14,"ATENÇÃO","CRÍTICO")))))))))</f>
        <v>ADMITIDO</v>
      </c>
      <c r="F131" s="96" t="s">
        <v>42</v>
      </c>
      <c r="G131" s="19" t="s">
        <v>29</v>
      </c>
      <c r="H131" s="19" t="str">
        <f>W131</f>
        <v>ADMITIDO</v>
      </c>
      <c r="I131" s="19" t="str">
        <f>IF(W131="ADMITIDO","ADMITIDO",IF(W131="CANCELADA","CANCELADA",IF(H131="","",IFERROR(_xlfn.XLOOKUP(H131,Listas!I:I,Listas!J:J),"OUTROS"))))</f>
        <v>ADMITIDO</v>
      </c>
      <c r="J131" s="12" t="s">
        <v>227</v>
      </c>
      <c r="K131" s="11" t="s">
        <v>228</v>
      </c>
      <c r="L131" s="11" t="s">
        <v>540</v>
      </c>
      <c r="M131" s="11" t="s">
        <v>88</v>
      </c>
      <c r="N131" s="11" t="s">
        <v>34</v>
      </c>
      <c r="O131" s="11" t="s">
        <v>48</v>
      </c>
      <c r="P131" s="11" t="s">
        <v>541</v>
      </c>
      <c r="Q131" s="108"/>
      <c r="R131" s="13"/>
      <c r="S131" s="24" t="s">
        <v>542</v>
      </c>
      <c r="T131" s="11" t="s">
        <v>38</v>
      </c>
      <c r="U131" s="202">
        <v>46126</v>
      </c>
      <c r="V131" s="41" t="s">
        <v>543</v>
      </c>
      <c r="W131" s="23" t="s">
        <v>40</v>
      </c>
      <c r="X131" s="14">
        <v>46134</v>
      </c>
      <c r="Y131" s="14">
        <v>46135</v>
      </c>
      <c r="Z131" s="15">
        <v>145870</v>
      </c>
      <c r="AB131" s="10">
        <v>0</v>
      </c>
    </row>
    <row r="132" spans="1:28" ht="15.75" hidden="1" customHeight="1">
      <c r="A132" s="90">
        <v>29826</v>
      </c>
      <c r="B132" s="91">
        <v>1</v>
      </c>
      <c r="C132" s="195">
        <v>46125</v>
      </c>
      <c r="D132" s="91">
        <f t="shared" ca="1" si="4"/>
        <v>102</v>
      </c>
      <c r="E132" s="138" t="str">
        <f t="shared" si="6"/>
        <v>ADMITIDO</v>
      </c>
      <c r="F132" s="96" t="s">
        <v>42</v>
      </c>
      <c r="G132" s="19" t="s">
        <v>102</v>
      </c>
      <c r="H132" s="19" t="str">
        <f>W132</f>
        <v>ADMITIDO</v>
      </c>
      <c r="I132" s="19" t="str">
        <f>IF(W132="ADMITIDO","ADMITIDO",IF(W132="CANCELADA","CANCELADA",IF(H132="","",IFERROR(_xlfn.XLOOKUP(H132,Listas!I:I,Listas!J:J),"OUTROS"))))</f>
        <v>ADMITIDO</v>
      </c>
      <c r="J132" s="12" t="s">
        <v>53</v>
      </c>
      <c r="K132" s="11" t="s">
        <v>103</v>
      </c>
      <c r="L132" s="11" t="s">
        <v>194</v>
      </c>
      <c r="M132" s="11" t="s">
        <v>63</v>
      </c>
      <c r="N132" s="11" t="s">
        <v>34</v>
      </c>
      <c r="O132" s="11" t="s">
        <v>72</v>
      </c>
      <c r="P132" s="11" t="s">
        <v>223</v>
      </c>
      <c r="Q132" s="108" t="s">
        <v>544</v>
      </c>
      <c r="R132" s="13" t="s">
        <v>107</v>
      </c>
      <c r="S132" s="13"/>
      <c r="T132" s="11" t="s">
        <v>132</v>
      </c>
      <c r="U132" s="202">
        <v>46135</v>
      </c>
      <c r="V132" s="41" t="s">
        <v>545</v>
      </c>
      <c r="W132" s="23" t="s">
        <v>40</v>
      </c>
      <c r="X132" s="14">
        <v>46140</v>
      </c>
      <c r="Y132" s="14">
        <v>46141</v>
      </c>
      <c r="Z132" s="15">
        <v>914195</v>
      </c>
      <c r="AB132" s="10">
        <v>0</v>
      </c>
    </row>
    <row r="133" spans="1:28" ht="15.75" hidden="1" customHeight="1">
      <c r="A133" s="607">
        <v>29874</v>
      </c>
      <c r="B133" s="91">
        <v>1</v>
      </c>
      <c r="C133" s="195">
        <v>46126</v>
      </c>
      <c r="D133" s="91">
        <f t="shared" ref="D133:D197" ca="1" si="7">TODAY()-C133</f>
        <v>101</v>
      </c>
      <c r="E133" s="138" t="str">
        <f t="shared" si="6"/>
        <v>ADMITIDO</v>
      </c>
      <c r="F133" s="96" t="s">
        <v>28</v>
      </c>
      <c r="G133" s="19" t="s">
        <v>60</v>
      </c>
      <c r="H133" s="19" t="s">
        <v>40</v>
      </c>
      <c r="I133" s="19" t="str">
        <f>IF(W133="ADMITIDO","ADMITIDO",IF(W133="CANCELADA","CANCELADA",IF(H133="","",IFERROR(_xlfn.XLOOKUP(H133,Listas!I:I,Listas!J:J),"OUTROS"))))</f>
        <v>ADMITIDO</v>
      </c>
      <c r="J133" s="12" t="s">
        <v>268</v>
      </c>
      <c r="K133" s="11" t="s">
        <v>318</v>
      </c>
      <c r="L133" s="11" t="s">
        <v>546</v>
      </c>
      <c r="M133" s="11" t="s">
        <v>63</v>
      </c>
      <c r="N133" s="11" t="s">
        <v>56</v>
      </c>
      <c r="O133" s="11" t="s">
        <v>35</v>
      </c>
      <c r="P133" s="11" t="s">
        <v>176</v>
      </c>
      <c r="Q133" s="108" t="s">
        <v>547</v>
      </c>
      <c r="R133" s="13" t="s">
        <v>65</v>
      </c>
      <c r="S133" s="13" t="s">
        <v>548</v>
      </c>
      <c r="T133" s="11" t="s">
        <v>76</v>
      </c>
      <c r="U133" s="202">
        <v>46129</v>
      </c>
      <c r="V133" s="41" t="s">
        <v>549</v>
      </c>
      <c r="W133" s="23" t="s">
        <v>40</v>
      </c>
      <c r="X133" s="14">
        <v>46134</v>
      </c>
      <c r="Y133" s="14">
        <v>46135</v>
      </c>
      <c r="Z133" s="15">
        <v>914157</v>
      </c>
      <c r="AB133" s="10">
        <v>0</v>
      </c>
    </row>
    <row r="134" spans="1:28" ht="15.75" hidden="1" customHeight="1">
      <c r="A134" s="608"/>
      <c r="B134" s="91">
        <v>1</v>
      </c>
      <c r="C134" s="195">
        <v>46126</v>
      </c>
      <c r="D134" s="91">
        <f t="shared" ca="1" si="7"/>
        <v>101</v>
      </c>
      <c r="E134" s="138" t="str">
        <f t="shared" si="6"/>
        <v>ADMITIDO</v>
      </c>
      <c r="F134" s="96" t="s">
        <v>28</v>
      </c>
      <c r="G134" s="19" t="s">
        <v>60</v>
      </c>
      <c r="H134" s="19" t="s">
        <v>40</v>
      </c>
      <c r="I134" s="19" t="str">
        <f>IF(W134="ADMITIDO","ADMITIDO",IF(W134="CANCELADA","CANCELADA",IF(H134="","",IFERROR(_xlfn.XLOOKUP(H134,Listas!I:I,Listas!J:J),"OUTROS"))))</f>
        <v>ADMITIDO</v>
      </c>
      <c r="J134" s="12" t="s">
        <v>268</v>
      </c>
      <c r="K134" s="11" t="s">
        <v>318</v>
      </c>
      <c r="L134" s="11" t="s">
        <v>546</v>
      </c>
      <c r="M134" s="11" t="s">
        <v>63</v>
      </c>
      <c r="N134" s="11" t="s">
        <v>56</v>
      </c>
      <c r="O134" s="11" t="s">
        <v>35</v>
      </c>
      <c r="P134" s="11" t="s">
        <v>176</v>
      </c>
      <c r="Q134" s="108" t="s">
        <v>547</v>
      </c>
      <c r="R134" s="13" t="s">
        <v>65</v>
      </c>
      <c r="S134" s="13" t="s">
        <v>548</v>
      </c>
      <c r="T134" s="11" t="s">
        <v>76</v>
      </c>
      <c r="U134" s="202">
        <v>46129</v>
      </c>
      <c r="V134" s="41" t="s">
        <v>549</v>
      </c>
      <c r="W134" s="23" t="s">
        <v>40</v>
      </c>
      <c r="X134" s="14">
        <v>46134</v>
      </c>
      <c r="Y134" s="14">
        <v>46135</v>
      </c>
      <c r="Z134" s="15">
        <v>914157</v>
      </c>
      <c r="AB134" s="10">
        <v>0</v>
      </c>
    </row>
    <row r="135" spans="1:28" ht="15.75" hidden="1" customHeight="1">
      <c r="A135" s="92">
        <v>29868</v>
      </c>
      <c r="B135" s="91">
        <v>1</v>
      </c>
      <c r="C135" s="195">
        <v>46126</v>
      </c>
      <c r="D135" s="91">
        <f t="shared" ca="1" si="7"/>
        <v>101</v>
      </c>
      <c r="E135" s="138" t="str">
        <f t="shared" si="6"/>
        <v>CANCELADA</v>
      </c>
      <c r="F135" s="96" t="s">
        <v>42</v>
      </c>
      <c r="G135" s="19" t="s">
        <v>69</v>
      </c>
      <c r="H135" s="117" t="s">
        <v>52</v>
      </c>
      <c r="I135" s="19" t="str">
        <f>IF(W135="ADMITIDO","ADMITIDO",IF(W135="CANCELADA","CANCELADA",IF(H135="","",IFERROR(_xlfn.XLOOKUP(H135,Listas!I:I,Listas!J:J),"OUTROS"))))</f>
        <v>CANCELADA</v>
      </c>
      <c r="J135" s="12" t="s">
        <v>53</v>
      </c>
      <c r="K135" s="11" t="s">
        <v>70</v>
      </c>
      <c r="L135" s="11" t="s">
        <v>343</v>
      </c>
      <c r="M135" s="11" t="s">
        <v>63</v>
      </c>
      <c r="N135" s="11" t="s">
        <v>34</v>
      </c>
      <c r="O135" s="11" t="s">
        <v>219</v>
      </c>
      <c r="P135" s="11" t="s">
        <v>550</v>
      </c>
      <c r="Q135" s="108" t="s">
        <v>551</v>
      </c>
      <c r="R135" s="13"/>
      <c r="S135" s="13"/>
      <c r="W135" s="23" t="s">
        <v>52</v>
      </c>
      <c r="Z135" s="15"/>
      <c r="AB135" s="10">
        <v>0</v>
      </c>
    </row>
    <row r="136" spans="1:28" ht="15.75" hidden="1" customHeight="1">
      <c r="A136" s="92">
        <v>29896</v>
      </c>
      <c r="B136" s="91">
        <v>1</v>
      </c>
      <c r="C136" s="195">
        <v>46126</v>
      </c>
      <c r="D136" s="91">
        <f t="shared" ca="1" si="7"/>
        <v>101</v>
      </c>
      <c r="E136" s="138" t="str">
        <f t="shared" ca="1" si="6"/>
        <v>CRÍTICO</v>
      </c>
      <c r="F136" s="96" t="s">
        <v>42</v>
      </c>
      <c r="G136" s="19" t="s">
        <v>552</v>
      </c>
      <c r="H136" s="19" t="s">
        <v>91</v>
      </c>
      <c r="I136" s="19" t="str">
        <f>IF(W136="ADMITIDO","ADMITIDO",IF(W136="CANCELADA","CANCELADA",IF(H136="","",IFERROR(_xlfn.XLOOKUP(H136,Listas!I:I,Listas!J:J),"OUTROS"))))</f>
        <v>TRIAGEM</v>
      </c>
      <c r="J136" s="12" t="s">
        <v>53</v>
      </c>
      <c r="K136" s="11" t="s">
        <v>553</v>
      </c>
      <c r="L136" s="11" t="s">
        <v>554</v>
      </c>
      <c r="M136" s="11"/>
      <c r="N136" s="11" t="s">
        <v>34</v>
      </c>
      <c r="O136" s="11" t="s">
        <v>57</v>
      </c>
      <c r="P136" s="11" t="s">
        <v>555</v>
      </c>
      <c r="Q136" s="108"/>
      <c r="R136" s="13"/>
      <c r="S136" s="13"/>
      <c r="Z136" s="15"/>
      <c r="AB136" s="10">
        <v>0</v>
      </c>
    </row>
    <row r="137" spans="1:28" ht="15.75" hidden="1" customHeight="1">
      <c r="A137" s="92">
        <v>29873</v>
      </c>
      <c r="B137" s="91">
        <v>1</v>
      </c>
      <c r="C137" s="195">
        <v>46126</v>
      </c>
      <c r="D137" s="91">
        <f t="shared" ca="1" si="7"/>
        <v>101</v>
      </c>
      <c r="E137" s="138" t="str">
        <f t="shared" si="6"/>
        <v>CANCELADA</v>
      </c>
      <c r="F137" s="96" t="s">
        <v>42</v>
      </c>
      <c r="G137" s="19" t="s">
        <v>60</v>
      </c>
      <c r="H137" s="19" t="s">
        <v>52</v>
      </c>
      <c r="I137" s="19" t="str">
        <f>IF(W137="ADMITIDO","ADMITIDO",IF(W137="CANCELADA","CANCELADA",IF(H137="","",IFERROR(_xlfn.XLOOKUP(H137,Listas!I:I,Listas!J:J),"OUTROS"))))</f>
        <v>CANCELADA</v>
      </c>
      <c r="J137" s="12" t="s">
        <v>53</v>
      </c>
      <c r="K137" s="11" t="s">
        <v>61</v>
      </c>
      <c r="L137" s="11" t="s">
        <v>556</v>
      </c>
      <c r="M137" s="11" t="s">
        <v>63</v>
      </c>
      <c r="N137" s="11" t="s">
        <v>34</v>
      </c>
      <c r="O137" s="11" t="s">
        <v>72</v>
      </c>
      <c r="P137" s="11" t="s">
        <v>238</v>
      </c>
      <c r="Q137" s="108"/>
      <c r="R137" s="13"/>
      <c r="S137" s="13"/>
      <c r="W137" s="23" t="s">
        <v>52</v>
      </c>
      <c r="Z137" s="15"/>
      <c r="AB137" s="10">
        <v>0</v>
      </c>
    </row>
    <row r="138" spans="1:28" ht="15.75" hidden="1" customHeight="1">
      <c r="A138" s="90">
        <v>29869</v>
      </c>
      <c r="B138" s="91">
        <v>1</v>
      </c>
      <c r="C138" s="195">
        <v>46126</v>
      </c>
      <c r="D138" s="91">
        <f t="shared" ca="1" si="7"/>
        <v>101</v>
      </c>
      <c r="E138" s="138" t="str">
        <f t="shared" si="6"/>
        <v>ADMITIDO</v>
      </c>
      <c r="F138" s="96" t="s">
        <v>28</v>
      </c>
      <c r="G138" s="19" t="s">
        <v>43</v>
      </c>
      <c r="H138" s="19" t="s">
        <v>40</v>
      </c>
      <c r="I138" s="19" t="str">
        <f>IF(W138="ADMITIDO","ADMITIDO",IF(W138="CANCELADA","CANCELADA",IF(H138="","",IFERROR(_xlfn.XLOOKUP(H138,Listas!I:I,Listas!J:J),"OUTROS"))))</f>
        <v>ADMITIDO</v>
      </c>
      <c r="J138" s="12" t="s">
        <v>557</v>
      </c>
      <c r="K138" s="11" t="s">
        <v>285</v>
      </c>
      <c r="L138" s="11" t="s">
        <v>558</v>
      </c>
      <c r="M138" s="11" t="s">
        <v>559</v>
      </c>
      <c r="N138" s="11" t="s">
        <v>34</v>
      </c>
      <c r="O138" s="11" t="s">
        <v>35</v>
      </c>
      <c r="P138" s="11" t="s">
        <v>287</v>
      </c>
      <c r="Q138" s="108"/>
      <c r="R138" s="13"/>
      <c r="S138" s="17">
        <v>8185386777</v>
      </c>
      <c r="T138" s="11" t="s">
        <v>50</v>
      </c>
      <c r="U138" s="202">
        <v>46132</v>
      </c>
      <c r="V138" s="41" t="s">
        <v>560</v>
      </c>
      <c r="W138" s="23" t="s">
        <v>40</v>
      </c>
      <c r="X138" s="14">
        <v>46141</v>
      </c>
      <c r="Y138" s="14">
        <v>46142</v>
      </c>
      <c r="Z138" s="15">
        <v>914197</v>
      </c>
      <c r="AB138" s="10">
        <v>0</v>
      </c>
    </row>
    <row r="139" spans="1:28" ht="15.75" hidden="1" customHeight="1">
      <c r="A139" s="92">
        <v>29878</v>
      </c>
      <c r="B139" s="91">
        <v>1</v>
      </c>
      <c r="C139" s="195">
        <v>46126</v>
      </c>
      <c r="D139" s="91">
        <f t="shared" ca="1" si="7"/>
        <v>101</v>
      </c>
      <c r="E139" s="138" t="str">
        <f t="shared" si="6"/>
        <v>CANCELADA</v>
      </c>
      <c r="F139" s="96" t="s">
        <v>42</v>
      </c>
      <c r="G139" s="19" t="s">
        <v>29</v>
      </c>
      <c r="H139" s="19" t="s">
        <v>52</v>
      </c>
      <c r="I139" s="19" t="str">
        <f>IF(W139="ADMITIDO","ADMITIDO",IF(W139="CANCELADA","CANCELADA",IF(H139="","",IFERROR(_xlfn.XLOOKUP(H139,Listas!I:I,Listas!J:J),"OUTROS"))))</f>
        <v>CANCELADA</v>
      </c>
      <c r="J139" s="12" t="s">
        <v>44</v>
      </c>
      <c r="K139" s="11" t="s">
        <v>228</v>
      </c>
      <c r="L139" s="11" t="s">
        <v>229</v>
      </c>
      <c r="M139" s="11" t="s">
        <v>88</v>
      </c>
      <c r="N139" s="11" t="s">
        <v>34</v>
      </c>
      <c r="O139" s="11" t="s">
        <v>57</v>
      </c>
      <c r="P139" s="11" t="s">
        <v>561</v>
      </c>
      <c r="Q139" s="108" t="s">
        <v>562</v>
      </c>
      <c r="R139" s="13"/>
      <c r="S139" s="13"/>
      <c r="W139" s="23" t="s">
        <v>52</v>
      </c>
      <c r="Z139" s="15"/>
      <c r="AB139" s="10">
        <v>0</v>
      </c>
    </row>
    <row r="140" spans="1:28" ht="15.75" hidden="1" customHeight="1">
      <c r="A140" s="92">
        <v>29851</v>
      </c>
      <c r="B140" s="91">
        <v>1</v>
      </c>
      <c r="C140" s="195">
        <v>46126</v>
      </c>
      <c r="D140" s="91">
        <f t="shared" ca="1" si="7"/>
        <v>101</v>
      </c>
      <c r="E140" s="138" t="str">
        <f t="shared" si="6"/>
        <v>ADMITIDO</v>
      </c>
      <c r="F140" s="96" t="s">
        <v>28</v>
      </c>
      <c r="G140" s="19" t="s">
        <v>145</v>
      </c>
      <c r="H140" s="19" t="s">
        <v>40</v>
      </c>
      <c r="I140" s="19" t="str">
        <f>IF(W140="ADMITIDO","ADMITIDO",IF(W140="CANCELADA","CANCELADA",IF(H140="","",IFERROR(_xlfn.XLOOKUP(H140,Listas!I:I,Listas!J:J),"OUTROS"))))</f>
        <v>ADMITIDO</v>
      </c>
      <c r="J140" s="12" t="s">
        <v>268</v>
      </c>
      <c r="K140" s="11" t="s">
        <v>563</v>
      </c>
      <c r="L140" s="11" t="s">
        <v>564</v>
      </c>
      <c r="M140" s="11" t="s">
        <v>63</v>
      </c>
      <c r="N140" s="11" t="s">
        <v>34</v>
      </c>
      <c r="O140" s="11" t="s">
        <v>35</v>
      </c>
      <c r="P140" s="11" t="s">
        <v>565</v>
      </c>
      <c r="Q140" s="114" t="s">
        <v>566</v>
      </c>
      <c r="R140" s="13"/>
      <c r="S140" s="13"/>
      <c r="T140" s="11" t="s">
        <v>76</v>
      </c>
      <c r="U140" s="202">
        <v>46142</v>
      </c>
      <c r="V140" s="41" t="s">
        <v>567</v>
      </c>
      <c r="W140" s="23" t="s">
        <v>40</v>
      </c>
      <c r="X140" s="14">
        <v>46147</v>
      </c>
      <c r="Y140" s="14">
        <v>46149</v>
      </c>
      <c r="Z140" s="15">
        <v>914220</v>
      </c>
      <c r="AA140" s="45"/>
      <c r="AB140" s="10">
        <v>0</v>
      </c>
    </row>
    <row r="141" spans="1:28" ht="15.75" hidden="1" customHeight="1">
      <c r="A141" s="92">
        <v>29860</v>
      </c>
      <c r="B141" s="91">
        <v>1</v>
      </c>
      <c r="C141" s="195">
        <v>46126</v>
      </c>
      <c r="D141" s="91">
        <f t="shared" ca="1" si="7"/>
        <v>101</v>
      </c>
      <c r="E141" s="138" t="str">
        <f t="shared" si="6"/>
        <v>ADMITIDO</v>
      </c>
      <c r="F141" s="96" t="s">
        <v>42</v>
      </c>
      <c r="G141" s="19" t="s">
        <v>29</v>
      </c>
      <c r="H141" s="19" t="s">
        <v>40</v>
      </c>
      <c r="I141" s="19" t="str">
        <f>IF(W141="ADMITIDO","ADMITIDO",IF(W141="CANCELADA","CANCELADA",IF(H141="","",IFERROR(_xlfn.XLOOKUP(H141,Listas!I:I,Listas!J:J),"OUTROS"))))</f>
        <v>ADMITIDO</v>
      </c>
      <c r="J141" s="12" t="s">
        <v>53</v>
      </c>
      <c r="K141" s="11" t="s">
        <v>54</v>
      </c>
      <c r="L141" s="11" t="s">
        <v>164</v>
      </c>
      <c r="M141" s="11" t="s">
        <v>88</v>
      </c>
      <c r="N141" s="11" t="s">
        <v>34</v>
      </c>
      <c r="O141" s="11" t="s">
        <v>57</v>
      </c>
      <c r="P141" s="11" t="s">
        <v>231</v>
      </c>
      <c r="Q141" s="108"/>
      <c r="R141" s="13"/>
      <c r="S141" s="13"/>
      <c r="T141" s="11" t="s">
        <v>38</v>
      </c>
      <c r="U141" s="202">
        <v>46134</v>
      </c>
      <c r="V141" s="41" t="s">
        <v>568</v>
      </c>
      <c r="W141" s="23" t="s">
        <v>40</v>
      </c>
      <c r="X141" s="14">
        <v>46136</v>
      </c>
      <c r="Y141" s="14">
        <v>46137</v>
      </c>
      <c r="Z141" s="15">
        <v>145883</v>
      </c>
      <c r="AB141" s="10">
        <v>0</v>
      </c>
    </row>
    <row r="142" spans="1:28" ht="15.75" hidden="1" customHeight="1">
      <c r="A142" s="90">
        <v>29861</v>
      </c>
      <c r="B142" s="95">
        <v>1</v>
      </c>
      <c r="C142" s="196">
        <v>46126</v>
      </c>
      <c r="D142" s="95">
        <f t="shared" ca="1" si="7"/>
        <v>101</v>
      </c>
      <c r="E142" s="138" t="str">
        <f t="shared" ca="1" si="6"/>
        <v>CRÍTICO</v>
      </c>
      <c r="F142" s="96" t="s">
        <v>42</v>
      </c>
      <c r="G142" s="19" t="s">
        <v>29</v>
      </c>
      <c r="H142" s="117" t="s">
        <v>569</v>
      </c>
      <c r="I142" s="19" t="str">
        <f>IF(W142="ADMITIDO","ADMITIDO",IF(W142="CANCELADA","CANCELADA",IF(H142="","",IFERROR(_xlfn.XLOOKUP(H142,Listas!I:I,Listas!J:J),"OUTROS"))))</f>
        <v>PESQUISA</v>
      </c>
      <c r="J142" s="12" t="s">
        <v>53</v>
      </c>
      <c r="K142" s="11" t="s">
        <v>54</v>
      </c>
      <c r="L142" s="11" t="s">
        <v>164</v>
      </c>
      <c r="M142" s="11" t="s">
        <v>88</v>
      </c>
      <c r="N142" s="11" t="s">
        <v>34</v>
      </c>
      <c r="O142" s="11" t="s">
        <v>57</v>
      </c>
      <c r="P142" s="11" t="s">
        <v>231</v>
      </c>
      <c r="Q142" s="108"/>
      <c r="R142" s="13"/>
      <c r="S142" s="24"/>
      <c r="Z142" s="15"/>
      <c r="AB142" s="10">
        <v>0</v>
      </c>
    </row>
    <row r="143" spans="1:28" ht="15.75" hidden="1" customHeight="1">
      <c r="A143" s="92">
        <v>29863</v>
      </c>
      <c r="B143" s="91">
        <v>1</v>
      </c>
      <c r="C143" s="195">
        <v>46126</v>
      </c>
      <c r="D143" s="91">
        <f t="shared" ca="1" si="7"/>
        <v>101</v>
      </c>
      <c r="E143" s="138" t="str">
        <f t="shared" si="6"/>
        <v>ADMITIDO</v>
      </c>
      <c r="F143" s="96" t="s">
        <v>42</v>
      </c>
      <c r="G143" s="19" t="s">
        <v>29</v>
      </c>
      <c r="H143" s="19" t="str">
        <f>W143</f>
        <v>ADMITIDO</v>
      </c>
      <c r="I143" s="19" t="str">
        <f>IF(W143="ADMITIDO","ADMITIDO",IF(W143="CANCELADA","CANCELADA",IF(H143="","",IFERROR(_xlfn.XLOOKUP(H143,Listas!I:I,Listas!J:J),"OUTROS"))))</f>
        <v>ADMITIDO</v>
      </c>
      <c r="J143" s="12" t="s">
        <v>53</v>
      </c>
      <c r="K143" s="11" t="s">
        <v>54</v>
      </c>
      <c r="L143" s="11" t="s">
        <v>164</v>
      </c>
      <c r="M143" s="11" t="s">
        <v>88</v>
      </c>
      <c r="N143" s="11" t="s">
        <v>56</v>
      </c>
      <c r="O143" s="11" t="s">
        <v>57</v>
      </c>
      <c r="P143" s="11" t="s">
        <v>165</v>
      </c>
      <c r="Q143" s="108"/>
      <c r="R143" s="13"/>
      <c r="S143" s="24" t="s">
        <v>570</v>
      </c>
      <c r="T143" s="11" t="s">
        <v>38</v>
      </c>
      <c r="U143" s="202">
        <v>46129</v>
      </c>
      <c r="V143" s="41" t="s">
        <v>571</v>
      </c>
      <c r="W143" s="23" t="s">
        <v>40</v>
      </c>
      <c r="X143" s="14">
        <v>46134</v>
      </c>
      <c r="Y143" s="14">
        <v>46135</v>
      </c>
      <c r="Z143" s="15">
        <v>145860</v>
      </c>
      <c r="AB143" s="10">
        <v>0</v>
      </c>
    </row>
    <row r="144" spans="1:28" ht="15.75" hidden="1" customHeight="1">
      <c r="A144" s="92">
        <v>29864</v>
      </c>
      <c r="B144" s="91">
        <v>1</v>
      </c>
      <c r="C144" s="195">
        <v>46126</v>
      </c>
      <c r="D144" s="91">
        <f t="shared" ca="1" si="7"/>
        <v>101</v>
      </c>
      <c r="E144" s="138" t="str">
        <f t="shared" si="6"/>
        <v>ADMITIDO</v>
      </c>
      <c r="F144" s="96" t="s">
        <v>42</v>
      </c>
      <c r="G144" s="19" t="s">
        <v>29</v>
      </c>
      <c r="H144" s="19" t="str">
        <f>W144</f>
        <v>ADMITIDO</v>
      </c>
      <c r="I144" s="19" t="str">
        <f>IF(W144="ADMITIDO","ADMITIDO",IF(W144="CANCELADA","CANCELADA",IF(H144="","",IFERROR(_xlfn.XLOOKUP(H144,Listas!I:I,Listas!J:J),"OUTROS"))))</f>
        <v>ADMITIDO</v>
      </c>
      <c r="J144" s="12" t="s">
        <v>53</v>
      </c>
      <c r="K144" s="11" t="s">
        <v>54</v>
      </c>
      <c r="L144" s="11" t="s">
        <v>164</v>
      </c>
      <c r="M144" s="11" t="s">
        <v>88</v>
      </c>
      <c r="N144" s="11" t="s">
        <v>56</v>
      </c>
      <c r="O144" s="11" t="s">
        <v>57</v>
      </c>
      <c r="P144" s="11" t="s">
        <v>572</v>
      </c>
      <c r="Q144" s="108"/>
      <c r="R144" s="13"/>
      <c r="S144" s="24" t="s">
        <v>573</v>
      </c>
      <c r="T144" s="11" t="s">
        <v>38</v>
      </c>
      <c r="U144" s="202">
        <v>46128</v>
      </c>
      <c r="W144" s="23" t="s">
        <v>40</v>
      </c>
      <c r="X144" s="14">
        <v>46134</v>
      </c>
      <c r="Y144" s="14">
        <v>46135</v>
      </c>
      <c r="Z144" s="15">
        <v>145872</v>
      </c>
      <c r="AB144" s="10">
        <v>0</v>
      </c>
    </row>
    <row r="145" spans="1:28" ht="15.75" hidden="1" customHeight="1">
      <c r="A145" s="90">
        <v>29889</v>
      </c>
      <c r="B145" s="91">
        <v>1</v>
      </c>
      <c r="C145" s="195">
        <v>46126</v>
      </c>
      <c r="D145" s="91">
        <f t="shared" ca="1" si="7"/>
        <v>101</v>
      </c>
      <c r="E145" s="138" t="str">
        <f t="shared" si="6"/>
        <v>ADMITIDO</v>
      </c>
      <c r="F145" s="96" t="s">
        <v>28</v>
      </c>
      <c r="G145" s="19" t="s">
        <v>29</v>
      </c>
      <c r="H145" s="117" t="str">
        <f>W145</f>
        <v>ADMITIDO</v>
      </c>
      <c r="I145" s="19" t="str">
        <f>IF(W145="ADMITIDO","ADMITIDO",IF(W145="CANCELADA","CANCELADA",IF(H145="","",IFERROR(_xlfn.XLOOKUP(H145,Listas!I:I,Listas!J:J),"OUTROS"))))</f>
        <v>ADMITIDO</v>
      </c>
      <c r="J145" s="12" t="s">
        <v>146</v>
      </c>
      <c r="K145" s="11" t="s">
        <v>86</v>
      </c>
      <c r="L145" s="11" t="s">
        <v>183</v>
      </c>
      <c r="M145" s="11" t="s">
        <v>184</v>
      </c>
      <c r="N145" s="11" t="s">
        <v>34</v>
      </c>
      <c r="O145" s="11" t="s">
        <v>35</v>
      </c>
      <c r="P145" s="11" t="s">
        <v>574</v>
      </c>
      <c r="Q145" s="108"/>
      <c r="R145" s="13"/>
      <c r="S145" s="13" t="s">
        <v>575</v>
      </c>
      <c r="T145" s="11" t="s">
        <v>38</v>
      </c>
      <c r="U145" s="202">
        <v>46142</v>
      </c>
      <c r="V145" s="41" t="s">
        <v>576</v>
      </c>
      <c r="W145" s="59" t="s">
        <v>40</v>
      </c>
      <c r="X145" s="14">
        <v>46149</v>
      </c>
      <c r="Y145" s="14">
        <v>46151</v>
      </c>
      <c r="Z145" s="15">
        <v>914236</v>
      </c>
      <c r="AA145" s="45" t="s">
        <v>577</v>
      </c>
      <c r="AB145" s="10">
        <v>0</v>
      </c>
    </row>
    <row r="146" spans="1:28" ht="15.75" hidden="1" customHeight="1">
      <c r="A146" s="92">
        <v>29890</v>
      </c>
      <c r="B146" s="91">
        <v>1</v>
      </c>
      <c r="C146" s="195">
        <v>46126</v>
      </c>
      <c r="D146" s="91">
        <f t="shared" ca="1" si="7"/>
        <v>101</v>
      </c>
      <c r="E146" s="138" t="str">
        <f t="shared" ca="1" si="6"/>
        <v>CRÍTICO</v>
      </c>
      <c r="F146" s="96" t="s">
        <v>42</v>
      </c>
      <c r="G146" s="19" t="s">
        <v>60</v>
      </c>
      <c r="H146" s="19" t="s">
        <v>214</v>
      </c>
      <c r="I146" s="19" t="str">
        <f>IF(W146="ADMITIDO","ADMITIDO",IF(W146="CANCELADA","CANCELADA",IF(H146="","",IFERROR(_xlfn.XLOOKUP(H146,Listas!I:I,Listas!J:J),"OUTROS"))))</f>
        <v>TRIAGEM</v>
      </c>
      <c r="J146" s="12" t="s">
        <v>53</v>
      </c>
      <c r="K146" s="11" t="s">
        <v>61</v>
      </c>
      <c r="L146" s="11" t="s">
        <v>506</v>
      </c>
      <c r="M146" s="11" t="s">
        <v>63</v>
      </c>
      <c r="N146" s="11" t="s">
        <v>34</v>
      </c>
      <c r="O146" s="11" t="s">
        <v>219</v>
      </c>
      <c r="P146" s="11" t="s">
        <v>578</v>
      </c>
      <c r="Q146" s="108" t="s">
        <v>579</v>
      </c>
      <c r="R146" s="13" t="s">
        <v>65</v>
      </c>
      <c r="S146" s="13"/>
      <c r="W146" s="59"/>
      <c r="Z146" s="15"/>
      <c r="AA146" s="45" t="s">
        <v>580</v>
      </c>
      <c r="AB146" s="10">
        <v>0</v>
      </c>
    </row>
    <row r="147" spans="1:28" ht="15.75" hidden="1" customHeight="1">
      <c r="A147" s="92">
        <v>29893</v>
      </c>
      <c r="B147" s="91">
        <v>1</v>
      </c>
      <c r="C147" s="195">
        <v>46126</v>
      </c>
      <c r="D147" s="91">
        <f t="shared" ca="1" si="7"/>
        <v>101</v>
      </c>
      <c r="E147" s="138" t="str">
        <f t="shared" si="6"/>
        <v>ADMITIDO</v>
      </c>
      <c r="F147" s="96" t="s">
        <v>42</v>
      </c>
      <c r="G147" s="19" t="s">
        <v>60</v>
      </c>
      <c r="H147" s="117" t="s">
        <v>40</v>
      </c>
      <c r="I147" s="19" t="str">
        <f>IF(W147="ADMITIDO","ADMITIDO",IF(W147="CANCELADA","CANCELADA",IF(H147="","",IFERROR(_xlfn.XLOOKUP(H147,Listas!I:I,Listas!J:J),"OUTROS"))))</f>
        <v>ADMITIDO</v>
      </c>
      <c r="J147" s="12" t="s">
        <v>53</v>
      </c>
      <c r="K147" s="11" t="s">
        <v>61</v>
      </c>
      <c r="L147" s="11" t="s">
        <v>506</v>
      </c>
      <c r="M147" s="11" t="s">
        <v>63</v>
      </c>
      <c r="N147" s="11" t="s">
        <v>34</v>
      </c>
      <c r="O147" s="11" t="s">
        <v>219</v>
      </c>
      <c r="P147" s="11" t="s">
        <v>581</v>
      </c>
      <c r="Q147" s="108" t="s">
        <v>582</v>
      </c>
      <c r="R147" s="13" t="s">
        <v>65</v>
      </c>
      <c r="S147" s="13" t="s">
        <v>583</v>
      </c>
      <c r="T147" s="11" t="s">
        <v>132</v>
      </c>
      <c r="U147" s="202">
        <v>46147</v>
      </c>
      <c r="V147" s="41" t="s">
        <v>584</v>
      </c>
      <c r="W147" s="11" t="s">
        <v>40</v>
      </c>
      <c r="X147" s="14">
        <v>46149</v>
      </c>
      <c r="Y147" s="14">
        <v>46150</v>
      </c>
      <c r="Z147" s="15">
        <v>914240</v>
      </c>
      <c r="AA147" s="42" t="s">
        <v>585</v>
      </c>
      <c r="AB147" s="10">
        <v>0</v>
      </c>
    </row>
    <row r="148" spans="1:28" ht="15.75" hidden="1" customHeight="1">
      <c r="A148" s="92">
        <v>29842</v>
      </c>
      <c r="B148" s="91">
        <v>1</v>
      </c>
      <c r="C148" s="195">
        <v>46126</v>
      </c>
      <c r="D148" s="91">
        <f t="shared" ca="1" si="7"/>
        <v>101</v>
      </c>
      <c r="E148" s="138" t="str">
        <f t="shared" si="6"/>
        <v>CANCELADA</v>
      </c>
      <c r="F148" s="96" t="s">
        <v>28</v>
      </c>
      <c r="G148" s="19" t="s">
        <v>43</v>
      </c>
      <c r="H148" s="19" t="s">
        <v>52</v>
      </c>
      <c r="I148" s="19" t="str">
        <f>IF(W148="ADMITIDO","ADMITIDO",IF(W148="CANCELADA","CANCELADA",IF(H148="","",IFERROR(_xlfn.XLOOKUP(H148,Listas!I:I,Listas!J:J),"OUTROS"))))</f>
        <v>CANCELADA</v>
      </c>
      <c r="J148" s="12" t="s">
        <v>586</v>
      </c>
      <c r="K148" s="11" t="s">
        <v>360</v>
      </c>
      <c r="L148" s="11" t="s">
        <v>511</v>
      </c>
      <c r="M148" s="11" t="s">
        <v>512</v>
      </c>
      <c r="N148" s="11" t="s">
        <v>34</v>
      </c>
      <c r="O148" s="11" t="s">
        <v>35</v>
      </c>
      <c r="P148" s="11" t="s">
        <v>287</v>
      </c>
      <c r="Q148" s="108" t="s">
        <v>587</v>
      </c>
      <c r="R148" s="13"/>
      <c r="W148" s="23" t="s">
        <v>52</v>
      </c>
      <c r="Z148" s="15"/>
      <c r="AB148" s="10">
        <v>0</v>
      </c>
    </row>
    <row r="149" spans="1:28" ht="15.75" hidden="1" customHeight="1">
      <c r="A149" s="92">
        <v>29871</v>
      </c>
      <c r="B149" s="91">
        <v>1</v>
      </c>
      <c r="C149" s="195">
        <v>46126</v>
      </c>
      <c r="D149" s="91">
        <f t="shared" ca="1" si="7"/>
        <v>101</v>
      </c>
      <c r="E149" s="138" t="str">
        <f t="shared" si="6"/>
        <v>CANCELADA</v>
      </c>
      <c r="F149" s="96" t="s">
        <v>42</v>
      </c>
      <c r="G149" s="19" t="s">
        <v>69</v>
      </c>
      <c r="H149" s="19" t="s">
        <v>52</v>
      </c>
      <c r="I149" s="19" t="str">
        <f>IF(W149="ADMITIDO","ADMITIDO",IF(W149="CANCELADA","CANCELADA",IF(H149="","",IFERROR(_xlfn.XLOOKUP(H149,Listas!I:I,Listas!J:J),"OUTROS"))))</f>
        <v>CANCELADA</v>
      </c>
      <c r="J149" s="12" t="s">
        <v>53</v>
      </c>
      <c r="K149" s="11" t="s">
        <v>61</v>
      </c>
      <c r="L149" s="11" t="s">
        <v>588</v>
      </c>
      <c r="M149" s="11" t="s">
        <v>63</v>
      </c>
      <c r="N149" s="11" t="s">
        <v>34</v>
      </c>
      <c r="O149" s="11" t="s">
        <v>589</v>
      </c>
      <c r="P149" s="11" t="s">
        <v>532</v>
      </c>
      <c r="Q149" s="108"/>
      <c r="R149" s="13"/>
      <c r="S149" s="13"/>
      <c r="W149" s="23" t="s">
        <v>52</v>
      </c>
      <c r="Z149" s="15"/>
      <c r="AB149" s="10">
        <v>0</v>
      </c>
    </row>
    <row r="150" spans="1:28" ht="15.75" hidden="1" customHeight="1">
      <c r="A150" s="90">
        <v>29872</v>
      </c>
      <c r="B150" s="91">
        <v>1</v>
      </c>
      <c r="C150" s="195">
        <v>46126</v>
      </c>
      <c r="D150" s="91">
        <f t="shared" ca="1" si="7"/>
        <v>101</v>
      </c>
      <c r="E150" s="138" t="str">
        <f t="shared" si="6"/>
        <v>ADMITIDO</v>
      </c>
      <c r="F150" s="96" t="s">
        <v>42</v>
      </c>
      <c r="G150" s="19" t="s">
        <v>60</v>
      </c>
      <c r="H150" s="19" t="s">
        <v>40</v>
      </c>
      <c r="I150" s="19" t="str">
        <f>IF(W150="ADMITIDO","ADMITIDO",IF(W150="CANCELADA","CANCELADA",IF(H150="","",IFERROR(_xlfn.XLOOKUP(H150,Listas!I:I,Listas!J:J),"OUTROS"))))</f>
        <v>ADMITIDO</v>
      </c>
      <c r="J150" s="12" t="s">
        <v>53</v>
      </c>
      <c r="K150" s="11" t="s">
        <v>61</v>
      </c>
      <c r="L150" s="11" t="s">
        <v>590</v>
      </c>
      <c r="M150" s="11" t="s">
        <v>63</v>
      </c>
      <c r="N150" s="11" t="s">
        <v>34</v>
      </c>
      <c r="O150" s="11" t="s">
        <v>219</v>
      </c>
      <c r="P150" s="11" t="s">
        <v>247</v>
      </c>
      <c r="Q150" s="108" t="s">
        <v>591</v>
      </c>
      <c r="R150" s="13" t="s">
        <v>65</v>
      </c>
      <c r="S150" s="13" t="s">
        <v>592</v>
      </c>
      <c r="T150" s="11" t="s">
        <v>76</v>
      </c>
      <c r="U150" s="202">
        <v>46132</v>
      </c>
      <c r="V150" s="41" t="s">
        <v>593</v>
      </c>
      <c r="W150" s="23" t="s">
        <v>40</v>
      </c>
      <c r="X150" s="14">
        <v>46139</v>
      </c>
      <c r="Y150" s="14">
        <v>46140</v>
      </c>
      <c r="Z150" s="15">
        <v>145893</v>
      </c>
      <c r="AB150" s="10">
        <v>0</v>
      </c>
    </row>
    <row r="151" spans="1:28" ht="15.75" hidden="1" customHeight="1">
      <c r="A151" s="92">
        <v>29895</v>
      </c>
      <c r="B151" s="91">
        <v>1</v>
      </c>
      <c r="C151" s="195">
        <v>46126</v>
      </c>
      <c r="D151" s="91">
        <f t="shared" ca="1" si="7"/>
        <v>101</v>
      </c>
      <c r="E151" s="138" t="str">
        <f t="shared" si="6"/>
        <v>ADMITIDO</v>
      </c>
      <c r="F151" s="96" t="s">
        <v>42</v>
      </c>
      <c r="G151" s="19" t="s">
        <v>240</v>
      </c>
      <c r="H151" s="19" t="s">
        <v>40</v>
      </c>
      <c r="I151" s="19" t="str">
        <f>IF(W151="ADMITIDO","ADMITIDO",IF(W151="CANCELADA","CANCELADA",IF(H151="","",IFERROR(_xlfn.XLOOKUP(H151,Listas!I:I,Listas!J:J),"OUTROS"))))</f>
        <v>ADMITIDO</v>
      </c>
      <c r="J151" s="12" t="s">
        <v>163</v>
      </c>
      <c r="K151" s="11" t="s">
        <v>241</v>
      </c>
      <c r="L151" s="11" t="s">
        <v>594</v>
      </c>
      <c r="M151" s="11" t="s">
        <v>243</v>
      </c>
      <c r="N151" s="11" t="s">
        <v>34</v>
      </c>
      <c r="O151" s="11" t="s">
        <v>57</v>
      </c>
      <c r="P151" s="11" t="s">
        <v>432</v>
      </c>
      <c r="Q151" s="108"/>
      <c r="R151" s="13"/>
      <c r="S151" s="13" t="s">
        <v>595</v>
      </c>
      <c r="T151" s="11" t="s">
        <v>132</v>
      </c>
      <c r="U151" s="202">
        <v>46140</v>
      </c>
      <c r="V151" s="41" t="s">
        <v>596</v>
      </c>
      <c r="W151" s="23" t="s">
        <v>40</v>
      </c>
      <c r="X151" s="14">
        <v>46142</v>
      </c>
      <c r="Y151" s="14">
        <v>46146</v>
      </c>
      <c r="Z151" s="15">
        <v>145913</v>
      </c>
      <c r="AB151" s="10">
        <v>0</v>
      </c>
    </row>
    <row r="152" spans="1:28" ht="15.75" hidden="1" customHeight="1">
      <c r="A152" s="92">
        <v>29875</v>
      </c>
      <c r="B152" s="91">
        <v>1</v>
      </c>
      <c r="C152" s="195">
        <v>46126</v>
      </c>
      <c r="D152" s="91">
        <f t="shared" ca="1" si="7"/>
        <v>101</v>
      </c>
      <c r="E152" s="138" t="str">
        <f t="shared" si="6"/>
        <v>ADMITIDO</v>
      </c>
      <c r="F152" s="96" t="s">
        <v>28</v>
      </c>
      <c r="G152" s="19" t="s">
        <v>145</v>
      </c>
      <c r="H152" s="19" t="s">
        <v>40</v>
      </c>
      <c r="I152" s="19" t="str">
        <f>IF(W152="ADMITIDO","ADMITIDO",IF(W152="CANCELADA","CANCELADA",IF(H152="","",IFERROR(_xlfn.XLOOKUP(H152,Listas!I:I,Listas!J:J),"OUTROS"))))</f>
        <v>ADMITIDO</v>
      </c>
      <c r="J152" s="12" t="s">
        <v>268</v>
      </c>
      <c r="K152" s="11" t="s">
        <v>318</v>
      </c>
      <c r="L152" s="11" t="s">
        <v>597</v>
      </c>
      <c r="M152" s="11" t="s">
        <v>63</v>
      </c>
      <c r="N152" s="11" t="s">
        <v>56</v>
      </c>
      <c r="O152" s="11" t="s">
        <v>35</v>
      </c>
      <c r="P152" s="11" t="s">
        <v>176</v>
      </c>
      <c r="Q152" s="108"/>
      <c r="R152" s="13"/>
      <c r="S152" s="13"/>
      <c r="T152" s="11" t="s">
        <v>76</v>
      </c>
      <c r="U152" s="202" t="s">
        <v>598</v>
      </c>
      <c r="V152" s="41" t="s">
        <v>599</v>
      </c>
      <c r="W152" s="23" t="s">
        <v>40</v>
      </c>
      <c r="X152" s="14">
        <v>46147</v>
      </c>
      <c r="Y152" s="14">
        <v>46150</v>
      </c>
      <c r="Z152" s="15">
        <v>914218</v>
      </c>
      <c r="AA152" s="45"/>
      <c r="AB152" s="10">
        <v>0</v>
      </c>
    </row>
    <row r="153" spans="1:28" ht="15.75" hidden="1" customHeight="1">
      <c r="A153" s="92">
        <v>29865</v>
      </c>
      <c r="B153" s="91">
        <v>1</v>
      </c>
      <c r="C153" s="195">
        <v>46126</v>
      </c>
      <c r="D153" s="91">
        <f t="shared" ca="1" si="7"/>
        <v>101</v>
      </c>
      <c r="E153" s="138" t="str">
        <f t="shared" ca="1" si="6"/>
        <v>CRÍTICO</v>
      </c>
      <c r="F153" s="96" t="s">
        <v>42</v>
      </c>
      <c r="G153" s="19" t="s">
        <v>60</v>
      </c>
      <c r="H153" s="19" t="s">
        <v>91</v>
      </c>
      <c r="I153" s="19" t="str">
        <f>IF(W153="ADMITIDO","ADMITIDO",IF(W153="CANCELADA","CANCELADA",IF(H153="","",IFERROR(_xlfn.XLOOKUP(H153,Listas!I:I,Listas!J:J),"OUTROS"))))</f>
        <v>TRIAGEM</v>
      </c>
      <c r="J153" s="12" t="s">
        <v>53</v>
      </c>
      <c r="K153" s="11" t="s">
        <v>61</v>
      </c>
      <c r="L153" s="11" t="s">
        <v>600</v>
      </c>
      <c r="M153" s="11" t="s">
        <v>63</v>
      </c>
      <c r="N153" s="11" t="s">
        <v>34</v>
      </c>
      <c r="O153" s="11" t="s">
        <v>72</v>
      </c>
      <c r="P153" s="11" t="s">
        <v>601</v>
      </c>
      <c r="Q153" s="108"/>
      <c r="R153" s="13"/>
      <c r="S153" s="13"/>
      <c r="Z153" s="15"/>
      <c r="AB153" s="10">
        <v>0</v>
      </c>
    </row>
    <row r="154" spans="1:28" ht="15.75" hidden="1" customHeight="1">
      <c r="A154" s="92">
        <v>29866</v>
      </c>
      <c r="B154" s="91">
        <v>1</v>
      </c>
      <c r="C154" s="195">
        <v>46126</v>
      </c>
      <c r="D154" s="91">
        <f t="shared" ca="1" si="7"/>
        <v>101</v>
      </c>
      <c r="E154" s="138" t="str">
        <f t="shared" si="6"/>
        <v>ADMITIDO</v>
      </c>
      <c r="F154" s="96" t="s">
        <v>42</v>
      </c>
      <c r="G154" s="19" t="s">
        <v>60</v>
      </c>
      <c r="H154" s="19" t="str">
        <f>W154</f>
        <v>ADMITIDO</v>
      </c>
      <c r="I154" s="19" t="str">
        <f>IF(W154="ADMITIDO","ADMITIDO",IF(W154="CANCELADA","CANCELADA",IF(H154="","",IFERROR(_xlfn.XLOOKUP(H154,Listas!I:I,Listas!J:J),"OUTROS"))))</f>
        <v>ADMITIDO</v>
      </c>
      <c r="J154" s="12" t="s">
        <v>53</v>
      </c>
      <c r="K154" s="11" t="s">
        <v>61</v>
      </c>
      <c r="L154" s="11" t="s">
        <v>600</v>
      </c>
      <c r="M154" s="11" t="s">
        <v>63</v>
      </c>
      <c r="N154" s="11" t="s">
        <v>34</v>
      </c>
      <c r="O154" s="11" t="s">
        <v>72</v>
      </c>
      <c r="P154" s="11" t="s">
        <v>73</v>
      </c>
      <c r="Q154" s="108" t="s">
        <v>602</v>
      </c>
      <c r="R154" s="13" t="s">
        <v>141</v>
      </c>
      <c r="S154" s="13" t="s">
        <v>603</v>
      </c>
      <c r="T154" s="11" t="s">
        <v>76</v>
      </c>
      <c r="U154" s="202">
        <v>46127</v>
      </c>
      <c r="V154" s="41" t="s">
        <v>604</v>
      </c>
      <c r="W154" s="23" t="s">
        <v>40</v>
      </c>
      <c r="X154" s="14">
        <v>46134</v>
      </c>
      <c r="Y154" s="14">
        <v>46135</v>
      </c>
      <c r="Z154" s="15">
        <v>145878</v>
      </c>
      <c r="AB154" s="10">
        <v>0</v>
      </c>
    </row>
    <row r="155" spans="1:28" ht="15.75" hidden="1" customHeight="1">
      <c r="A155" s="92">
        <v>29834</v>
      </c>
      <c r="B155" s="91">
        <v>1</v>
      </c>
      <c r="C155" s="195">
        <v>46126</v>
      </c>
      <c r="D155" s="91">
        <f t="shared" ca="1" si="7"/>
        <v>101</v>
      </c>
      <c r="E155" s="138" t="str">
        <f t="shared" si="6"/>
        <v>CANCELADA</v>
      </c>
      <c r="F155" s="96" t="s">
        <v>28</v>
      </c>
      <c r="G155" s="19" t="s">
        <v>60</v>
      </c>
      <c r="H155" s="117" t="s">
        <v>52</v>
      </c>
      <c r="I155" s="19" t="str">
        <f>IF(W155="ADMITIDO","ADMITIDO",IF(W155="CANCELADA","CANCELADA",IF(H155="","",IFERROR(_xlfn.XLOOKUP(H155,Listas!I:I,Listas!J:J),"OUTROS"))))</f>
        <v>CANCELADA</v>
      </c>
      <c r="J155" s="12" t="s">
        <v>268</v>
      </c>
      <c r="K155" s="11" t="s">
        <v>330</v>
      </c>
      <c r="L155" s="11" t="s">
        <v>605</v>
      </c>
      <c r="M155" s="11" t="s">
        <v>63</v>
      </c>
      <c r="N155" s="11" t="s">
        <v>34</v>
      </c>
      <c r="O155" s="11" t="s">
        <v>35</v>
      </c>
      <c r="P155" s="11" t="s">
        <v>36</v>
      </c>
      <c r="Q155" s="108"/>
      <c r="R155" s="13"/>
      <c r="S155" s="13"/>
      <c r="W155" s="23" t="s">
        <v>52</v>
      </c>
      <c r="Z155" s="15"/>
      <c r="AB155" s="10">
        <v>0</v>
      </c>
    </row>
    <row r="156" spans="1:28" ht="15.75" hidden="1" customHeight="1">
      <c r="A156" s="92">
        <v>29879</v>
      </c>
      <c r="B156" s="91">
        <v>1</v>
      </c>
      <c r="C156" s="195">
        <v>46126</v>
      </c>
      <c r="D156" s="91">
        <f t="shared" ca="1" si="7"/>
        <v>101</v>
      </c>
      <c r="E156" s="138" t="str">
        <f t="shared" si="6"/>
        <v>ADMITIDO</v>
      </c>
      <c r="F156" s="96" t="s">
        <v>42</v>
      </c>
      <c r="G156" s="19" t="s">
        <v>29</v>
      </c>
      <c r="H156" s="19" t="str">
        <f>W156</f>
        <v>ADMITIDO</v>
      </c>
      <c r="I156" s="19" t="str">
        <f>IF(W156="ADMITIDO","ADMITIDO",IF(W156="CANCELADA","CANCELADA",IF(H156="","",IFERROR(_xlfn.XLOOKUP(H156,Listas!I:I,Listas!J:J),"OUTROS"))))</f>
        <v>ADMITIDO</v>
      </c>
      <c r="J156" s="12" t="s">
        <v>53</v>
      </c>
      <c r="K156" s="11" t="s">
        <v>54</v>
      </c>
      <c r="L156" s="11" t="s">
        <v>92</v>
      </c>
      <c r="M156" s="11" t="s">
        <v>93</v>
      </c>
      <c r="N156" s="11" t="s">
        <v>34</v>
      </c>
      <c r="O156" s="11" t="s">
        <v>57</v>
      </c>
      <c r="P156" s="11" t="s">
        <v>532</v>
      </c>
      <c r="Q156" s="108"/>
      <c r="R156" s="13"/>
      <c r="S156" s="24" t="s">
        <v>606</v>
      </c>
      <c r="T156" s="11" t="s">
        <v>38</v>
      </c>
      <c r="U156" s="202">
        <v>46129</v>
      </c>
      <c r="V156" s="41" t="s">
        <v>607</v>
      </c>
      <c r="W156" s="23" t="s">
        <v>40</v>
      </c>
      <c r="X156" s="14">
        <v>46136</v>
      </c>
      <c r="Y156" s="14">
        <v>46137</v>
      </c>
      <c r="Z156" s="15">
        <v>914153</v>
      </c>
      <c r="AB156" s="10">
        <v>0</v>
      </c>
    </row>
    <row r="157" spans="1:28" ht="15.75" hidden="1" customHeight="1">
      <c r="A157" s="92">
        <v>29880</v>
      </c>
      <c r="B157" s="91">
        <v>1</v>
      </c>
      <c r="C157" s="195">
        <v>46126</v>
      </c>
      <c r="D157" s="91">
        <f t="shared" ca="1" si="7"/>
        <v>101</v>
      </c>
      <c r="E157" s="138" t="str">
        <f t="shared" si="6"/>
        <v>ADMITIDO</v>
      </c>
      <c r="F157" s="96" t="s">
        <v>42</v>
      </c>
      <c r="G157" s="19" t="s">
        <v>29</v>
      </c>
      <c r="H157" s="19" t="s">
        <v>40</v>
      </c>
      <c r="I157" s="19" t="str">
        <f>IF(W157="ADMITIDO","ADMITIDO",IF(W157="CANCELADA","CANCELADA",IF(H157="","",IFERROR(_xlfn.XLOOKUP(H157,Listas!I:I,Listas!J:J),"OUTROS"))))</f>
        <v>ADMITIDO</v>
      </c>
      <c r="J157" s="12" t="s">
        <v>53</v>
      </c>
      <c r="K157" s="11" t="s">
        <v>54</v>
      </c>
      <c r="L157" s="11" t="s">
        <v>92</v>
      </c>
      <c r="M157" s="11" t="s">
        <v>93</v>
      </c>
      <c r="N157" s="11" t="s">
        <v>34</v>
      </c>
      <c r="O157" s="11" t="s">
        <v>57</v>
      </c>
      <c r="P157" s="11" t="s">
        <v>532</v>
      </c>
      <c r="Q157" s="108"/>
      <c r="R157" s="13"/>
      <c r="S157" s="13"/>
      <c r="T157" s="11" t="s">
        <v>38</v>
      </c>
      <c r="U157" s="202">
        <v>46142</v>
      </c>
      <c r="V157" s="41" t="s">
        <v>608</v>
      </c>
      <c r="W157" s="23" t="s">
        <v>40</v>
      </c>
      <c r="Z157" s="15"/>
      <c r="AA157" s="45"/>
      <c r="AB157" s="10">
        <v>0</v>
      </c>
    </row>
    <row r="158" spans="1:28" ht="15.75" hidden="1" customHeight="1">
      <c r="A158" s="92">
        <v>29884</v>
      </c>
      <c r="B158" s="91">
        <v>1</v>
      </c>
      <c r="C158" s="195">
        <v>46126</v>
      </c>
      <c r="D158" s="91">
        <f t="shared" ca="1" si="7"/>
        <v>101</v>
      </c>
      <c r="E158" s="138" t="str">
        <f t="shared" si="6"/>
        <v>ADMITIDO</v>
      </c>
      <c r="F158" s="96" t="s">
        <v>28</v>
      </c>
      <c r="G158" s="19" t="s">
        <v>29</v>
      </c>
      <c r="H158" s="19" t="str">
        <f>W158</f>
        <v>ADMITIDO</v>
      </c>
      <c r="I158" s="19" t="str">
        <f>IF(W158="ADMITIDO","ADMITIDO",IF(W158="CANCELADA","CANCELADA",IF(H158="","",IFERROR(_xlfn.XLOOKUP(H158,Listas!I:I,Listas!J:J),"OUTROS"))))</f>
        <v>ADMITIDO</v>
      </c>
      <c r="J158" s="12" t="s">
        <v>609</v>
      </c>
      <c r="K158" s="11" t="s">
        <v>86</v>
      </c>
      <c r="L158" s="11" t="s">
        <v>610</v>
      </c>
      <c r="M158" s="11" t="s">
        <v>611</v>
      </c>
      <c r="N158" s="11" t="s">
        <v>34</v>
      </c>
      <c r="O158" s="11" t="s">
        <v>35</v>
      </c>
      <c r="P158" s="11" t="s">
        <v>612</v>
      </c>
      <c r="Q158" s="108"/>
      <c r="R158" s="13"/>
      <c r="S158" s="13"/>
      <c r="T158" s="11" t="s">
        <v>38</v>
      </c>
      <c r="U158" s="202">
        <v>46134</v>
      </c>
      <c r="V158" s="41" t="s">
        <v>613</v>
      </c>
      <c r="W158" s="23" t="s">
        <v>40</v>
      </c>
      <c r="X158" s="14">
        <v>46136</v>
      </c>
      <c r="Y158" s="14">
        <v>46137</v>
      </c>
      <c r="Z158" s="15">
        <v>914176</v>
      </c>
      <c r="AB158" s="10">
        <v>0</v>
      </c>
    </row>
    <row r="159" spans="1:28" ht="15.75" hidden="1" customHeight="1">
      <c r="A159" s="92">
        <v>29886</v>
      </c>
      <c r="B159" s="91">
        <v>1</v>
      </c>
      <c r="C159" s="195">
        <v>46126</v>
      </c>
      <c r="D159" s="91">
        <f t="shared" ca="1" si="7"/>
        <v>101</v>
      </c>
      <c r="E159" s="138" t="str">
        <f t="shared" si="6"/>
        <v>ADMITIDO</v>
      </c>
      <c r="F159" s="96" t="s">
        <v>28</v>
      </c>
      <c r="G159" s="19" t="s">
        <v>29</v>
      </c>
      <c r="H159" s="19" t="str">
        <f>W159</f>
        <v>ADMITIDO</v>
      </c>
      <c r="I159" s="19" t="str">
        <f>IF(W159="ADMITIDO","ADMITIDO",IF(W159="CANCELADA","CANCELADA",IF(H159="","",IFERROR(_xlfn.XLOOKUP(H159,Listas!I:I,Listas!J:J),"OUTROS"))))</f>
        <v>ADMITIDO</v>
      </c>
      <c r="J159" s="12" t="s">
        <v>609</v>
      </c>
      <c r="K159" s="11" t="s">
        <v>614</v>
      </c>
      <c r="L159" s="11" t="s">
        <v>610</v>
      </c>
      <c r="M159" s="11" t="s">
        <v>611</v>
      </c>
      <c r="N159" s="11" t="s">
        <v>56</v>
      </c>
      <c r="O159" s="11" t="s">
        <v>35</v>
      </c>
      <c r="P159" s="11" t="s">
        <v>176</v>
      </c>
      <c r="Q159" s="108"/>
      <c r="R159" s="13"/>
      <c r="S159" s="13"/>
      <c r="T159" s="11" t="s">
        <v>38</v>
      </c>
      <c r="U159" s="202">
        <v>46136</v>
      </c>
      <c r="V159" s="41" t="s">
        <v>615</v>
      </c>
      <c r="W159" s="23" t="s">
        <v>40</v>
      </c>
      <c r="X159" s="14">
        <v>46141</v>
      </c>
      <c r="Y159" s="14">
        <v>46142</v>
      </c>
      <c r="Z159" s="15">
        <v>914201</v>
      </c>
      <c r="AA159" s="45"/>
      <c r="AB159" s="10">
        <v>0</v>
      </c>
    </row>
    <row r="160" spans="1:28" ht="15.75" hidden="1" customHeight="1">
      <c r="A160" s="92">
        <v>29881</v>
      </c>
      <c r="B160" s="91">
        <v>1</v>
      </c>
      <c r="C160" s="195">
        <v>46126</v>
      </c>
      <c r="D160" s="91">
        <f t="shared" ca="1" si="7"/>
        <v>101</v>
      </c>
      <c r="E160" s="138" t="str">
        <f t="shared" si="6"/>
        <v>CANCELADA</v>
      </c>
      <c r="F160" s="96" t="s">
        <v>28</v>
      </c>
      <c r="G160" s="19" t="s">
        <v>240</v>
      </c>
      <c r="H160" s="19" t="s">
        <v>52</v>
      </c>
      <c r="I160" s="19" t="str">
        <f>IF(W160="ADMITIDO","ADMITIDO",IF(W160="CANCELADA","CANCELADA",IF(H160="","",IFERROR(_xlfn.XLOOKUP(H160,Listas!I:I,Listas!J:J),"OUTROS"))))</f>
        <v>CANCELADA</v>
      </c>
      <c r="J160" s="12" t="s">
        <v>616</v>
      </c>
      <c r="K160" s="11" t="s">
        <v>423</v>
      </c>
      <c r="L160" s="11" t="s">
        <v>617</v>
      </c>
      <c r="M160" s="11" t="s">
        <v>243</v>
      </c>
      <c r="N160" s="11" t="s">
        <v>34</v>
      </c>
      <c r="O160" s="11" t="s">
        <v>35</v>
      </c>
      <c r="P160" s="11" t="s">
        <v>362</v>
      </c>
      <c r="Q160" s="108"/>
      <c r="R160" s="13"/>
      <c r="S160" s="13"/>
      <c r="W160" s="23" t="s">
        <v>52</v>
      </c>
      <c r="Z160" s="15"/>
      <c r="AA160" s="149" t="s">
        <v>399</v>
      </c>
      <c r="AB160" s="10">
        <v>0</v>
      </c>
    </row>
    <row r="161" spans="1:28" ht="15.75" hidden="1" customHeight="1">
      <c r="A161" s="90">
        <v>29892</v>
      </c>
      <c r="B161" s="91">
        <v>1</v>
      </c>
      <c r="C161" s="195">
        <v>46126</v>
      </c>
      <c r="D161" s="91">
        <f t="shared" ca="1" si="7"/>
        <v>101</v>
      </c>
      <c r="E161" s="138" t="str">
        <f t="shared" si="6"/>
        <v>ADMITIDO</v>
      </c>
      <c r="F161" s="96" t="s">
        <v>42</v>
      </c>
      <c r="G161" s="19" t="s">
        <v>69</v>
      </c>
      <c r="H161" s="19" t="str">
        <f>W161</f>
        <v>ADMITIDO</v>
      </c>
      <c r="I161" s="19" t="str">
        <f>IF(W161="ADMITIDO","ADMITIDO",IF(W161="CANCELADA","CANCELADA",IF(H161="","",IFERROR(_xlfn.XLOOKUP(H161,Listas!I:I,Listas!J:J),"OUTROS"))))</f>
        <v>ADMITIDO</v>
      </c>
      <c r="J161" s="12" t="s">
        <v>53</v>
      </c>
      <c r="K161" s="11" t="s">
        <v>158</v>
      </c>
      <c r="L161" s="11" t="s">
        <v>618</v>
      </c>
      <c r="M161" s="11" t="s">
        <v>63</v>
      </c>
      <c r="N161" s="11" t="s">
        <v>34</v>
      </c>
      <c r="O161" s="11" t="s">
        <v>72</v>
      </c>
      <c r="P161" s="11" t="s">
        <v>619</v>
      </c>
      <c r="Q161" s="108" t="s">
        <v>620</v>
      </c>
      <c r="R161" s="13" t="s">
        <v>621</v>
      </c>
      <c r="S161" s="13" t="s">
        <v>622</v>
      </c>
      <c r="T161" s="11" t="s">
        <v>132</v>
      </c>
      <c r="U161" s="202">
        <v>46135</v>
      </c>
      <c r="V161" s="41" t="s">
        <v>623</v>
      </c>
      <c r="W161" s="23" t="s">
        <v>40</v>
      </c>
      <c r="X161" s="14">
        <v>46139</v>
      </c>
      <c r="Y161" s="14">
        <v>46140</v>
      </c>
      <c r="Z161" s="15">
        <v>145895</v>
      </c>
      <c r="AB161" s="10">
        <v>0</v>
      </c>
    </row>
    <row r="162" spans="1:28" ht="15.75" hidden="1" customHeight="1">
      <c r="A162" s="92">
        <v>29840</v>
      </c>
      <c r="B162" s="91">
        <v>1</v>
      </c>
      <c r="C162" s="195">
        <v>46126</v>
      </c>
      <c r="D162" s="91">
        <f t="shared" ca="1" si="7"/>
        <v>101</v>
      </c>
      <c r="E162" s="138" t="str">
        <f t="shared" si="6"/>
        <v>ADMITIDO</v>
      </c>
      <c r="F162" s="96" t="s">
        <v>28</v>
      </c>
      <c r="G162" s="19" t="s">
        <v>102</v>
      </c>
      <c r="H162" s="19" t="str">
        <f>W162</f>
        <v>ADMITIDO</v>
      </c>
      <c r="I162" s="19" t="str">
        <f>IF(W162="ADMITIDO","ADMITIDO",IF(W162="CANCELADA","CANCELADA",IF(H162="","",IFERROR(_xlfn.XLOOKUP(H162,Listas!I:I,Listas!J:J),"OUTROS"))))</f>
        <v>ADMITIDO</v>
      </c>
      <c r="J162" s="12" t="s">
        <v>624</v>
      </c>
      <c r="K162" s="11" t="s">
        <v>326</v>
      </c>
      <c r="L162" s="11" t="s">
        <v>618</v>
      </c>
      <c r="M162" s="11" t="s">
        <v>63</v>
      </c>
      <c r="N162" s="11" t="s">
        <v>56</v>
      </c>
      <c r="O162" s="11" t="s">
        <v>35</v>
      </c>
      <c r="P162" s="11" t="s">
        <v>176</v>
      </c>
      <c r="Q162" s="108" t="s">
        <v>625</v>
      </c>
      <c r="R162" s="13" t="s">
        <v>626</v>
      </c>
      <c r="S162" s="13"/>
      <c r="T162" s="11" t="s">
        <v>76</v>
      </c>
      <c r="U162" s="202">
        <v>46129</v>
      </c>
      <c r="V162" s="41" t="s">
        <v>627</v>
      </c>
      <c r="W162" s="23" t="s">
        <v>40</v>
      </c>
      <c r="X162" s="14">
        <v>46134</v>
      </c>
      <c r="Y162" s="14">
        <v>46135</v>
      </c>
      <c r="Z162" s="15">
        <v>914155</v>
      </c>
      <c r="AB162" s="10">
        <v>0</v>
      </c>
    </row>
    <row r="163" spans="1:28" ht="15.75" hidden="1" customHeight="1">
      <c r="A163" s="90">
        <v>29877</v>
      </c>
      <c r="B163" s="91">
        <v>1</v>
      </c>
      <c r="C163" s="195">
        <v>46126</v>
      </c>
      <c r="D163" s="91">
        <f t="shared" ca="1" si="7"/>
        <v>101</v>
      </c>
      <c r="E163" s="138" t="str">
        <f t="shared" si="6"/>
        <v>ADMITIDO</v>
      </c>
      <c r="F163" s="96" t="s">
        <v>42</v>
      </c>
      <c r="G163" s="19" t="s">
        <v>102</v>
      </c>
      <c r="H163" s="19" t="str">
        <f>W163</f>
        <v>ADMITIDO</v>
      </c>
      <c r="I163" s="19" t="str">
        <f>IF(W163="ADMITIDO","ADMITIDO",IF(W163="CANCELADA","CANCELADA",IF(H163="","",IFERROR(_xlfn.XLOOKUP(H163,Listas!I:I,Listas!J:J),"OUTROS"))))</f>
        <v>ADMITIDO</v>
      </c>
      <c r="J163" s="12" t="s">
        <v>44</v>
      </c>
      <c r="K163" s="11" t="s">
        <v>103</v>
      </c>
      <c r="L163" s="11" t="s">
        <v>628</v>
      </c>
      <c r="M163" s="11" t="s">
        <v>274</v>
      </c>
      <c r="N163" s="11" t="s">
        <v>34</v>
      </c>
      <c r="O163" s="11" t="s">
        <v>48</v>
      </c>
      <c r="P163" s="11" t="s">
        <v>629</v>
      </c>
      <c r="Q163" s="108" t="s">
        <v>630</v>
      </c>
      <c r="R163" s="13" t="s">
        <v>631</v>
      </c>
      <c r="S163" s="13"/>
      <c r="T163" s="11" t="s">
        <v>67</v>
      </c>
      <c r="U163" s="202">
        <v>46129</v>
      </c>
      <c r="V163" s="41" t="s">
        <v>632</v>
      </c>
      <c r="W163" s="23" t="s">
        <v>40</v>
      </c>
      <c r="X163" s="31">
        <v>46139</v>
      </c>
      <c r="Y163" s="31">
        <v>46142</v>
      </c>
      <c r="Z163" s="15">
        <v>145881</v>
      </c>
      <c r="AB163" s="10">
        <v>0</v>
      </c>
    </row>
    <row r="164" spans="1:28" ht="15.75" hidden="1" customHeight="1">
      <c r="A164" s="92">
        <v>29850</v>
      </c>
      <c r="B164" s="91">
        <v>1</v>
      </c>
      <c r="C164" s="195">
        <v>46126</v>
      </c>
      <c r="D164" s="91">
        <f t="shared" ca="1" si="7"/>
        <v>101</v>
      </c>
      <c r="E164" s="138" t="str">
        <f t="shared" si="6"/>
        <v>CANCELADA</v>
      </c>
      <c r="F164" s="96" t="s">
        <v>42</v>
      </c>
      <c r="G164" s="19" t="s">
        <v>60</v>
      </c>
      <c r="H164" s="19" t="s">
        <v>52</v>
      </c>
      <c r="I164" s="19" t="str">
        <f>IF(W164="ADMITIDO","ADMITIDO",IF(W164="CANCELADA","CANCELADA",IF(H164="","",IFERROR(_xlfn.XLOOKUP(H164,Listas!I:I,Listas!J:J),"OUTROS"))))</f>
        <v>CANCELADA</v>
      </c>
      <c r="J164" s="12" t="s">
        <v>53</v>
      </c>
      <c r="K164" s="11" t="s">
        <v>61</v>
      </c>
      <c r="L164" s="11" t="s">
        <v>255</v>
      </c>
      <c r="M164" s="11" t="s">
        <v>63</v>
      </c>
      <c r="N164" s="11" t="s">
        <v>34</v>
      </c>
      <c r="O164" s="11" t="s">
        <v>219</v>
      </c>
      <c r="P164" s="11" t="s">
        <v>73</v>
      </c>
      <c r="Q164" s="108"/>
      <c r="R164" s="13"/>
      <c r="S164" s="13"/>
      <c r="W164" s="23" t="s">
        <v>52</v>
      </c>
      <c r="Z164" s="15"/>
      <c r="AB164" s="10">
        <v>0</v>
      </c>
    </row>
    <row r="165" spans="1:28" ht="15.75" hidden="1" customHeight="1">
      <c r="A165" s="92">
        <v>29862</v>
      </c>
      <c r="B165" s="91">
        <v>1</v>
      </c>
      <c r="C165" s="195">
        <v>46126</v>
      </c>
      <c r="D165" s="91">
        <f t="shared" ca="1" si="7"/>
        <v>101</v>
      </c>
      <c r="E165" s="138" t="str">
        <f t="shared" si="6"/>
        <v>CANCELADA</v>
      </c>
      <c r="F165" s="96" t="s">
        <v>42</v>
      </c>
      <c r="G165" s="19" t="s">
        <v>60</v>
      </c>
      <c r="H165" s="19" t="s">
        <v>52</v>
      </c>
      <c r="I165" s="19" t="str">
        <f>IF(W165="ADMITIDO","ADMITIDO",IF(W165="CANCELADA","CANCELADA",IF(H165="","",IFERROR(_xlfn.XLOOKUP(H165,Listas!I:I,Listas!J:J),"OUTROS"))))</f>
        <v>CANCELADA</v>
      </c>
      <c r="J165" s="12" t="s">
        <v>53</v>
      </c>
      <c r="K165" s="11" t="s">
        <v>61</v>
      </c>
      <c r="L165" s="11" t="s">
        <v>255</v>
      </c>
      <c r="M165" s="11" t="s">
        <v>63</v>
      </c>
      <c r="N165" s="11" t="s">
        <v>34</v>
      </c>
      <c r="O165" s="11" t="s">
        <v>219</v>
      </c>
      <c r="P165" s="11" t="s">
        <v>633</v>
      </c>
      <c r="Q165" s="108"/>
      <c r="R165" s="13"/>
      <c r="S165" s="13"/>
      <c r="W165" s="23" t="s">
        <v>52</v>
      </c>
      <c r="Z165" s="15"/>
      <c r="AB165" s="10">
        <v>0</v>
      </c>
    </row>
    <row r="166" spans="1:28" ht="15.75" hidden="1" customHeight="1">
      <c r="A166" s="92">
        <v>29870</v>
      </c>
      <c r="B166" s="91">
        <v>1</v>
      </c>
      <c r="C166" s="195">
        <v>46126</v>
      </c>
      <c r="D166" s="91">
        <f t="shared" ca="1" si="7"/>
        <v>101</v>
      </c>
      <c r="E166" s="138" t="str">
        <f t="shared" si="6"/>
        <v>ADMITIDO</v>
      </c>
      <c r="F166" s="96" t="s">
        <v>42</v>
      </c>
      <c r="G166" s="19" t="s">
        <v>69</v>
      </c>
      <c r="H166" s="19" t="str">
        <f>W166</f>
        <v>ADMITIDO</v>
      </c>
      <c r="I166" s="19" t="str">
        <f>IF(W166="ADMITIDO","ADMITIDO",IF(W166="CANCELADA","CANCELADA",IF(H166="","",IFERROR(_xlfn.XLOOKUP(H166,Listas!I:I,Listas!J:J),"OUTROS"))))</f>
        <v>ADMITIDO</v>
      </c>
      <c r="J166" s="12" t="s">
        <v>53</v>
      </c>
      <c r="K166" s="11" t="s">
        <v>70</v>
      </c>
      <c r="L166" s="11" t="s">
        <v>525</v>
      </c>
      <c r="M166" s="11" t="s">
        <v>63</v>
      </c>
      <c r="N166" s="11" t="s">
        <v>34</v>
      </c>
      <c r="O166" s="11" t="s">
        <v>72</v>
      </c>
      <c r="P166" s="11" t="s">
        <v>151</v>
      </c>
      <c r="Q166" s="108"/>
      <c r="R166" s="13" t="s">
        <v>373</v>
      </c>
      <c r="S166" s="13"/>
      <c r="T166" s="11" t="s">
        <v>76</v>
      </c>
      <c r="U166" s="202">
        <v>46150</v>
      </c>
      <c r="V166" s="41" t="s">
        <v>634</v>
      </c>
      <c r="W166" s="19" t="s">
        <v>40</v>
      </c>
      <c r="X166" s="14">
        <v>46154</v>
      </c>
      <c r="Y166" s="14">
        <v>46155</v>
      </c>
      <c r="Z166" s="15">
        <v>145946</v>
      </c>
      <c r="AB166" s="10">
        <v>0</v>
      </c>
    </row>
    <row r="167" spans="1:28" ht="15.75" hidden="1" customHeight="1">
      <c r="A167" s="92">
        <v>29885</v>
      </c>
      <c r="B167" s="91">
        <v>1</v>
      </c>
      <c r="C167" s="195">
        <v>46126</v>
      </c>
      <c r="D167" s="91">
        <f t="shared" ca="1" si="7"/>
        <v>101</v>
      </c>
      <c r="E167" s="138" t="str">
        <f t="shared" si="6"/>
        <v>CANCELADA</v>
      </c>
      <c r="F167" s="96" t="s">
        <v>119</v>
      </c>
      <c r="G167" s="19" t="s">
        <v>145</v>
      </c>
      <c r="H167" s="19" t="s">
        <v>52</v>
      </c>
      <c r="I167" s="19" t="str">
        <f>IF(W167="ADMITIDO","ADMITIDO",IF(W167="CANCELADA","CANCELADA",IF(H167="","",IFERROR(_xlfn.XLOOKUP(H167,Listas!I:I,Listas!J:J),"OUTROS"))))</f>
        <v>CANCELADA</v>
      </c>
      <c r="J167" s="12" t="s">
        <v>635</v>
      </c>
      <c r="K167" s="11" t="s">
        <v>636</v>
      </c>
      <c r="L167" s="11" t="s">
        <v>637</v>
      </c>
      <c r="M167" s="11" t="s">
        <v>119</v>
      </c>
      <c r="N167" s="11" t="s">
        <v>34</v>
      </c>
      <c r="O167" s="11" t="s">
        <v>48</v>
      </c>
      <c r="P167" s="11" t="s">
        <v>441</v>
      </c>
      <c r="Q167" s="108"/>
      <c r="R167" s="13"/>
      <c r="S167" s="13"/>
      <c r="W167" s="23" t="s">
        <v>52</v>
      </c>
      <c r="Z167" s="15"/>
      <c r="AB167" s="10">
        <v>0</v>
      </c>
    </row>
    <row r="168" spans="1:28" ht="15.75" hidden="1" customHeight="1">
      <c r="A168" s="92">
        <v>29859</v>
      </c>
      <c r="B168" s="91">
        <v>1</v>
      </c>
      <c r="C168" s="195">
        <v>46126</v>
      </c>
      <c r="D168" s="91">
        <f t="shared" ca="1" si="7"/>
        <v>101</v>
      </c>
      <c r="E168" s="138" t="str">
        <f t="shared" ca="1" si="6"/>
        <v>CRÍTICO</v>
      </c>
      <c r="F168" s="96" t="s">
        <v>42</v>
      </c>
      <c r="G168" s="19" t="s">
        <v>69</v>
      </c>
      <c r="H168" s="19" t="s">
        <v>638</v>
      </c>
      <c r="I168" s="19" t="str">
        <f>IF(W168="ADMITIDO","ADMITIDO",IF(W168="CANCELADA","CANCELADA",IF(H168="","",IFERROR(_xlfn.XLOOKUP(H168,Listas!I:I,Listas!J:J),"OUTROS"))))</f>
        <v>TRIAGEM</v>
      </c>
      <c r="J168" s="12" t="s">
        <v>53</v>
      </c>
      <c r="K168" s="11" t="s">
        <v>70</v>
      </c>
      <c r="L168" s="11" t="s">
        <v>639</v>
      </c>
      <c r="M168" s="11" t="s">
        <v>63</v>
      </c>
      <c r="N168" s="11" t="s">
        <v>34</v>
      </c>
      <c r="O168" s="11" t="s">
        <v>57</v>
      </c>
      <c r="P168" s="11" t="s">
        <v>432</v>
      </c>
      <c r="Q168" s="108"/>
      <c r="R168" s="13" t="s">
        <v>373</v>
      </c>
      <c r="S168" s="13"/>
      <c r="V168" s="58"/>
      <c r="W168" s="59"/>
      <c r="Z168" s="15"/>
      <c r="AA168" s="45" t="s">
        <v>640</v>
      </c>
      <c r="AB168" s="10">
        <v>0</v>
      </c>
    </row>
    <row r="169" spans="1:28" ht="15.75" hidden="1" customHeight="1">
      <c r="A169" s="90">
        <v>29882</v>
      </c>
      <c r="B169" s="91">
        <v>1</v>
      </c>
      <c r="C169" s="195">
        <v>46126</v>
      </c>
      <c r="D169" s="91">
        <f t="shared" ca="1" si="7"/>
        <v>101</v>
      </c>
      <c r="E169" s="138" t="str">
        <f t="shared" si="6"/>
        <v>ADMITIDO</v>
      </c>
      <c r="F169" s="96" t="s">
        <v>28</v>
      </c>
      <c r="G169" s="19" t="s">
        <v>43</v>
      </c>
      <c r="H169" s="19" t="str">
        <f t="shared" ref="H169:H171" si="8">W169</f>
        <v>ADMITIDO</v>
      </c>
      <c r="I169" s="19" t="str">
        <f>IF(W169="ADMITIDO","ADMITIDO",IF(W169="CANCELADA","CANCELADA",IF(H169="","",IFERROR(_xlfn.XLOOKUP(H169,Listas!I:I,Listas!J:J),"OUTROS"))))</f>
        <v>ADMITIDO</v>
      </c>
      <c r="J169" s="37" t="s">
        <v>268</v>
      </c>
      <c r="K169" s="38" t="s">
        <v>360</v>
      </c>
      <c r="L169" s="38" t="s">
        <v>336</v>
      </c>
      <c r="M169" s="38" t="s">
        <v>337</v>
      </c>
      <c r="N169" s="11" t="s">
        <v>34</v>
      </c>
      <c r="O169" s="11" t="s">
        <v>35</v>
      </c>
      <c r="P169" s="11" t="s">
        <v>641</v>
      </c>
      <c r="Q169" s="108"/>
      <c r="R169" s="13"/>
      <c r="T169" s="11" t="s">
        <v>67</v>
      </c>
      <c r="U169" s="202">
        <v>46128</v>
      </c>
      <c r="V169" s="41" t="s">
        <v>642</v>
      </c>
      <c r="W169" s="23" t="s">
        <v>40</v>
      </c>
      <c r="X169" s="14">
        <v>46136</v>
      </c>
      <c r="Y169" s="14">
        <v>46136</v>
      </c>
      <c r="Z169" s="15">
        <v>914167</v>
      </c>
      <c r="AB169" s="10">
        <v>0</v>
      </c>
    </row>
    <row r="170" spans="1:28" ht="15.75" hidden="1" customHeight="1">
      <c r="A170" s="90">
        <v>29891</v>
      </c>
      <c r="B170" s="91">
        <v>1</v>
      </c>
      <c r="C170" s="195">
        <v>46126</v>
      </c>
      <c r="D170" s="91">
        <f ca="1">TODAY()-C170</f>
        <v>101</v>
      </c>
      <c r="E170" s="138" t="str">
        <f t="shared" si="6"/>
        <v>ADMITIDO</v>
      </c>
      <c r="F170" s="144" t="s">
        <v>42</v>
      </c>
      <c r="G170" s="19" t="s">
        <v>69</v>
      </c>
      <c r="H170" s="19" t="str">
        <f t="shared" si="8"/>
        <v>ADMITIDO</v>
      </c>
      <c r="I170" s="141" t="str">
        <f>IF(W170="ADMITIDO","ADMITIDO",IF(W170="CANCELADA","CANCELADA",IF(H170="","",IFERROR(_xlfn.XLOOKUP(H170,Listas!I:I,Listas!J:J),"OUTROS"))))</f>
        <v>ADMITIDO</v>
      </c>
      <c r="J170" s="88" t="s">
        <v>53</v>
      </c>
      <c r="K170" s="88" t="s">
        <v>158</v>
      </c>
      <c r="L170" s="88" t="s">
        <v>618</v>
      </c>
      <c r="M170" s="88" t="s">
        <v>63</v>
      </c>
      <c r="N170" s="36" t="s">
        <v>34</v>
      </c>
      <c r="O170" s="11" t="s">
        <v>72</v>
      </c>
      <c r="P170" s="11" t="s">
        <v>619</v>
      </c>
      <c r="Q170" s="108"/>
      <c r="R170" s="13" t="s">
        <v>65</v>
      </c>
      <c r="S170" s="17" t="s">
        <v>643</v>
      </c>
      <c r="T170" s="11" t="s">
        <v>67</v>
      </c>
      <c r="U170" s="202">
        <v>46132</v>
      </c>
      <c r="V170" s="41" t="s">
        <v>644</v>
      </c>
      <c r="W170" s="23" t="s">
        <v>40</v>
      </c>
      <c r="X170" s="14">
        <v>46140</v>
      </c>
      <c r="Y170" s="14">
        <v>46141</v>
      </c>
      <c r="Z170" s="15">
        <v>145899</v>
      </c>
      <c r="AB170" s="10">
        <v>0</v>
      </c>
    </row>
    <row r="171" spans="1:28" ht="15.75" hidden="1" customHeight="1">
      <c r="A171" s="92">
        <v>29916</v>
      </c>
      <c r="B171" s="91">
        <v>1</v>
      </c>
      <c r="C171" s="195">
        <v>46127</v>
      </c>
      <c r="D171" s="91">
        <f t="shared" ca="1" si="7"/>
        <v>100</v>
      </c>
      <c r="E171" s="138" t="str">
        <f t="shared" si="6"/>
        <v>ADMITIDO</v>
      </c>
      <c r="F171" s="96" t="s">
        <v>42</v>
      </c>
      <c r="G171" s="19" t="s">
        <v>29</v>
      </c>
      <c r="H171" s="19" t="str">
        <f t="shared" si="8"/>
        <v>ADMITIDO</v>
      </c>
      <c r="I171" s="19" t="str">
        <f>IF(W171="ADMITIDO","ADMITIDO",IF(W171="CANCELADA","CANCELADA",IF(H171="","",IFERROR(_xlfn.XLOOKUP(H171,Listas!I:I,Listas!J:J),"OUTROS"))))</f>
        <v>ADMITIDO</v>
      </c>
      <c r="J171" s="39" t="s">
        <v>227</v>
      </c>
      <c r="K171" s="40" t="s">
        <v>228</v>
      </c>
      <c r="L171" s="40" t="s">
        <v>229</v>
      </c>
      <c r="M171" s="40" t="s">
        <v>88</v>
      </c>
      <c r="N171" s="11" t="s">
        <v>34</v>
      </c>
      <c r="O171" s="11" t="s">
        <v>35</v>
      </c>
      <c r="P171" s="11" t="s">
        <v>266</v>
      </c>
      <c r="Q171" s="108"/>
      <c r="R171" s="13"/>
      <c r="S171" s="13"/>
      <c r="T171" s="11" t="s">
        <v>38</v>
      </c>
      <c r="U171" s="202">
        <v>46149</v>
      </c>
      <c r="V171" s="58" t="s">
        <v>645</v>
      </c>
      <c r="W171" s="19" t="s">
        <v>40</v>
      </c>
      <c r="X171" s="14">
        <v>46155</v>
      </c>
      <c r="Y171" s="14">
        <v>46156</v>
      </c>
      <c r="Z171" s="15">
        <v>14594</v>
      </c>
      <c r="AB171" s="10">
        <v>0</v>
      </c>
    </row>
    <row r="172" spans="1:28" ht="15.75" hidden="1" customHeight="1">
      <c r="A172" s="92">
        <v>29914</v>
      </c>
      <c r="B172" s="91">
        <v>1</v>
      </c>
      <c r="C172" s="195">
        <v>46127</v>
      </c>
      <c r="D172" s="91">
        <f t="shared" ca="1" si="7"/>
        <v>100</v>
      </c>
      <c r="E172" s="138" t="str">
        <f t="shared" si="6"/>
        <v>ADMITIDO</v>
      </c>
      <c r="F172" s="96" t="s">
        <v>42</v>
      </c>
      <c r="G172" s="19" t="s">
        <v>29</v>
      </c>
      <c r="H172" s="19" t="str">
        <f>W172</f>
        <v>ADMITIDO</v>
      </c>
      <c r="I172" s="19" t="str">
        <f>IF(W172="ADMITIDO","ADMITIDO",IF(W172="CANCELADA","CANCELADA",IF(H172="","",IFERROR(_xlfn.XLOOKUP(H172,Listas!I:I,Listas!J:J),"OUTROS"))))</f>
        <v>ADMITIDO</v>
      </c>
      <c r="J172" s="12" t="s">
        <v>53</v>
      </c>
      <c r="K172" s="11" t="s">
        <v>347</v>
      </c>
      <c r="L172" s="11" t="s">
        <v>646</v>
      </c>
      <c r="M172" s="11"/>
      <c r="N172" s="11" t="s">
        <v>34</v>
      </c>
      <c r="O172" s="11" t="s">
        <v>57</v>
      </c>
      <c r="P172" s="11" t="s">
        <v>98</v>
      </c>
      <c r="Q172" s="108"/>
      <c r="R172" s="13"/>
      <c r="S172" s="24" t="s">
        <v>647</v>
      </c>
      <c r="T172" s="11" t="s">
        <v>38</v>
      </c>
      <c r="U172" s="202">
        <v>46129</v>
      </c>
      <c r="V172" s="41" t="s">
        <v>648</v>
      </c>
      <c r="W172" s="23" t="s">
        <v>40</v>
      </c>
      <c r="X172" s="14">
        <v>46134</v>
      </c>
      <c r="Y172" s="14">
        <v>46135</v>
      </c>
      <c r="Z172" s="15">
        <v>145874</v>
      </c>
      <c r="AB172" s="10">
        <v>0</v>
      </c>
    </row>
    <row r="173" spans="1:28" ht="15.75" hidden="1" customHeight="1">
      <c r="A173" s="92">
        <v>29919</v>
      </c>
      <c r="B173" s="91">
        <v>1</v>
      </c>
      <c r="C173" s="195">
        <v>46127</v>
      </c>
      <c r="D173" s="91">
        <f t="shared" ca="1" si="7"/>
        <v>100</v>
      </c>
      <c r="E173" s="138" t="str">
        <f t="shared" si="6"/>
        <v>ADMITIDO</v>
      </c>
      <c r="F173" s="96" t="s">
        <v>119</v>
      </c>
      <c r="G173" s="19" t="s">
        <v>145</v>
      </c>
      <c r="H173" s="117" t="str">
        <f>W173</f>
        <v>ADMITIDO</v>
      </c>
      <c r="I173" s="19" t="str">
        <f>IF(W173="ADMITIDO","ADMITIDO",IF(W173="CANCELADA","CANCELADA",IF(H173="","",IFERROR(_xlfn.XLOOKUP(H173,Listas!I:I,Listas!J:J),"OUTROS"))))</f>
        <v>ADMITIDO</v>
      </c>
      <c r="J173" s="12" t="s">
        <v>649</v>
      </c>
      <c r="K173" s="11" t="s">
        <v>650</v>
      </c>
      <c r="L173" s="11" t="s">
        <v>651</v>
      </c>
      <c r="M173" s="11" t="s">
        <v>119</v>
      </c>
      <c r="N173" s="11" t="s">
        <v>34</v>
      </c>
      <c r="O173" s="11" t="s">
        <v>48</v>
      </c>
      <c r="P173" s="11" t="s">
        <v>441</v>
      </c>
      <c r="Q173" s="108"/>
      <c r="R173" s="13"/>
      <c r="S173" s="13"/>
      <c r="T173" s="11" t="s">
        <v>132</v>
      </c>
      <c r="U173" s="202">
        <v>46147</v>
      </c>
      <c r="V173" s="41" t="s">
        <v>652</v>
      </c>
      <c r="W173" s="11" t="s">
        <v>40</v>
      </c>
      <c r="X173" s="14">
        <v>46153</v>
      </c>
      <c r="Y173" s="14">
        <v>46153</v>
      </c>
      <c r="Z173" s="15">
        <v>145928</v>
      </c>
      <c r="AA173" s="45"/>
      <c r="AB173" s="10">
        <v>0</v>
      </c>
    </row>
    <row r="174" spans="1:28" ht="15.75" hidden="1" customHeight="1">
      <c r="A174" s="92">
        <v>29915</v>
      </c>
      <c r="B174" s="91">
        <v>1</v>
      </c>
      <c r="C174" s="195">
        <v>46127</v>
      </c>
      <c r="D174" s="91">
        <f t="shared" ca="1" si="7"/>
        <v>100</v>
      </c>
      <c r="E174" s="138" t="str">
        <f t="shared" si="6"/>
        <v>ADMITIDO</v>
      </c>
      <c r="F174" s="96" t="s">
        <v>42</v>
      </c>
      <c r="G174" s="19" t="s">
        <v>29</v>
      </c>
      <c r="H174" s="19" t="str">
        <f>W174</f>
        <v>ADMITIDO</v>
      </c>
      <c r="I174" s="19" t="str">
        <f>IF(W174="ADMITIDO","ADMITIDO",IF(W174="CANCELADA","CANCELADA",IF(H174="","",IFERROR(_xlfn.XLOOKUP(H174,Listas!I:I,Listas!J:J),"OUTROS"))))</f>
        <v>ADMITIDO</v>
      </c>
      <c r="J174" s="12" t="s">
        <v>53</v>
      </c>
      <c r="K174" s="11" t="s">
        <v>347</v>
      </c>
      <c r="L174" s="11" t="s">
        <v>653</v>
      </c>
      <c r="M174" s="11" t="s">
        <v>654</v>
      </c>
      <c r="N174" s="11" t="s">
        <v>34</v>
      </c>
      <c r="O174" s="11" t="s">
        <v>57</v>
      </c>
      <c r="P174" s="11" t="s">
        <v>98</v>
      </c>
      <c r="Q174" s="108"/>
      <c r="R174" s="13"/>
      <c r="S174" s="13" t="s">
        <v>655</v>
      </c>
      <c r="T174" s="11" t="s">
        <v>38</v>
      </c>
      <c r="U174" s="202">
        <v>46134</v>
      </c>
      <c r="V174" s="41" t="s">
        <v>656</v>
      </c>
      <c r="W174" s="23" t="s">
        <v>40</v>
      </c>
      <c r="X174" s="14">
        <v>46141</v>
      </c>
      <c r="Y174" s="14">
        <v>46142</v>
      </c>
      <c r="Z174" s="15">
        <v>145903</v>
      </c>
      <c r="AA174" s="45"/>
      <c r="AB174" s="10">
        <v>0</v>
      </c>
    </row>
    <row r="175" spans="1:28" ht="15.75" hidden="1" customHeight="1">
      <c r="A175" s="92">
        <v>29928</v>
      </c>
      <c r="B175" s="91">
        <v>1</v>
      </c>
      <c r="C175" s="195">
        <v>46127</v>
      </c>
      <c r="D175" s="91">
        <f t="shared" ca="1" si="7"/>
        <v>100</v>
      </c>
      <c r="E175" s="138" t="str">
        <f t="shared" ca="1" si="6"/>
        <v>CRÍTICO</v>
      </c>
      <c r="F175" s="96" t="s">
        <v>42</v>
      </c>
      <c r="G175" s="19" t="s">
        <v>69</v>
      </c>
      <c r="H175" s="19" t="s">
        <v>638</v>
      </c>
      <c r="I175" s="19" t="str">
        <f>IF(W175="ADMITIDO","ADMITIDO",IF(W175="CANCELADA","CANCELADA",IF(H175="","",IFERROR(_xlfn.XLOOKUP(H175,Listas!I:I,Listas!J:J),"OUTROS"))))</f>
        <v>TRIAGEM</v>
      </c>
      <c r="J175" s="12" t="s">
        <v>53</v>
      </c>
      <c r="K175" s="11" t="s">
        <v>70</v>
      </c>
      <c r="L175" s="11" t="s">
        <v>71</v>
      </c>
      <c r="M175" s="11" t="s">
        <v>33</v>
      </c>
      <c r="N175" s="11" t="s">
        <v>34</v>
      </c>
      <c r="O175" s="11" t="s">
        <v>57</v>
      </c>
      <c r="P175" s="11" t="s">
        <v>98</v>
      </c>
      <c r="Q175" s="108"/>
      <c r="R175" s="13" t="s">
        <v>65</v>
      </c>
      <c r="S175" s="13"/>
      <c r="Z175" s="15"/>
      <c r="AA175" s="149" t="s">
        <v>657</v>
      </c>
      <c r="AB175" s="10">
        <v>2</v>
      </c>
    </row>
    <row r="176" spans="1:28" ht="15.75" hidden="1" customHeight="1">
      <c r="A176" s="92">
        <v>29913</v>
      </c>
      <c r="B176" s="91">
        <v>1</v>
      </c>
      <c r="C176" s="195">
        <v>46127</v>
      </c>
      <c r="D176" s="91">
        <f t="shared" ca="1" si="7"/>
        <v>100</v>
      </c>
      <c r="E176" s="138" t="str">
        <f t="shared" si="6"/>
        <v>ADMITIDO</v>
      </c>
      <c r="F176" s="96" t="s">
        <v>42</v>
      </c>
      <c r="G176" s="19" t="s">
        <v>69</v>
      </c>
      <c r="H176" s="19" t="str">
        <f>W176</f>
        <v>ADMITIDO</v>
      </c>
      <c r="I176" s="19" t="str">
        <f>IF(W176="ADMITIDO","ADMITIDO",IF(W176="CANCELADA","CANCELADA",IF(H176="","",IFERROR(_xlfn.XLOOKUP(H176,Listas!I:I,Listas!J:J),"OUTROS"))))</f>
        <v>ADMITIDO</v>
      </c>
      <c r="J176" s="12" t="s">
        <v>53</v>
      </c>
      <c r="K176" s="11" t="s">
        <v>158</v>
      </c>
      <c r="L176" s="11" t="s">
        <v>658</v>
      </c>
      <c r="M176" s="11" t="s">
        <v>33</v>
      </c>
      <c r="N176" s="11" t="s">
        <v>34</v>
      </c>
      <c r="O176" s="11" t="s">
        <v>57</v>
      </c>
      <c r="P176" s="11" t="s">
        <v>98</v>
      </c>
      <c r="Q176" s="108"/>
      <c r="R176" s="13"/>
      <c r="S176" s="13" t="s">
        <v>659</v>
      </c>
      <c r="T176" s="11" t="s">
        <v>67</v>
      </c>
      <c r="U176" s="202">
        <v>46142</v>
      </c>
      <c r="V176" s="41" t="s">
        <v>660</v>
      </c>
      <c r="W176" s="23" t="s">
        <v>40</v>
      </c>
      <c r="X176" s="14">
        <v>46147</v>
      </c>
      <c r="Y176" s="14">
        <v>46149</v>
      </c>
      <c r="Z176" s="15">
        <v>145919</v>
      </c>
      <c r="AA176" s="45"/>
      <c r="AB176" s="10">
        <v>0</v>
      </c>
    </row>
    <row r="177" spans="1:28" ht="15.75" hidden="1" customHeight="1">
      <c r="A177" s="122">
        <v>29927</v>
      </c>
      <c r="B177" s="91">
        <v>1</v>
      </c>
      <c r="C177" s="195">
        <v>46127</v>
      </c>
      <c r="D177" s="91">
        <f ca="1">TODAY()-C177</f>
        <v>100</v>
      </c>
      <c r="E177" s="138" t="str">
        <f t="shared" si="6"/>
        <v>ADMITIDO</v>
      </c>
      <c r="F177" s="96" t="s">
        <v>42</v>
      </c>
      <c r="G177" s="19" t="s">
        <v>29</v>
      </c>
      <c r="H177" s="19" t="str">
        <f>W177</f>
        <v>ADMITIDO</v>
      </c>
      <c r="I177" s="19" t="str">
        <f>IF(W177="ADMITIDO","ADMITIDO",IF(W177="CANCELADA","CANCELADA",IF(H177="","",IFERROR(_xlfn.XLOOKUP(H177,Listas!I:I,Listas!J:J),"OUTROS"))))</f>
        <v>ADMITIDO</v>
      </c>
      <c r="J177" s="12" t="s">
        <v>53</v>
      </c>
      <c r="K177" s="11" t="s">
        <v>54</v>
      </c>
      <c r="L177" s="11" t="s">
        <v>164</v>
      </c>
      <c r="M177" s="11" t="s">
        <v>88</v>
      </c>
      <c r="N177" s="11" t="s">
        <v>34</v>
      </c>
      <c r="O177" s="11" t="s">
        <v>57</v>
      </c>
      <c r="P177" s="11" t="s">
        <v>231</v>
      </c>
      <c r="Q177" s="108"/>
      <c r="R177" s="13"/>
      <c r="S177" s="13" t="s">
        <v>661</v>
      </c>
      <c r="T177" s="11" t="s">
        <v>38</v>
      </c>
      <c r="U177" s="202">
        <v>46132</v>
      </c>
      <c r="V177" s="49" t="s">
        <v>662</v>
      </c>
      <c r="W177" s="23" t="s">
        <v>40</v>
      </c>
      <c r="X177" s="14">
        <v>46136</v>
      </c>
      <c r="Y177" s="14">
        <v>46137</v>
      </c>
      <c r="Z177" s="15">
        <v>145884</v>
      </c>
      <c r="AA177" s="45"/>
      <c r="AB177" s="10">
        <v>0</v>
      </c>
    </row>
    <row r="178" spans="1:28" ht="15.75" customHeight="1">
      <c r="A178" s="92">
        <v>29910</v>
      </c>
      <c r="B178" s="91">
        <v>1</v>
      </c>
      <c r="C178" s="195">
        <v>46127</v>
      </c>
      <c r="D178" s="91">
        <f t="shared" ca="1" si="7"/>
        <v>100</v>
      </c>
      <c r="E178" s="138" t="str">
        <f t="shared" ca="1" si="6"/>
        <v>CRÍTICO</v>
      </c>
      <c r="F178" s="96" t="s">
        <v>42</v>
      </c>
      <c r="G178" s="19" t="s">
        <v>663</v>
      </c>
      <c r="H178" s="19" t="s">
        <v>181</v>
      </c>
      <c r="I178" s="19" t="str">
        <f>IF(W178="ADMITIDO","ADMITIDO",IF(W178="CANCELADA","CANCELADA",IF(H178="","",IFERROR(_xlfn.XLOOKUP(H178,Listas!I:I,Listas!J:J),"OUTROS"))))</f>
        <v>DOCUMENTAÇÃO</v>
      </c>
      <c r="J178" s="12" t="s">
        <v>44</v>
      </c>
      <c r="K178" s="11" t="s">
        <v>54</v>
      </c>
      <c r="L178" s="11" t="s">
        <v>664</v>
      </c>
      <c r="M178" s="11" t="s">
        <v>435</v>
      </c>
      <c r="N178" s="11" t="s">
        <v>34</v>
      </c>
      <c r="O178" s="11" t="s">
        <v>57</v>
      </c>
      <c r="P178" s="11" t="s">
        <v>98</v>
      </c>
      <c r="Q178" s="108"/>
      <c r="R178" s="13"/>
      <c r="S178" s="16" t="s">
        <v>665</v>
      </c>
      <c r="T178" s="11" t="s">
        <v>38</v>
      </c>
      <c r="U178" s="213"/>
      <c r="V178" s="125" t="s">
        <v>666</v>
      </c>
      <c r="W178" s="208"/>
      <c r="Z178" s="15"/>
      <c r="AB178" s="10">
        <v>0</v>
      </c>
    </row>
    <row r="179" spans="1:28" ht="15.75" hidden="1" customHeight="1">
      <c r="A179" s="90">
        <v>29909</v>
      </c>
      <c r="B179" s="91">
        <v>1</v>
      </c>
      <c r="C179" s="195">
        <v>46127</v>
      </c>
      <c r="D179" s="91">
        <f t="shared" ca="1" si="7"/>
        <v>100</v>
      </c>
      <c r="E179" s="138" t="str">
        <f t="shared" si="6"/>
        <v>ADMITIDO</v>
      </c>
      <c r="F179" s="96" t="s">
        <v>28</v>
      </c>
      <c r="G179" s="19" t="s">
        <v>145</v>
      </c>
      <c r="H179" s="117" t="str">
        <f>W179</f>
        <v>ADMITIDO</v>
      </c>
      <c r="I179" s="19" t="str">
        <f>IF(W179="ADMITIDO","ADMITIDO",IF(W179="CANCELADA","CANCELADA",IF(H179="","",IFERROR(_xlfn.XLOOKUP(H179,Listas!I:I,Listas!J:J),"OUTROS"))))</f>
        <v>ADMITIDO</v>
      </c>
      <c r="J179" s="12" t="s">
        <v>268</v>
      </c>
      <c r="K179" s="11" t="s">
        <v>330</v>
      </c>
      <c r="L179" s="11" t="s">
        <v>667</v>
      </c>
      <c r="M179" s="11" t="s">
        <v>63</v>
      </c>
      <c r="N179" s="11" t="s">
        <v>34</v>
      </c>
      <c r="O179" s="11" t="s">
        <v>35</v>
      </c>
      <c r="P179" s="11" t="s">
        <v>574</v>
      </c>
      <c r="Q179" s="108"/>
      <c r="R179" s="13" t="s">
        <v>65</v>
      </c>
      <c r="S179" s="13"/>
      <c r="T179" s="11" t="s">
        <v>67</v>
      </c>
      <c r="U179" s="202">
        <v>46148</v>
      </c>
      <c r="V179" s="53" t="s">
        <v>668</v>
      </c>
      <c r="W179" s="19" t="s">
        <v>40</v>
      </c>
      <c r="X179" s="14">
        <v>46154</v>
      </c>
      <c r="Y179" s="14">
        <v>46156</v>
      </c>
      <c r="Z179" s="15">
        <v>914267</v>
      </c>
      <c r="AA179" s="149" t="s">
        <v>669</v>
      </c>
      <c r="AB179" s="10">
        <v>0</v>
      </c>
    </row>
    <row r="180" spans="1:28" ht="15.75" hidden="1" customHeight="1">
      <c r="A180" s="92">
        <v>29918</v>
      </c>
      <c r="B180" s="91">
        <v>1</v>
      </c>
      <c r="C180" s="195">
        <v>46127</v>
      </c>
      <c r="D180" s="91">
        <f t="shared" ca="1" si="7"/>
        <v>100</v>
      </c>
      <c r="E180" s="138" t="str">
        <f t="shared" ca="1" si="6"/>
        <v>CRÍTICO</v>
      </c>
      <c r="F180" s="96" t="s">
        <v>28</v>
      </c>
      <c r="G180" s="19" t="s">
        <v>145</v>
      </c>
      <c r="H180" s="19" t="s">
        <v>638</v>
      </c>
      <c r="I180" s="19" t="str">
        <f>IF(W180="ADMITIDO","ADMITIDO",IF(W180="CANCELADA","CANCELADA",IF(H180="","",IFERROR(_xlfn.XLOOKUP(H180,Listas!I:I,Listas!J:J),"OUTROS"))))</f>
        <v>TRIAGEM</v>
      </c>
      <c r="J180" s="12" t="s">
        <v>670</v>
      </c>
      <c r="K180" s="11" t="s">
        <v>371</v>
      </c>
      <c r="L180" s="11" t="s">
        <v>671</v>
      </c>
      <c r="M180" s="11" t="s">
        <v>672</v>
      </c>
      <c r="N180" s="11" t="s">
        <v>34</v>
      </c>
      <c r="O180" s="11" t="s">
        <v>35</v>
      </c>
      <c r="P180" s="11" t="s">
        <v>36</v>
      </c>
      <c r="Q180" s="108" t="s">
        <v>673</v>
      </c>
      <c r="R180" s="13"/>
      <c r="S180" s="13"/>
      <c r="Z180" s="15"/>
      <c r="AA180" s="149" t="s">
        <v>674</v>
      </c>
      <c r="AB180" s="10">
        <v>0</v>
      </c>
    </row>
    <row r="181" spans="1:28" ht="15.75" hidden="1" customHeight="1">
      <c r="A181" s="92">
        <v>29908</v>
      </c>
      <c r="B181" s="91">
        <v>1</v>
      </c>
      <c r="C181" s="195">
        <v>46127</v>
      </c>
      <c r="D181" s="91">
        <f t="shared" ca="1" si="7"/>
        <v>100</v>
      </c>
      <c r="E181" s="138" t="str">
        <f t="shared" si="6"/>
        <v>ADMITIDO</v>
      </c>
      <c r="F181" s="96" t="s">
        <v>28</v>
      </c>
      <c r="G181" s="19" t="s">
        <v>145</v>
      </c>
      <c r="H181" s="19" t="str">
        <f>W181</f>
        <v>ADMITIDO</v>
      </c>
      <c r="I181" s="19" t="str">
        <f>IF(W181="ADMITIDO","ADMITIDO",IF(W181="CANCELADA","CANCELADA",IF(H181="","",IFERROR(_xlfn.XLOOKUP(H181,Listas!I:I,Listas!J:J),"OUTROS"))))</f>
        <v>ADMITIDO</v>
      </c>
      <c r="J181" s="12" t="s">
        <v>675</v>
      </c>
      <c r="K181" s="11" t="s">
        <v>676</v>
      </c>
      <c r="L181" s="11" t="s">
        <v>677</v>
      </c>
      <c r="M181" s="11" t="s">
        <v>63</v>
      </c>
      <c r="N181" s="11" t="s">
        <v>56</v>
      </c>
      <c r="O181" s="11" t="s">
        <v>35</v>
      </c>
      <c r="P181" s="11" t="s">
        <v>678</v>
      </c>
      <c r="Q181" s="108"/>
      <c r="R181" s="13"/>
      <c r="S181" s="13"/>
      <c r="T181" s="11" t="s">
        <v>132</v>
      </c>
      <c r="U181" s="202">
        <v>46141</v>
      </c>
      <c r="V181" s="41" t="s">
        <v>679</v>
      </c>
      <c r="W181" s="11" t="s">
        <v>40</v>
      </c>
      <c r="X181" s="14">
        <v>46147</v>
      </c>
      <c r="Y181" s="14">
        <v>46150</v>
      </c>
      <c r="Z181" s="15">
        <v>83280</v>
      </c>
      <c r="AA181" s="45"/>
      <c r="AB181" s="10">
        <v>0</v>
      </c>
    </row>
    <row r="182" spans="1:28" ht="15.75" hidden="1" customHeight="1">
      <c r="A182" s="90">
        <v>29902</v>
      </c>
      <c r="B182" s="91">
        <v>1</v>
      </c>
      <c r="C182" s="195">
        <v>46127</v>
      </c>
      <c r="D182" s="91">
        <f t="shared" ca="1" si="7"/>
        <v>100</v>
      </c>
      <c r="E182" s="138" t="str">
        <f t="shared" si="6"/>
        <v>ADMITIDO</v>
      </c>
      <c r="F182" s="96" t="s">
        <v>28</v>
      </c>
      <c r="G182" s="19" t="s">
        <v>240</v>
      </c>
      <c r="H182" s="19" t="s">
        <v>40</v>
      </c>
      <c r="I182" s="19" t="str">
        <f>IF(W182="ADMITIDO","ADMITIDO",IF(W182="CANCELADA","CANCELADA",IF(H182="","",IFERROR(_xlfn.XLOOKUP(H182,Listas!I:I,Listas!J:J),"OUTROS"))))</f>
        <v>ADMITIDO</v>
      </c>
      <c r="J182" s="12" t="s">
        <v>268</v>
      </c>
      <c r="K182" s="11" t="s">
        <v>676</v>
      </c>
      <c r="L182" s="11" t="s">
        <v>424</v>
      </c>
      <c r="M182" s="11" t="s">
        <v>243</v>
      </c>
      <c r="N182" s="11" t="s">
        <v>56</v>
      </c>
      <c r="O182" s="11" t="s">
        <v>35</v>
      </c>
      <c r="P182" s="11" t="s">
        <v>176</v>
      </c>
      <c r="Q182" s="108"/>
      <c r="R182" s="13"/>
      <c r="S182" s="13" t="s">
        <v>680</v>
      </c>
      <c r="T182" s="11" t="s">
        <v>132</v>
      </c>
      <c r="U182" s="202">
        <v>46141</v>
      </c>
      <c r="V182" s="41" t="s">
        <v>681</v>
      </c>
      <c r="W182" s="23" t="s">
        <v>40</v>
      </c>
      <c r="X182" s="14">
        <v>46142</v>
      </c>
      <c r="Y182" s="14">
        <v>46147</v>
      </c>
      <c r="Z182" s="15">
        <v>914205</v>
      </c>
      <c r="AA182" s="149" t="s">
        <v>682</v>
      </c>
      <c r="AB182" s="10">
        <v>0</v>
      </c>
    </row>
    <row r="183" spans="1:28" ht="30" hidden="1">
      <c r="A183" s="90">
        <v>29907</v>
      </c>
      <c r="B183" s="91">
        <v>1</v>
      </c>
      <c r="C183" s="195">
        <v>46127</v>
      </c>
      <c r="D183" s="91">
        <f t="shared" ca="1" si="7"/>
        <v>100</v>
      </c>
      <c r="E183" s="138" t="str">
        <f t="shared" si="6"/>
        <v>ADMITIDO</v>
      </c>
      <c r="F183" s="96" t="s">
        <v>28</v>
      </c>
      <c r="G183" s="19" t="s">
        <v>145</v>
      </c>
      <c r="H183" s="117" t="s">
        <v>40</v>
      </c>
      <c r="I183" s="19" t="str">
        <f>IF(W183="ADMITIDO","ADMITIDO",IF(W183="CANCELADA","CANCELADA",IF(H183="","",IFERROR(_xlfn.XLOOKUP(H183,Listas!I:I,Listas!J:J),"OUTROS"))))</f>
        <v>ADMITIDO</v>
      </c>
      <c r="J183" s="12" t="s">
        <v>683</v>
      </c>
      <c r="K183" s="11" t="s">
        <v>423</v>
      </c>
      <c r="L183" s="11" t="s">
        <v>684</v>
      </c>
      <c r="M183" s="11" t="s">
        <v>63</v>
      </c>
      <c r="N183" s="11" t="s">
        <v>34</v>
      </c>
      <c r="O183" s="11" t="s">
        <v>35</v>
      </c>
      <c r="P183" s="11" t="s">
        <v>36</v>
      </c>
      <c r="Q183" s="108" t="s">
        <v>685</v>
      </c>
      <c r="R183" s="13" t="s">
        <v>626</v>
      </c>
      <c r="S183" s="13" t="s">
        <v>686</v>
      </c>
      <c r="T183" s="11" t="s">
        <v>76</v>
      </c>
      <c r="U183" s="202">
        <v>46147</v>
      </c>
      <c r="V183" s="41" t="s">
        <v>687</v>
      </c>
      <c r="W183" s="11" t="s">
        <v>40</v>
      </c>
      <c r="X183" s="14">
        <v>46149</v>
      </c>
      <c r="Y183" s="14">
        <v>46151</v>
      </c>
      <c r="Z183" s="15">
        <v>914239</v>
      </c>
      <c r="AA183" s="45" t="s">
        <v>688</v>
      </c>
      <c r="AB183" s="10">
        <v>0</v>
      </c>
    </row>
    <row r="184" spans="1:28" ht="15.75" hidden="1" customHeight="1">
      <c r="A184" s="92">
        <v>29912</v>
      </c>
      <c r="B184" s="91">
        <v>1</v>
      </c>
      <c r="C184" s="195">
        <v>46127</v>
      </c>
      <c r="D184" s="91">
        <f t="shared" ca="1" si="7"/>
        <v>100</v>
      </c>
      <c r="E184" s="138" t="str">
        <f t="shared" si="6"/>
        <v>ADMITIDO</v>
      </c>
      <c r="F184" s="96" t="s">
        <v>42</v>
      </c>
      <c r="G184" s="19" t="s">
        <v>102</v>
      </c>
      <c r="H184" s="117" t="s">
        <v>40</v>
      </c>
      <c r="I184" s="19" t="str">
        <f>IF(W184="ADMITIDO","ADMITIDO",IF(W184="CANCELADA","CANCELADA",IF(H184="","",IFERROR(_xlfn.XLOOKUP(H184,Listas!I:I,Listas!J:J),"OUTROS"))))</f>
        <v>ADMITIDO</v>
      </c>
      <c r="J184" s="12" t="s">
        <v>44</v>
      </c>
      <c r="K184" s="11" t="s">
        <v>280</v>
      </c>
      <c r="L184" s="11" t="s">
        <v>281</v>
      </c>
      <c r="M184" s="11" t="s">
        <v>63</v>
      </c>
      <c r="N184" s="11" t="s">
        <v>34</v>
      </c>
      <c r="O184" s="11" t="s">
        <v>57</v>
      </c>
      <c r="P184" s="11" t="s">
        <v>98</v>
      </c>
      <c r="Q184" s="108" t="s">
        <v>689</v>
      </c>
      <c r="R184" s="13" t="s">
        <v>107</v>
      </c>
      <c r="S184" s="13"/>
      <c r="T184" s="11" t="s">
        <v>76</v>
      </c>
      <c r="U184" s="202">
        <v>46148</v>
      </c>
      <c r="V184" s="41" t="s">
        <v>690</v>
      </c>
      <c r="W184" s="23" t="s">
        <v>40</v>
      </c>
      <c r="X184" s="14">
        <v>46150</v>
      </c>
      <c r="Y184" s="14">
        <v>46153</v>
      </c>
      <c r="Z184" s="15">
        <v>145935</v>
      </c>
      <c r="AB184" s="10">
        <v>0</v>
      </c>
    </row>
    <row r="185" spans="1:28" ht="15.75" hidden="1" customHeight="1" thickBot="1">
      <c r="A185" s="92">
        <v>29901</v>
      </c>
      <c r="B185" s="91">
        <v>1</v>
      </c>
      <c r="C185" s="195">
        <v>46127</v>
      </c>
      <c r="D185" s="91">
        <f t="shared" ca="1" si="7"/>
        <v>100</v>
      </c>
      <c r="E185" s="138" t="str">
        <f t="shared" ca="1" si="6"/>
        <v>CRÍTICO</v>
      </c>
      <c r="F185" s="96" t="s">
        <v>28</v>
      </c>
      <c r="G185" s="19" t="s">
        <v>43</v>
      </c>
      <c r="H185" s="19" t="s">
        <v>91</v>
      </c>
      <c r="I185" s="19" t="str">
        <f>IF(W185="ADMITIDO","ADMITIDO",IF(W185="CANCELADA","CANCELADA",IF(H185="","",IFERROR(_xlfn.XLOOKUP(H185,Listas!I:I,Listas!J:J),"OUTROS"))))</f>
        <v>TRIAGEM</v>
      </c>
      <c r="J185" s="12" t="s">
        <v>146</v>
      </c>
      <c r="K185" s="11" t="s">
        <v>335</v>
      </c>
      <c r="L185" s="11" t="s">
        <v>691</v>
      </c>
      <c r="M185" s="11" t="s">
        <v>148</v>
      </c>
      <c r="N185" s="11" t="s">
        <v>56</v>
      </c>
      <c r="O185" s="11" t="s">
        <v>35</v>
      </c>
      <c r="P185" s="11" t="s">
        <v>176</v>
      </c>
      <c r="Q185" s="108"/>
      <c r="R185" s="13"/>
      <c r="Z185" s="15"/>
      <c r="AB185" s="10">
        <v>0</v>
      </c>
    </row>
    <row r="186" spans="1:28" ht="15.75" hidden="1" customHeight="1">
      <c r="A186" s="90">
        <v>29917</v>
      </c>
      <c r="B186" s="91">
        <v>1</v>
      </c>
      <c r="C186" s="195">
        <v>46127</v>
      </c>
      <c r="D186" s="91">
        <f t="shared" ca="1" si="7"/>
        <v>100</v>
      </c>
      <c r="E186" s="138" t="str">
        <f t="shared" si="6"/>
        <v>ADMITIDO</v>
      </c>
      <c r="F186" s="96" t="s">
        <v>42</v>
      </c>
      <c r="G186" s="19" t="s">
        <v>60</v>
      </c>
      <c r="H186" s="19" t="str">
        <f>W186</f>
        <v>ADMITIDO</v>
      </c>
      <c r="I186" s="19" t="str">
        <f>IF(W186="ADMITIDO","ADMITIDO",IF(W186="CANCELADA","CANCELADA",IF(H186="","",IFERROR(_xlfn.XLOOKUP(H186,Listas!I:I,Listas!J:J),"OUTROS"))))</f>
        <v>ADMITIDO</v>
      </c>
      <c r="J186" s="12" t="s">
        <v>461</v>
      </c>
      <c r="K186" s="11" t="s">
        <v>61</v>
      </c>
      <c r="L186" s="11" t="s">
        <v>112</v>
      </c>
      <c r="M186" s="11" t="s">
        <v>63</v>
      </c>
      <c r="N186" s="11" t="s">
        <v>34</v>
      </c>
      <c r="O186" s="11" t="s">
        <v>57</v>
      </c>
      <c r="P186" s="11" t="s">
        <v>151</v>
      </c>
      <c r="Q186" s="108" t="s">
        <v>692</v>
      </c>
      <c r="R186" s="13" t="s">
        <v>65</v>
      </c>
      <c r="S186" s="13" t="s">
        <v>693</v>
      </c>
      <c r="T186" s="11" t="s">
        <v>76</v>
      </c>
      <c r="U186" s="202">
        <v>46132</v>
      </c>
      <c r="V186" s="41" t="s">
        <v>694</v>
      </c>
      <c r="W186" s="23" t="s">
        <v>40</v>
      </c>
      <c r="X186" s="14">
        <v>46141</v>
      </c>
      <c r="Y186" s="14">
        <v>46146</v>
      </c>
      <c r="Z186" s="15">
        <v>145892</v>
      </c>
      <c r="AA186" s="149" t="s">
        <v>695</v>
      </c>
      <c r="AB186" s="10">
        <v>0</v>
      </c>
    </row>
    <row r="187" spans="1:28" ht="15.75" hidden="1" customHeight="1">
      <c r="A187" s="92">
        <v>29898</v>
      </c>
      <c r="B187" s="91">
        <v>1</v>
      </c>
      <c r="C187" s="195">
        <v>46127</v>
      </c>
      <c r="D187" s="91">
        <f t="shared" ca="1" si="7"/>
        <v>100</v>
      </c>
      <c r="E187" s="138" t="str">
        <f t="shared" si="6"/>
        <v>CANCELADA</v>
      </c>
      <c r="F187" s="96" t="s">
        <v>42</v>
      </c>
      <c r="G187" s="19" t="s">
        <v>60</v>
      </c>
      <c r="H187" s="19" t="s">
        <v>52</v>
      </c>
      <c r="I187" s="19" t="str">
        <f>IF(W187="ADMITIDO","ADMITIDO",IF(W187="CANCELADA","CANCELADA",IF(H187="","",IFERROR(_xlfn.XLOOKUP(H187,Listas!I:I,Listas!J:J),"OUTROS"))))</f>
        <v>CANCELADA</v>
      </c>
      <c r="J187" s="12" t="s">
        <v>44</v>
      </c>
      <c r="K187" s="11" t="s">
        <v>61</v>
      </c>
      <c r="L187" s="11" t="s">
        <v>112</v>
      </c>
      <c r="M187" s="11" t="s">
        <v>63</v>
      </c>
      <c r="N187" s="11" t="s">
        <v>34</v>
      </c>
      <c r="O187" s="11" t="s">
        <v>35</v>
      </c>
      <c r="P187" s="11" t="s">
        <v>362</v>
      </c>
      <c r="Q187" s="108"/>
      <c r="R187" s="13"/>
      <c r="S187" s="13"/>
      <c r="W187" s="23" t="s">
        <v>52</v>
      </c>
      <c r="Z187" s="15"/>
      <c r="AB187" s="10">
        <v>0</v>
      </c>
    </row>
    <row r="188" spans="1:28" ht="15.75" hidden="1" customHeight="1">
      <c r="A188" s="90">
        <v>29903</v>
      </c>
      <c r="B188" s="91">
        <v>1</v>
      </c>
      <c r="C188" s="195">
        <v>46127</v>
      </c>
      <c r="D188" s="91">
        <f t="shared" ca="1" si="7"/>
        <v>100</v>
      </c>
      <c r="E188" s="138" t="str">
        <f t="shared" si="6"/>
        <v>ADMITIDO</v>
      </c>
      <c r="F188" s="96" t="s">
        <v>171</v>
      </c>
      <c r="G188" s="19" t="s">
        <v>43</v>
      </c>
      <c r="H188" s="19" t="str">
        <f>W188</f>
        <v>ADMITIDO</v>
      </c>
      <c r="I188" s="19" t="str">
        <f>IF(W188="ADMITIDO","ADMITIDO",IF(W188="CANCELADA","CANCELADA",IF(H188="","",IFERROR(_xlfn.XLOOKUP(H188,Listas!I:I,Listas!J:J),"OUTROS"))))</f>
        <v>ADMITIDO</v>
      </c>
      <c r="J188" s="12" t="s">
        <v>172</v>
      </c>
      <c r="K188" s="11" t="s">
        <v>335</v>
      </c>
      <c r="L188" s="11" t="s">
        <v>696</v>
      </c>
      <c r="M188" s="11" t="s">
        <v>337</v>
      </c>
      <c r="N188" s="11" t="s">
        <v>56</v>
      </c>
      <c r="O188" s="11" t="s">
        <v>35</v>
      </c>
      <c r="P188" s="11" t="s">
        <v>176</v>
      </c>
      <c r="Q188" s="108"/>
      <c r="R188" s="13"/>
      <c r="S188" s="17" t="s">
        <v>697</v>
      </c>
      <c r="T188" s="11" t="s">
        <v>67</v>
      </c>
      <c r="U188" s="202">
        <v>46132</v>
      </c>
      <c r="V188" s="41" t="s">
        <v>698</v>
      </c>
      <c r="W188" s="23" t="s">
        <v>40</v>
      </c>
      <c r="X188" s="14">
        <v>46142</v>
      </c>
      <c r="Y188" s="14">
        <v>46142</v>
      </c>
      <c r="Z188" s="15">
        <v>83277</v>
      </c>
      <c r="AB188" s="10">
        <v>0</v>
      </c>
    </row>
    <row r="189" spans="1:28" ht="15.75" hidden="1" customHeight="1">
      <c r="A189" s="92">
        <v>29828</v>
      </c>
      <c r="B189" s="91">
        <v>1</v>
      </c>
      <c r="C189" s="195">
        <v>46127</v>
      </c>
      <c r="D189" s="91">
        <f t="shared" ca="1" si="7"/>
        <v>100</v>
      </c>
      <c r="E189" s="138" t="str">
        <f t="shared" si="6"/>
        <v>ADMITIDO</v>
      </c>
      <c r="F189" s="96" t="s">
        <v>42</v>
      </c>
      <c r="G189" s="19" t="s">
        <v>167</v>
      </c>
      <c r="H189" s="19" t="s">
        <v>40</v>
      </c>
      <c r="I189" s="19" t="str">
        <f>IF(W189="ADMITIDO","ADMITIDO",IF(W189="CANCELADA","CANCELADA",IF(H189="","",IFERROR(_xlfn.XLOOKUP(H189,Listas!I:I,Listas!J:J),"OUTROS"))))</f>
        <v>ADMITIDO</v>
      </c>
      <c r="J189" s="12" t="s">
        <v>53</v>
      </c>
      <c r="K189" s="11" t="s">
        <v>699</v>
      </c>
      <c r="L189" s="11" t="s">
        <v>700</v>
      </c>
      <c r="M189" s="11" t="s">
        <v>47</v>
      </c>
      <c r="N189" s="11" t="s">
        <v>34</v>
      </c>
      <c r="O189" s="11" t="s">
        <v>48</v>
      </c>
      <c r="P189" s="11" t="s">
        <v>290</v>
      </c>
      <c r="Q189" s="108"/>
      <c r="R189" s="13" t="s">
        <v>373</v>
      </c>
      <c r="S189" s="13" t="s">
        <v>701</v>
      </c>
      <c r="T189" s="11" t="s">
        <v>132</v>
      </c>
      <c r="U189" s="202">
        <v>46129</v>
      </c>
      <c r="V189" s="41" t="s">
        <v>702</v>
      </c>
      <c r="W189" s="23" t="s">
        <v>40</v>
      </c>
      <c r="X189" s="14">
        <v>46135</v>
      </c>
      <c r="Y189" s="14">
        <v>46136</v>
      </c>
      <c r="Z189" s="15">
        <v>914173</v>
      </c>
      <c r="AA189" s="156" t="s">
        <v>445</v>
      </c>
      <c r="AB189" s="10">
        <v>0</v>
      </c>
    </row>
    <row r="190" spans="1:28" ht="15.75" hidden="1" customHeight="1">
      <c r="A190" s="92">
        <v>29929</v>
      </c>
      <c r="B190" s="91">
        <v>1</v>
      </c>
      <c r="C190" s="195">
        <v>46127</v>
      </c>
      <c r="D190" s="91">
        <f t="shared" ca="1" si="7"/>
        <v>100</v>
      </c>
      <c r="E190" s="138" t="str">
        <f t="shared" si="6"/>
        <v>ADMITIDO</v>
      </c>
      <c r="F190" s="96" t="s">
        <v>28</v>
      </c>
      <c r="G190" s="19" t="s">
        <v>167</v>
      </c>
      <c r="H190" s="19" t="s">
        <v>40</v>
      </c>
      <c r="I190" s="19" t="str">
        <f>IF(W190="ADMITIDO","ADMITIDO",IF(W190="CANCELADA","CANCELADA",IF(H190="","",IFERROR(_xlfn.XLOOKUP(H190,Listas!I:I,Listas!J:J),"OUTROS"))))</f>
        <v>ADMITIDO</v>
      </c>
      <c r="J190" s="12" t="s">
        <v>268</v>
      </c>
      <c r="K190" s="11" t="s">
        <v>699</v>
      </c>
      <c r="L190" s="11" t="s">
        <v>700</v>
      </c>
      <c r="M190" s="11" t="s">
        <v>47</v>
      </c>
      <c r="N190" s="11" t="s">
        <v>34</v>
      </c>
      <c r="O190" s="11" t="s">
        <v>703</v>
      </c>
      <c r="P190" s="11" t="s">
        <v>36</v>
      </c>
      <c r="Q190" s="108"/>
      <c r="R190" s="13" t="s">
        <v>704</v>
      </c>
      <c r="S190" s="13" t="s">
        <v>705</v>
      </c>
      <c r="T190" s="11" t="s">
        <v>132</v>
      </c>
      <c r="U190" s="202">
        <v>46129</v>
      </c>
      <c r="V190" s="41" t="s">
        <v>706</v>
      </c>
      <c r="W190" s="23" t="s">
        <v>40</v>
      </c>
      <c r="X190" s="14">
        <v>46135</v>
      </c>
      <c r="Y190" s="14">
        <v>46136</v>
      </c>
      <c r="Z190" s="15">
        <v>914163</v>
      </c>
      <c r="AA190" s="156" t="s">
        <v>445</v>
      </c>
      <c r="AB190" s="10">
        <v>0</v>
      </c>
    </row>
    <row r="191" spans="1:28" ht="15.75" hidden="1" customHeight="1">
      <c r="A191" s="607">
        <v>29930</v>
      </c>
      <c r="B191" s="91">
        <v>1</v>
      </c>
      <c r="C191" s="195">
        <v>46127</v>
      </c>
      <c r="D191" s="91">
        <f t="shared" ca="1" si="7"/>
        <v>100</v>
      </c>
      <c r="E191" s="138" t="str">
        <f t="shared" si="6"/>
        <v>ADMITIDO</v>
      </c>
      <c r="F191" s="96" t="s">
        <v>28</v>
      </c>
      <c r="G191" s="19" t="s">
        <v>167</v>
      </c>
      <c r="H191" s="19" t="s">
        <v>40</v>
      </c>
      <c r="I191" s="19" t="str">
        <f>IF(W191="ADMITIDO","ADMITIDO",IF(W191="CANCELADA","CANCELADA",IF(H191="","",IFERROR(_xlfn.XLOOKUP(H191,Listas!I:I,Listas!J:J),"OUTROS"))))</f>
        <v>ADMITIDO</v>
      </c>
      <c r="J191" s="12" t="s">
        <v>268</v>
      </c>
      <c r="K191" s="11" t="s">
        <v>699</v>
      </c>
      <c r="L191" s="11" t="s">
        <v>700</v>
      </c>
      <c r="M191" s="11" t="s">
        <v>47</v>
      </c>
      <c r="N191" s="11" t="s">
        <v>34</v>
      </c>
      <c r="O191" s="11" t="s">
        <v>703</v>
      </c>
      <c r="P191" s="11" t="s">
        <v>36</v>
      </c>
      <c r="Q191" s="108"/>
      <c r="R191" s="13" t="s">
        <v>704</v>
      </c>
      <c r="S191" s="13" t="s">
        <v>707</v>
      </c>
      <c r="T191" s="11" t="s">
        <v>132</v>
      </c>
      <c r="U191" s="202">
        <v>46129</v>
      </c>
      <c r="V191" s="41" t="s">
        <v>708</v>
      </c>
      <c r="W191" s="23" t="s">
        <v>40</v>
      </c>
      <c r="X191" s="14">
        <v>46135</v>
      </c>
      <c r="Y191" s="14">
        <v>46136</v>
      </c>
      <c r="Z191" s="15">
        <v>914169</v>
      </c>
      <c r="AA191" s="156" t="s">
        <v>445</v>
      </c>
      <c r="AB191" s="10">
        <v>0</v>
      </c>
    </row>
    <row r="192" spans="1:28" ht="15.75" hidden="1" customHeight="1">
      <c r="A192" s="606"/>
      <c r="B192" s="91">
        <v>1</v>
      </c>
      <c r="C192" s="195">
        <v>46127</v>
      </c>
      <c r="D192" s="91">
        <f t="shared" ca="1" si="7"/>
        <v>100</v>
      </c>
      <c r="E192" s="138" t="str">
        <f t="shared" si="6"/>
        <v>ADMITIDO</v>
      </c>
      <c r="F192" s="96" t="s">
        <v>28</v>
      </c>
      <c r="G192" s="19" t="s">
        <v>167</v>
      </c>
      <c r="H192" s="19" t="s">
        <v>40</v>
      </c>
      <c r="I192" s="19" t="str">
        <f>IF(W192="ADMITIDO","ADMITIDO",IF(W192="CANCELADA","CANCELADA",IF(H192="","",IFERROR(_xlfn.XLOOKUP(H192,Listas!I:I,Listas!J:J),"OUTROS"))))</f>
        <v>ADMITIDO</v>
      </c>
      <c r="J192" s="12" t="s">
        <v>268</v>
      </c>
      <c r="K192" s="11" t="s">
        <v>699</v>
      </c>
      <c r="L192" s="11" t="s">
        <v>700</v>
      </c>
      <c r="M192" s="11" t="s">
        <v>47</v>
      </c>
      <c r="N192" s="11" t="s">
        <v>34</v>
      </c>
      <c r="O192" s="11" t="s">
        <v>703</v>
      </c>
      <c r="P192" s="11" t="s">
        <v>36</v>
      </c>
      <c r="Q192" s="108"/>
      <c r="R192" s="13" t="s">
        <v>704</v>
      </c>
      <c r="S192" s="13" t="s">
        <v>709</v>
      </c>
      <c r="T192" s="11" t="s">
        <v>132</v>
      </c>
      <c r="U192" s="202">
        <v>46129</v>
      </c>
      <c r="V192" s="41" t="s">
        <v>710</v>
      </c>
      <c r="W192" s="23" t="s">
        <v>40</v>
      </c>
      <c r="X192" s="14">
        <v>46135</v>
      </c>
      <c r="Y192" s="14">
        <v>46136</v>
      </c>
      <c r="Z192" s="15"/>
      <c r="AA192" s="156" t="s">
        <v>445</v>
      </c>
      <c r="AB192" s="10">
        <v>0</v>
      </c>
    </row>
    <row r="193" spans="1:28" ht="15.75" hidden="1" customHeight="1">
      <c r="A193" s="607">
        <v>29852</v>
      </c>
      <c r="B193" s="91">
        <v>1</v>
      </c>
      <c r="C193" s="195">
        <v>46127</v>
      </c>
      <c r="D193" s="91">
        <f t="shared" ca="1" si="7"/>
        <v>100</v>
      </c>
      <c r="E193" s="138" t="str">
        <f t="shared" si="6"/>
        <v>ADMITIDO</v>
      </c>
      <c r="F193" s="96" t="s">
        <v>28</v>
      </c>
      <c r="G193" s="19" t="s">
        <v>167</v>
      </c>
      <c r="H193" s="19" t="s">
        <v>40</v>
      </c>
      <c r="I193" s="19" t="str">
        <f>IF(W193="ADMITIDO","ADMITIDO",IF(W193="CANCELADA","CANCELADA",IF(H193="","",IFERROR(_xlfn.XLOOKUP(H193,Listas!I:I,Listas!J:J),"OUTROS"))))</f>
        <v>ADMITIDO</v>
      </c>
      <c r="J193" s="12" t="s">
        <v>616</v>
      </c>
      <c r="K193" s="11" t="s">
        <v>699</v>
      </c>
      <c r="L193" s="11" t="s">
        <v>700</v>
      </c>
      <c r="M193" s="11" t="s">
        <v>47</v>
      </c>
      <c r="N193" s="11" t="s">
        <v>34</v>
      </c>
      <c r="O193" s="11" t="s">
        <v>35</v>
      </c>
      <c r="P193" s="11" t="s">
        <v>711</v>
      </c>
      <c r="Q193" s="108"/>
      <c r="R193" s="13" t="s">
        <v>373</v>
      </c>
      <c r="S193" s="13" t="s">
        <v>712</v>
      </c>
      <c r="T193" s="11" t="s">
        <v>132</v>
      </c>
      <c r="U193" s="202">
        <v>46129</v>
      </c>
      <c r="V193" s="41" t="s">
        <v>713</v>
      </c>
      <c r="W193" s="23" t="s">
        <v>40</v>
      </c>
      <c r="X193" s="14" t="s">
        <v>714</v>
      </c>
      <c r="Y193" s="14">
        <v>46136</v>
      </c>
      <c r="Z193" s="15">
        <v>914165</v>
      </c>
      <c r="AA193" s="156" t="s">
        <v>445</v>
      </c>
      <c r="AB193" s="10">
        <v>0</v>
      </c>
    </row>
    <row r="194" spans="1:28" ht="15.75" hidden="1" customHeight="1">
      <c r="A194" s="608"/>
      <c r="B194" s="91">
        <v>1</v>
      </c>
      <c r="C194" s="195">
        <v>46127</v>
      </c>
      <c r="D194" s="91">
        <f t="shared" ca="1" si="7"/>
        <v>100</v>
      </c>
      <c r="E194" s="138" t="str">
        <f t="shared" si="6"/>
        <v>ADMITIDO</v>
      </c>
      <c r="F194" s="96" t="s">
        <v>28</v>
      </c>
      <c r="G194" s="19" t="s">
        <v>167</v>
      </c>
      <c r="H194" s="19" t="s">
        <v>40</v>
      </c>
      <c r="I194" s="19" t="str">
        <f>IF(W194="ADMITIDO","ADMITIDO",IF(W194="CANCELADA","CANCELADA",IF(H194="","",IFERROR(_xlfn.XLOOKUP(H194,Listas!I:I,Listas!J:J),"OUTROS"))))</f>
        <v>ADMITIDO</v>
      </c>
      <c r="J194" s="12" t="s">
        <v>616</v>
      </c>
      <c r="K194" s="11" t="s">
        <v>699</v>
      </c>
      <c r="L194" s="11" t="s">
        <v>700</v>
      </c>
      <c r="M194" s="11" t="s">
        <v>47</v>
      </c>
      <c r="N194" s="11" t="s">
        <v>34</v>
      </c>
      <c r="O194" s="11" t="s">
        <v>35</v>
      </c>
      <c r="P194" s="11" t="s">
        <v>711</v>
      </c>
      <c r="Q194" s="108"/>
      <c r="R194" s="13" t="s">
        <v>373</v>
      </c>
      <c r="S194" s="13" t="s">
        <v>715</v>
      </c>
      <c r="T194" s="11" t="s">
        <v>132</v>
      </c>
      <c r="U194" s="202">
        <v>46129</v>
      </c>
      <c r="V194" s="41" t="s">
        <v>716</v>
      </c>
      <c r="W194" s="23" t="s">
        <v>40</v>
      </c>
      <c r="X194" s="14" t="s">
        <v>714</v>
      </c>
      <c r="Y194" s="14">
        <v>46136</v>
      </c>
      <c r="Z194" s="15">
        <v>914161</v>
      </c>
      <c r="AA194" s="156" t="s">
        <v>445</v>
      </c>
      <c r="AB194" s="10">
        <v>0</v>
      </c>
    </row>
    <row r="195" spans="1:28" ht="15.75" hidden="1" customHeight="1">
      <c r="A195" s="607">
        <v>29853</v>
      </c>
      <c r="B195" s="91">
        <v>1</v>
      </c>
      <c r="C195" s="195">
        <v>46127</v>
      </c>
      <c r="D195" s="91">
        <f t="shared" ca="1" si="7"/>
        <v>100</v>
      </c>
      <c r="E195" s="138" t="str">
        <f t="shared" ref="E195:E258" si="9">IF(W195="ADMITIDO","ADMITIDO",IF(W195="CANCELADA","CANCELADA",IF(H195="","",IF(H195="ADMITIDO","ADMITIDO",IF(H195="CANCELADA","CANCELADA",IF(OR(H195="ANALISE CANCELAMENTO",H195="ANÁLISE CANCELAMENTO"),"EM ANÁLISE",IF(D195="","",IF(D195&lt;=7,"NO PRAZO",IF(D195&lt;=14,"ATENÇÃO","CRÍTICO")))))))))</f>
        <v>ADMITIDO</v>
      </c>
      <c r="F195" s="96" t="s">
        <v>28</v>
      </c>
      <c r="G195" s="19" t="s">
        <v>167</v>
      </c>
      <c r="H195" s="19" t="s">
        <v>40</v>
      </c>
      <c r="I195" s="19" t="str">
        <f>IF(W195="ADMITIDO","ADMITIDO",IF(W195="CANCELADA","CANCELADA",IF(H195="","",IFERROR(_xlfn.XLOOKUP(H195,Listas!I:I,Listas!J:J),"OUTROS"))))</f>
        <v>ADMITIDO</v>
      </c>
      <c r="J195" s="12" t="s">
        <v>616</v>
      </c>
      <c r="K195" s="11" t="s">
        <v>699</v>
      </c>
      <c r="L195" s="11" t="s">
        <v>700</v>
      </c>
      <c r="M195" s="11" t="s">
        <v>47</v>
      </c>
      <c r="N195" s="11" t="s">
        <v>56</v>
      </c>
      <c r="O195" s="11" t="s">
        <v>35</v>
      </c>
      <c r="P195" s="11" t="s">
        <v>176</v>
      </c>
      <c r="Q195" s="108"/>
      <c r="R195" s="13" t="s">
        <v>373</v>
      </c>
      <c r="S195" s="13" t="s">
        <v>717</v>
      </c>
      <c r="T195" s="11" t="s">
        <v>132</v>
      </c>
      <c r="U195" s="202">
        <v>46129</v>
      </c>
      <c r="V195" s="41" t="s">
        <v>718</v>
      </c>
      <c r="W195" s="23" t="s">
        <v>40</v>
      </c>
      <c r="X195" s="14" t="s">
        <v>714</v>
      </c>
      <c r="Y195" s="14">
        <v>46136</v>
      </c>
      <c r="Z195" s="15">
        <v>914164</v>
      </c>
      <c r="AA195" s="156" t="s">
        <v>445</v>
      </c>
      <c r="AB195" s="10">
        <v>0</v>
      </c>
    </row>
    <row r="196" spans="1:28" ht="15.75" hidden="1" customHeight="1">
      <c r="A196" s="608"/>
      <c r="B196" s="91">
        <v>1</v>
      </c>
      <c r="C196" s="195">
        <v>46127</v>
      </c>
      <c r="D196" s="91">
        <f t="shared" ca="1" si="7"/>
        <v>100</v>
      </c>
      <c r="E196" s="138" t="str">
        <f t="shared" si="9"/>
        <v>ADMITIDO</v>
      </c>
      <c r="F196" s="96" t="s">
        <v>28</v>
      </c>
      <c r="G196" s="19" t="s">
        <v>167</v>
      </c>
      <c r="H196" s="19" t="s">
        <v>40</v>
      </c>
      <c r="I196" s="19" t="str">
        <f>IF(W196="ADMITIDO","ADMITIDO",IF(W196="CANCELADA","CANCELADA",IF(H196="","",IFERROR(_xlfn.XLOOKUP(H196,Listas!I:I,Listas!J:J),"OUTROS"))))</f>
        <v>ADMITIDO</v>
      </c>
      <c r="J196" s="12" t="s">
        <v>616</v>
      </c>
      <c r="K196" s="11" t="s">
        <v>699</v>
      </c>
      <c r="L196" s="11" t="s">
        <v>700</v>
      </c>
      <c r="M196" s="11" t="s">
        <v>47</v>
      </c>
      <c r="N196" s="11" t="s">
        <v>56</v>
      </c>
      <c r="O196" s="11" t="s">
        <v>35</v>
      </c>
      <c r="P196" s="11" t="s">
        <v>176</v>
      </c>
      <c r="Q196" s="108"/>
      <c r="R196" s="13" t="s">
        <v>373</v>
      </c>
      <c r="S196" s="13" t="s">
        <v>719</v>
      </c>
      <c r="T196" s="11" t="s">
        <v>132</v>
      </c>
      <c r="U196" s="202">
        <v>46129</v>
      </c>
      <c r="V196" s="41" t="s">
        <v>720</v>
      </c>
      <c r="W196" s="23" t="s">
        <v>40</v>
      </c>
      <c r="X196" s="14">
        <v>46135</v>
      </c>
      <c r="Y196" s="14">
        <v>46136</v>
      </c>
      <c r="Z196" s="15">
        <v>914162</v>
      </c>
      <c r="AA196" s="156" t="s">
        <v>445</v>
      </c>
      <c r="AB196" s="10">
        <v>0</v>
      </c>
    </row>
    <row r="197" spans="1:28" ht="15.75" hidden="1" customHeight="1">
      <c r="A197" s="607">
        <v>29855</v>
      </c>
      <c r="B197" s="91">
        <v>1</v>
      </c>
      <c r="C197" s="195">
        <v>46127</v>
      </c>
      <c r="D197" s="91">
        <f t="shared" ca="1" si="7"/>
        <v>100</v>
      </c>
      <c r="E197" s="138" t="str">
        <f t="shared" si="9"/>
        <v>ADMITIDO</v>
      </c>
      <c r="F197" s="96" t="s">
        <v>171</v>
      </c>
      <c r="G197" s="19" t="s">
        <v>167</v>
      </c>
      <c r="H197" s="19" t="s">
        <v>40</v>
      </c>
      <c r="I197" s="19" t="str">
        <f>IF(W197="ADMITIDO","ADMITIDO",IF(W197="CANCELADA","CANCELADA",IF(H197="","",IFERROR(_xlfn.XLOOKUP(H197,Listas!I:I,Listas!J:J),"OUTROS"))))</f>
        <v>ADMITIDO</v>
      </c>
      <c r="J197" s="12" t="s">
        <v>514</v>
      </c>
      <c r="K197" s="11" t="s">
        <v>699</v>
      </c>
      <c r="L197" s="11" t="s">
        <v>700</v>
      </c>
      <c r="M197" s="11" t="s">
        <v>47</v>
      </c>
      <c r="N197" s="11" t="s">
        <v>34</v>
      </c>
      <c r="O197" s="11" t="s">
        <v>35</v>
      </c>
      <c r="P197" s="11" t="s">
        <v>36</v>
      </c>
      <c r="Q197" s="108"/>
      <c r="R197" s="13" t="s">
        <v>373</v>
      </c>
      <c r="S197" s="13" t="s">
        <v>721</v>
      </c>
      <c r="T197" s="11" t="s">
        <v>132</v>
      </c>
      <c r="U197" s="202">
        <v>46129</v>
      </c>
      <c r="V197" s="41" t="s">
        <v>722</v>
      </c>
      <c r="W197" s="23" t="s">
        <v>40</v>
      </c>
      <c r="X197" s="14">
        <v>46135</v>
      </c>
      <c r="Y197" s="14">
        <v>46136</v>
      </c>
      <c r="Z197" s="15">
        <v>83274</v>
      </c>
      <c r="AA197" s="156" t="s">
        <v>445</v>
      </c>
      <c r="AB197" s="10">
        <v>0</v>
      </c>
    </row>
    <row r="198" spans="1:28" ht="15.75" hidden="1" customHeight="1">
      <c r="A198" s="608"/>
      <c r="B198" s="91">
        <v>1</v>
      </c>
      <c r="C198" s="195">
        <v>46127</v>
      </c>
      <c r="D198" s="91">
        <f t="shared" ref="D198:D242" ca="1" si="10">TODAY()-C198</f>
        <v>100</v>
      </c>
      <c r="E198" s="138" t="str">
        <f t="shared" si="9"/>
        <v>ADMITIDO</v>
      </c>
      <c r="F198" s="96" t="s">
        <v>171</v>
      </c>
      <c r="G198" s="19" t="s">
        <v>167</v>
      </c>
      <c r="H198" s="19" t="s">
        <v>40</v>
      </c>
      <c r="I198" s="19" t="str">
        <f>IF(W198="ADMITIDO","ADMITIDO",IF(W198="CANCELADA","CANCELADA",IF(H198="","",IFERROR(_xlfn.XLOOKUP(H198,Listas!I:I,Listas!J:J),"OUTROS"))))</f>
        <v>ADMITIDO</v>
      </c>
      <c r="J198" s="12" t="s">
        <v>514</v>
      </c>
      <c r="K198" s="11" t="s">
        <v>699</v>
      </c>
      <c r="L198" s="11" t="s">
        <v>700</v>
      </c>
      <c r="M198" s="11" t="s">
        <v>47</v>
      </c>
      <c r="N198" s="11" t="s">
        <v>34</v>
      </c>
      <c r="O198" s="11" t="s">
        <v>35</v>
      </c>
      <c r="P198" s="11" t="s">
        <v>36</v>
      </c>
      <c r="Q198" s="108"/>
      <c r="R198" s="13" t="s">
        <v>373</v>
      </c>
      <c r="S198" s="13" t="s">
        <v>723</v>
      </c>
      <c r="T198" s="11" t="s">
        <v>132</v>
      </c>
      <c r="U198" s="202">
        <v>46129</v>
      </c>
      <c r="V198" s="41" t="s">
        <v>724</v>
      </c>
      <c r="W198" s="23" t="s">
        <v>40</v>
      </c>
      <c r="X198" s="14">
        <v>46135</v>
      </c>
      <c r="Y198" s="14">
        <v>46136</v>
      </c>
      <c r="Z198" s="15">
        <v>83273</v>
      </c>
      <c r="AA198" s="156" t="s">
        <v>445</v>
      </c>
      <c r="AB198" s="10">
        <v>0</v>
      </c>
    </row>
    <row r="199" spans="1:28" ht="15.75" hidden="1" customHeight="1">
      <c r="A199" s="92">
        <v>29856</v>
      </c>
      <c r="B199" s="91">
        <v>1</v>
      </c>
      <c r="C199" s="195">
        <v>46127</v>
      </c>
      <c r="D199" s="91">
        <f ca="1">TODAY()-C199</f>
        <v>100</v>
      </c>
      <c r="E199" s="138" t="str">
        <f t="shared" si="9"/>
        <v>ADMITIDO</v>
      </c>
      <c r="F199" s="96" t="s">
        <v>171</v>
      </c>
      <c r="G199" s="19" t="s">
        <v>167</v>
      </c>
      <c r="H199" s="19" t="s">
        <v>40</v>
      </c>
      <c r="I199" s="19" t="str">
        <f>IF(W199="ADMITIDO","ADMITIDO",IF(W199="CANCELADA","CANCELADA",IF(H199="","",IFERROR(_xlfn.XLOOKUP(H199,Listas!I:I,Listas!J:J),"OUTROS"))))</f>
        <v>ADMITIDO</v>
      </c>
      <c r="J199" s="12" t="s">
        <v>514</v>
      </c>
      <c r="K199" s="11" t="s">
        <v>699</v>
      </c>
      <c r="L199" s="11" t="s">
        <v>700</v>
      </c>
      <c r="M199" s="11" t="s">
        <v>47</v>
      </c>
      <c r="N199" s="11" t="s">
        <v>56</v>
      </c>
      <c r="O199" s="11" t="s">
        <v>35</v>
      </c>
      <c r="P199" s="11" t="s">
        <v>176</v>
      </c>
      <c r="Q199" s="108"/>
      <c r="R199" s="13"/>
      <c r="S199" s="13"/>
      <c r="T199" s="11" t="s">
        <v>132</v>
      </c>
      <c r="U199" s="202">
        <v>46129</v>
      </c>
      <c r="V199" s="41" t="s">
        <v>725</v>
      </c>
      <c r="W199" s="23" t="s">
        <v>40</v>
      </c>
      <c r="X199" s="14" t="s">
        <v>714</v>
      </c>
      <c r="Y199" s="14">
        <v>46136</v>
      </c>
      <c r="Z199" s="15">
        <v>83270</v>
      </c>
      <c r="AA199" s="156"/>
      <c r="AB199" s="10">
        <v>0</v>
      </c>
    </row>
    <row r="200" spans="1:28" ht="15.75" hidden="1" customHeight="1">
      <c r="A200" s="92">
        <v>29856</v>
      </c>
      <c r="B200" s="91">
        <v>1</v>
      </c>
      <c r="C200" s="195">
        <v>46127</v>
      </c>
      <c r="D200" s="91">
        <f t="shared" ca="1" si="10"/>
        <v>100</v>
      </c>
      <c r="E200" s="138" t="str">
        <f t="shared" si="9"/>
        <v>ADMITIDO</v>
      </c>
      <c r="F200" s="96" t="s">
        <v>171</v>
      </c>
      <c r="G200" s="19" t="s">
        <v>167</v>
      </c>
      <c r="H200" s="19" t="s">
        <v>40</v>
      </c>
      <c r="I200" s="19" t="str">
        <f>IF(W200="ADMITIDO","ADMITIDO",IF(W200="CANCELADA","CANCELADA",IF(H200="","",IFERROR(_xlfn.XLOOKUP(H200,Listas!I:I,Listas!J:J),"OUTROS"))))</f>
        <v>ADMITIDO</v>
      </c>
      <c r="J200" s="12" t="s">
        <v>514</v>
      </c>
      <c r="K200" s="11" t="s">
        <v>699</v>
      </c>
      <c r="L200" s="11" t="s">
        <v>700</v>
      </c>
      <c r="M200" s="11" t="s">
        <v>47</v>
      </c>
      <c r="N200" s="11" t="s">
        <v>56</v>
      </c>
      <c r="O200" s="11" t="s">
        <v>35</v>
      </c>
      <c r="P200" s="11" t="s">
        <v>176</v>
      </c>
      <c r="Q200" s="108"/>
      <c r="R200" s="13" t="s">
        <v>373</v>
      </c>
      <c r="S200" s="13" t="s">
        <v>726</v>
      </c>
      <c r="T200" s="11" t="s">
        <v>132</v>
      </c>
      <c r="U200" s="202">
        <v>46129</v>
      </c>
      <c r="V200" s="41" t="s">
        <v>727</v>
      </c>
      <c r="W200" s="23" t="s">
        <v>40</v>
      </c>
      <c r="X200" s="14" t="s">
        <v>714</v>
      </c>
      <c r="Y200" s="14">
        <v>46136</v>
      </c>
      <c r="Z200" s="15">
        <v>83271</v>
      </c>
      <c r="AA200" s="156" t="s">
        <v>445</v>
      </c>
      <c r="AB200" s="10">
        <v>0</v>
      </c>
    </row>
    <row r="201" spans="1:28" ht="15.75" hidden="1" customHeight="1">
      <c r="A201" s="92">
        <v>29876</v>
      </c>
      <c r="B201" s="91">
        <v>1</v>
      </c>
      <c r="C201" s="195">
        <v>46127</v>
      </c>
      <c r="D201" s="91">
        <f t="shared" ca="1" si="10"/>
        <v>100</v>
      </c>
      <c r="E201" s="138" t="str">
        <f t="shared" si="9"/>
        <v>ADMITIDO</v>
      </c>
      <c r="F201" s="96" t="s">
        <v>28</v>
      </c>
      <c r="G201" s="19" t="s">
        <v>145</v>
      </c>
      <c r="H201" s="19" t="s">
        <v>40</v>
      </c>
      <c r="I201" s="19" t="str">
        <f>IF(W201="ADMITIDO","ADMITIDO",IF(W201="CANCELADA","CANCELADA",IF(H201="","",IFERROR(_xlfn.XLOOKUP(H201,Listas!I:I,Listas!J:J),"OUTROS"))))</f>
        <v>ADMITIDO</v>
      </c>
      <c r="J201" s="12" t="s">
        <v>268</v>
      </c>
      <c r="K201" s="11" t="s">
        <v>371</v>
      </c>
      <c r="L201" s="11" t="s">
        <v>728</v>
      </c>
      <c r="M201" s="11" t="s">
        <v>63</v>
      </c>
      <c r="N201" s="11" t="s">
        <v>34</v>
      </c>
      <c r="O201" s="11" t="s">
        <v>35</v>
      </c>
      <c r="P201" s="11" t="s">
        <v>36</v>
      </c>
      <c r="Q201" s="108"/>
      <c r="R201" s="13"/>
      <c r="S201" s="13"/>
      <c r="T201" s="11" t="s">
        <v>132</v>
      </c>
      <c r="U201" s="202">
        <v>46142</v>
      </c>
      <c r="V201" s="41" t="s">
        <v>729</v>
      </c>
      <c r="W201" s="11" t="s">
        <v>40</v>
      </c>
      <c r="X201" s="14">
        <v>46147</v>
      </c>
      <c r="Y201" s="14">
        <v>46150</v>
      </c>
      <c r="Z201" s="15">
        <v>914221</v>
      </c>
      <c r="AA201" s="42"/>
      <c r="AB201" s="10">
        <v>0</v>
      </c>
    </row>
    <row r="202" spans="1:28" ht="15.75" hidden="1" customHeight="1">
      <c r="A202" s="92">
        <v>29904</v>
      </c>
      <c r="B202" s="91">
        <v>1</v>
      </c>
      <c r="C202" s="195">
        <v>46127</v>
      </c>
      <c r="D202" s="91">
        <f t="shared" ca="1" si="10"/>
        <v>100</v>
      </c>
      <c r="E202" s="138" t="str">
        <f t="shared" si="9"/>
        <v>ADMITIDO</v>
      </c>
      <c r="F202" s="96" t="s">
        <v>171</v>
      </c>
      <c r="G202" s="19" t="s">
        <v>69</v>
      </c>
      <c r="H202" s="19" t="s">
        <v>40</v>
      </c>
      <c r="I202" s="19" t="str">
        <f>IF(W202="ADMITIDO","ADMITIDO",IF(W202="CANCELADA","CANCELADA",IF(H202="","",IFERROR(_xlfn.XLOOKUP(H202,Listas!I:I,Listas!J:J),"OUTROS"))))</f>
        <v>ADMITIDO</v>
      </c>
      <c r="J202" s="12" t="s">
        <v>172</v>
      </c>
      <c r="K202" s="11" t="s">
        <v>173</v>
      </c>
      <c r="L202" s="11" t="s">
        <v>728</v>
      </c>
      <c r="M202" s="11" t="s">
        <v>63</v>
      </c>
      <c r="N202" s="11" t="s">
        <v>56</v>
      </c>
      <c r="O202" s="11" t="s">
        <v>35</v>
      </c>
      <c r="P202" s="11" t="s">
        <v>176</v>
      </c>
      <c r="Q202" s="108"/>
      <c r="R202" s="13" t="s">
        <v>730</v>
      </c>
      <c r="S202" s="13" t="s">
        <v>731</v>
      </c>
      <c r="T202" s="11" t="s">
        <v>132</v>
      </c>
      <c r="U202" s="202">
        <v>46129</v>
      </c>
      <c r="V202" s="41" t="s">
        <v>732</v>
      </c>
      <c r="W202" s="23" t="s">
        <v>40</v>
      </c>
      <c r="X202" s="14" t="s">
        <v>714</v>
      </c>
      <c r="Y202" s="14">
        <v>46139</v>
      </c>
      <c r="Z202" s="15">
        <v>83269</v>
      </c>
      <c r="AB202" s="10">
        <v>0</v>
      </c>
    </row>
    <row r="203" spans="1:28" ht="15.75" hidden="1" customHeight="1">
      <c r="A203" s="90">
        <v>29926</v>
      </c>
      <c r="B203" s="91">
        <v>1</v>
      </c>
      <c r="C203" s="195">
        <v>46127</v>
      </c>
      <c r="D203" s="91">
        <f t="shared" ca="1" si="10"/>
        <v>100</v>
      </c>
      <c r="E203" s="138" t="str">
        <f t="shared" si="9"/>
        <v>ADMITIDO</v>
      </c>
      <c r="F203" s="96" t="s">
        <v>42</v>
      </c>
      <c r="G203" s="19" t="s">
        <v>240</v>
      </c>
      <c r="H203" s="19" t="s">
        <v>40</v>
      </c>
      <c r="I203" s="19" t="str">
        <f>IF(W203="ADMITIDO","ADMITIDO",IF(W203="CANCELADA","CANCELADA",IF(H203="","",IFERROR(_xlfn.XLOOKUP(H203,Listas!I:I,Listas!J:J),"OUTROS"))))</f>
        <v>ADMITIDO</v>
      </c>
      <c r="J203" s="12" t="s">
        <v>53</v>
      </c>
      <c r="K203" s="11" t="s">
        <v>241</v>
      </c>
      <c r="L203" s="11" t="s">
        <v>494</v>
      </c>
      <c r="M203" s="11" t="s">
        <v>175</v>
      </c>
      <c r="N203" s="11" t="s">
        <v>34</v>
      </c>
      <c r="O203" s="11" t="s">
        <v>35</v>
      </c>
      <c r="P203" s="11" t="s">
        <v>36</v>
      </c>
      <c r="Q203" s="108" t="s">
        <v>733</v>
      </c>
      <c r="R203" s="13" t="s">
        <v>409</v>
      </c>
      <c r="S203" s="13" t="s">
        <v>734</v>
      </c>
      <c r="T203" s="11" t="s">
        <v>132</v>
      </c>
      <c r="U203" s="202">
        <v>46135</v>
      </c>
      <c r="V203" s="41" t="s">
        <v>735</v>
      </c>
      <c r="W203" s="38" t="s">
        <v>40</v>
      </c>
      <c r="X203" s="14">
        <v>46146</v>
      </c>
      <c r="Y203" s="14">
        <v>46148</v>
      </c>
      <c r="Z203" s="15">
        <v>914214</v>
      </c>
      <c r="AA203" s="149" t="s">
        <v>736</v>
      </c>
      <c r="AB203" s="10">
        <v>0</v>
      </c>
    </row>
    <row r="204" spans="1:28" ht="15.75" hidden="1" customHeight="1">
      <c r="A204" s="90">
        <v>29906</v>
      </c>
      <c r="B204" s="91">
        <v>1</v>
      </c>
      <c r="C204" s="195">
        <v>46127</v>
      </c>
      <c r="D204" s="91">
        <f t="shared" ca="1" si="10"/>
        <v>100</v>
      </c>
      <c r="E204" s="138" t="str">
        <f t="shared" si="9"/>
        <v>ADMITIDO</v>
      </c>
      <c r="F204" s="96" t="s">
        <v>28</v>
      </c>
      <c r="G204" s="19" t="s">
        <v>43</v>
      </c>
      <c r="H204" s="19" t="s">
        <v>40</v>
      </c>
      <c r="I204" s="19" t="str">
        <f>IF(W204="ADMITIDO","ADMITIDO",IF(W204="CANCELADA","CANCELADA",IF(H204="","",IFERROR(_xlfn.XLOOKUP(H204,Listas!I:I,Listas!J:J),"OUTROS"))))</f>
        <v>ADMITIDO</v>
      </c>
      <c r="J204" s="12" t="s">
        <v>737</v>
      </c>
      <c r="K204" s="11" t="s">
        <v>285</v>
      </c>
      <c r="L204" s="11" t="s">
        <v>738</v>
      </c>
      <c r="M204" s="11" t="s">
        <v>97</v>
      </c>
      <c r="N204" s="11" t="s">
        <v>34</v>
      </c>
      <c r="O204" s="11" t="s">
        <v>35</v>
      </c>
      <c r="P204" s="11" t="s">
        <v>739</v>
      </c>
      <c r="Q204" s="108"/>
      <c r="R204" s="13"/>
      <c r="S204" s="17">
        <v>11979716662</v>
      </c>
      <c r="T204" s="11" t="s">
        <v>50</v>
      </c>
      <c r="U204" s="202">
        <v>46134</v>
      </c>
      <c r="V204" s="42" t="s">
        <v>740</v>
      </c>
      <c r="W204" s="23" t="s">
        <v>40</v>
      </c>
      <c r="X204" s="43">
        <v>46141</v>
      </c>
      <c r="Y204" s="14">
        <v>46142</v>
      </c>
      <c r="Z204" s="15">
        <v>914191</v>
      </c>
      <c r="AB204" s="10">
        <v>0</v>
      </c>
    </row>
    <row r="205" spans="1:28" ht="15.75" hidden="1" customHeight="1" thickBot="1">
      <c r="A205" s="92">
        <v>29905</v>
      </c>
      <c r="B205" s="91">
        <v>1</v>
      </c>
      <c r="C205" s="195">
        <v>46127</v>
      </c>
      <c r="D205" s="91">
        <f t="shared" ca="1" si="10"/>
        <v>100</v>
      </c>
      <c r="E205" s="138" t="str">
        <f t="shared" si="9"/>
        <v>ADMITIDO</v>
      </c>
      <c r="F205" s="96" t="s">
        <v>171</v>
      </c>
      <c r="G205" s="19" t="s">
        <v>29</v>
      </c>
      <c r="H205" s="19" t="s">
        <v>40</v>
      </c>
      <c r="I205" s="19" t="str">
        <f>IF(W205="ADMITIDO","ADMITIDO",IF(W205="CANCELADA","CANCELADA",IF(H205="","",IFERROR(_xlfn.XLOOKUP(H205,Listas!I:I,Listas!J:J),"OUTROS"))))</f>
        <v>ADMITIDO</v>
      </c>
      <c r="J205" s="12" t="s">
        <v>172</v>
      </c>
      <c r="K205" s="11" t="s">
        <v>614</v>
      </c>
      <c r="L205" s="11" t="s">
        <v>741</v>
      </c>
      <c r="M205" s="11" t="s">
        <v>88</v>
      </c>
      <c r="N205" s="11" t="s">
        <v>34</v>
      </c>
      <c r="O205" s="11" t="s">
        <v>35</v>
      </c>
      <c r="P205" s="11" t="s">
        <v>287</v>
      </c>
      <c r="Q205" s="108"/>
      <c r="R205" s="13"/>
      <c r="S205" s="13"/>
      <c r="T205" s="11" t="s">
        <v>38</v>
      </c>
      <c r="U205" s="202">
        <v>46134</v>
      </c>
      <c r="V205" s="41" t="s">
        <v>742</v>
      </c>
      <c r="W205" s="56" t="s">
        <v>40</v>
      </c>
      <c r="X205" s="14">
        <v>46136</v>
      </c>
      <c r="Y205" s="14">
        <v>46137</v>
      </c>
      <c r="Z205" s="15">
        <v>83275</v>
      </c>
      <c r="AB205" s="10">
        <v>0</v>
      </c>
    </row>
    <row r="206" spans="1:28" ht="15.75" hidden="1" customHeight="1" thickBot="1">
      <c r="A206" s="90">
        <v>29945</v>
      </c>
      <c r="B206" s="91">
        <v>1</v>
      </c>
      <c r="C206" s="195">
        <v>46128</v>
      </c>
      <c r="D206" s="91">
        <f t="shared" ca="1" si="10"/>
        <v>99</v>
      </c>
      <c r="E206" s="138" t="str">
        <f t="shared" si="9"/>
        <v>ADMITIDO</v>
      </c>
      <c r="F206" s="96" t="s">
        <v>42</v>
      </c>
      <c r="G206" s="19" t="s">
        <v>43</v>
      </c>
      <c r="H206" s="19" t="s">
        <v>40</v>
      </c>
      <c r="I206" s="19" t="str">
        <f>IF(W206="ADMITIDO","ADMITIDO",IF(W206="CANCELADA","CANCELADA",IF(H206="","",IFERROR(_xlfn.XLOOKUP(H206,Listas!I:I,Listas!J:J),"OUTROS"))))</f>
        <v>ADMITIDO</v>
      </c>
      <c r="J206" s="12" t="s">
        <v>53</v>
      </c>
      <c r="K206" s="11" t="s">
        <v>45</v>
      </c>
      <c r="L206" s="11" t="s">
        <v>377</v>
      </c>
      <c r="M206" s="11" t="s">
        <v>378</v>
      </c>
      <c r="N206" s="11" t="s">
        <v>34</v>
      </c>
      <c r="O206" s="11" t="s">
        <v>35</v>
      </c>
      <c r="P206" s="11" t="s">
        <v>362</v>
      </c>
      <c r="Q206" s="108"/>
      <c r="R206" s="13"/>
      <c r="T206" s="11" t="s">
        <v>67</v>
      </c>
      <c r="U206" s="202">
        <v>46129</v>
      </c>
      <c r="V206" s="41" t="s">
        <v>743</v>
      </c>
      <c r="W206" s="11" t="s">
        <v>40</v>
      </c>
      <c r="X206" s="14">
        <v>46146</v>
      </c>
      <c r="Y206" s="14">
        <v>46147</v>
      </c>
      <c r="Z206" s="15">
        <v>145912</v>
      </c>
      <c r="AA206" s="45"/>
      <c r="AB206" s="10">
        <v>0</v>
      </c>
    </row>
    <row r="207" spans="1:28" ht="15.75" hidden="1" customHeight="1">
      <c r="A207" s="92">
        <v>29943</v>
      </c>
      <c r="B207" s="91">
        <v>1</v>
      </c>
      <c r="C207" s="195">
        <v>46128</v>
      </c>
      <c r="D207" s="91">
        <f t="shared" ca="1" si="10"/>
        <v>99</v>
      </c>
      <c r="E207" s="138" t="str">
        <f t="shared" ca="1" si="9"/>
        <v>CRÍTICO</v>
      </c>
      <c r="F207" s="96" t="s">
        <v>28</v>
      </c>
      <c r="G207" s="19" t="s">
        <v>663</v>
      </c>
      <c r="H207" s="19" t="s">
        <v>569</v>
      </c>
      <c r="I207" s="19" t="str">
        <f>IF(W207="ADMITIDO","ADMITIDO",IF(W207="CANCELADA","CANCELADA",IF(H207="","",IFERROR(_xlfn.XLOOKUP(H207,Listas!I:I,Listas!J:J),"OUTROS"))))</f>
        <v>PESQUISA</v>
      </c>
      <c r="J207" s="12" t="s">
        <v>30</v>
      </c>
      <c r="K207" s="11" t="s">
        <v>31</v>
      </c>
      <c r="L207" s="11" t="s">
        <v>32</v>
      </c>
      <c r="M207" s="11" t="s">
        <v>33</v>
      </c>
      <c r="N207" s="11" t="s">
        <v>34</v>
      </c>
      <c r="O207" s="11" t="s">
        <v>35</v>
      </c>
      <c r="P207" s="11" t="s">
        <v>36</v>
      </c>
      <c r="Q207" s="108"/>
      <c r="R207" s="13"/>
      <c r="S207" s="13"/>
      <c r="V207" s="70"/>
      <c r="Z207" s="15"/>
      <c r="AB207" s="10">
        <v>0</v>
      </c>
    </row>
    <row r="208" spans="1:28" ht="15.75" hidden="1" customHeight="1">
      <c r="A208" s="90">
        <v>29944</v>
      </c>
      <c r="B208" s="91">
        <v>1</v>
      </c>
      <c r="C208" s="195">
        <v>46128</v>
      </c>
      <c r="D208" s="91">
        <f t="shared" ca="1" si="10"/>
        <v>99</v>
      </c>
      <c r="E208" s="138" t="str">
        <f t="shared" si="9"/>
        <v>ADMITIDO</v>
      </c>
      <c r="F208" s="96" t="s">
        <v>42</v>
      </c>
      <c r="G208" s="19" t="s">
        <v>240</v>
      </c>
      <c r="H208" s="19" t="s">
        <v>40</v>
      </c>
      <c r="I208" s="19" t="str">
        <f>IF(W208="ADMITIDO","ADMITIDO",IF(W208="CANCELADA","CANCELADA",IF(H208="","",IFERROR(_xlfn.XLOOKUP(H208,Listas!I:I,Listas!J:J),"OUTROS"))))</f>
        <v>ADMITIDO</v>
      </c>
      <c r="J208" s="12" t="s">
        <v>53</v>
      </c>
      <c r="K208" s="11" t="s">
        <v>241</v>
      </c>
      <c r="L208" s="11" t="s">
        <v>300</v>
      </c>
      <c r="M208" s="11" t="s">
        <v>33</v>
      </c>
      <c r="N208" s="11" t="s">
        <v>34</v>
      </c>
      <c r="O208" s="11" t="s">
        <v>57</v>
      </c>
      <c r="P208" s="11" t="s">
        <v>366</v>
      </c>
      <c r="Q208" s="108"/>
      <c r="R208" s="13"/>
      <c r="S208" s="13"/>
      <c r="T208" s="11" t="s">
        <v>67</v>
      </c>
      <c r="U208" s="202">
        <v>46134</v>
      </c>
      <c r="V208" s="41" t="s">
        <v>744</v>
      </c>
      <c r="W208" s="23" t="s">
        <v>40</v>
      </c>
      <c r="X208" s="14">
        <v>46139</v>
      </c>
      <c r="Y208" s="14">
        <v>46141</v>
      </c>
      <c r="Z208" s="15">
        <v>145896</v>
      </c>
      <c r="AB208" s="10">
        <v>0</v>
      </c>
    </row>
    <row r="209" spans="1:28" ht="15.75" hidden="1" customHeight="1">
      <c r="A209" s="92">
        <v>29947</v>
      </c>
      <c r="B209" s="91">
        <v>1</v>
      </c>
      <c r="C209" s="195">
        <v>46128</v>
      </c>
      <c r="D209" s="91">
        <f t="shared" ca="1" si="10"/>
        <v>99</v>
      </c>
      <c r="E209" s="138" t="str">
        <f t="shared" si="9"/>
        <v>ADMITIDO</v>
      </c>
      <c r="F209" s="96" t="s">
        <v>42</v>
      </c>
      <c r="G209" s="19" t="s">
        <v>29</v>
      </c>
      <c r="H209" s="117" t="s">
        <v>40</v>
      </c>
      <c r="I209" s="19" t="str">
        <f>IF(W209="ADMITIDO","ADMITIDO",IF(W209="CANCELADA","CANCELADA",IF(H209="","",IFERROR(_xlfn.XLOOKUP(H209,Listas!I:I,Listas!J:J),"OUTROS"))))</f>
        <v>ADMITIDO</v>
      </c>
      <c r="J209" s="12" t="s">
        <v>53</v>
      </c>
      <c r="K209" s="11" t="s">
        <v>228</v>
      </c>
      <c r="L209" s="11" t="s">
        <v>164</v>
      </c>
      <c r="M209" s="11" t="s">
        <v>88</v>
      </c>
      <c r="N209" s="11" t="s">
        <v>34</v>
      </c>
      <c r="O209" s="11" t="s">
        <v>57</v>
      </c>
      <c r="P209" s="11" t="s">
        <v>231</v>
      </c>
      <c r="Q209" s="108"/>
      <c r="R209" s="13"/>
      <c r="S209" s="13"/>
      <c r="T209" s="117" t="s">
        <v>38</v>
      </c>
      <c r="U209" s="216">
        <v>46134</v>
      </c>
      <c r="V209" s="118" t="s">
        <v>745</v>
      </c>
      <c r="W209" s="119" t="s">
        <v>40</v>
      </c>
      <c r="X209" s="120">
        <v>46141</v>
      </c>
      <c r="Y209" s="120">
        <v>46142</v>
      </c>
      <c r="Z209" s="121">
        <v>145989</v>
      </c>
      <c r="AB209" s="10">
        <v>0</v>
      </c>
    </row>
    <row r="210" spans="1:28" ht="15.75" hidden="1" customHeight="1">
      <c r="A210" s="92">
        <v>29937</v>
      </c>
      <c r="B210" s="91">
        <v>1</v>
      </c>
      <c r="C210" s="195">
        <v>46128</v>
      </c>
      <c r="D210" s="91">
        <f t="shared" ca="1" si="10"/>
        <v>99</v>
      </c>
      <c r="E210" s="138" t="str">
        <f t="shared" si="9"/>
        <v>CANCELADA</v>
      </c>
      <c r="F210" s="96" t="s">
        <v>42</v>
      </c>
      <c r="G210" s="19" t="s">
        <v>29</v>
      </c>
      <c r="H210" s="117" t="s">
        <v>52</v>
      </c>
      <c r="I210" s="19" t="str">
        <f>IF(W210="ADMITIDO","ADMITIDO",IF(W210="CANCELADA","CANCELADA",IF(H210="","",IFERROR(_xlfn.XLOOKUP(H210,Listas!I:I,Listas!J:J),"OUTROS"))))</f>
        <v>CANCELADA</v>
      </c>
      <c r="J210" s="12" t="s">
        <v>746</v>
      </c>
      <c r="K210" s="11" t="s">
        <v>228</v>
      </c>
      <c r="L210" s="11" t="s">
        <v>164</v>
      </c>
      <c r="M210" s="11" t="s">
        <v>88</v>
      </c>
      <c r="N210" s="11" t="s">
        <v>34</v>
      </c>
      <c r="O210" s="11" t="s">
        <v>48</v>
      </c>
      <c r="P210" s="11" t="s">
        <v>120</v>
      </c>
      <c r="Q210" s="108"/>
      <c r="R210" s="13"/>
      <c r="S210" s="13"/>
      <c r="W210" s="23" t="s">
        <v>52</v>
      </c>
      <c r="Z210" s="15"/>
      <c r="AB210" s="10">
        <v>0</v>
      </c>
    </row>
    <row r="211" spans="1:28" ht="15.75" hidden="1" customHeight="1">
      <c r="A211" s="92">
        <v>29939</v>
      </c>
      <c r="B211" s="91">
        <v>1</v>
      </c>
      <c r="C211" s="195">
        <v>46128</v>
      </c>
      <c r="D211" s="91">
        <f t="shared" ca="1" si="10"/>
        <v>99</v>
      </c>
      <c r="E211" s="138" t="str">
        <f t="shared" ca="1" si="9"/>
        <v>CRÍTICO</v>
      </c>
      <c r="F211" s="96" t="s">
        <v>42</v>
      </c>
      <c r="G211" s="19" t="s">
        <v>69</v>
      </c>
      <c r="H211" s="19" t="s">
        <v>214</v>
      </c>
      <c r="I211" s="19" t="str">
        <f>IF(W211="ADMITIDO","ADMITIDO",IF(W211="CANCELADA","CANCELADA",IF(H211="","",IFERROR(_xlfn.XLOOKUP(H211,Listas!I:I,Listas!J:J),"OUTROS"))))</f>
        <v>TRIAGEM</v>
      </c>
      <c r="J211" s="12" t="s">
        <v>53</v>
      </c>
      <c r="K211" s="11" t="s">
        <v>70</v>
      </c>
      <c r="L211" s="11" t="s">
        <v>747</v>
      </c>
      <c r="M211" s="11" t="s">
        <v>63</v>
      </c>
      <c r="N211" s="11" t="s">
        <v>34</v>
      </c>
      <c r="O211" s="11" t="s">
        <v>57</v>
      </c>
      <c r="P211" s="11" t="s">
        <v>349</v>
      </c>
      <c r="Q211" s="108" t="s">
        <v>748</v>
      </c>
      <c r="R211" s="13"/>
      <c r="S211" s="13"/>
      <c r="Z211" s="15"/>
      <c r="AA211" s="149" t="s">
        <v>749</v>
      </c>
      <c r="AB211" s="10">
        <v>0</v>
      </c>
    </row>
    <row r="212" spans="1:28" ht="15.75" hidden="1" customHeight="1">
      <c r="A212" s="90">
        <v>29934</v>
      </c>
      <c r="B212" s="91">
        <v>1</v>
      </c>
      <c r="C212" s="195">
        <v>46128</v>
      </c>
      <c r="D212" s="91">
        <f t="shared" ca="1" si="10"/>
        <v>99</v>
      </c>
      <c r="E212" s="138" t="str">
        <f t="shared" si="9"/>
        <v>ADMITIDO</v>
      </c>
      <c r="F212" s="96" t="s">
        <v>42</v>
      </c>
      <c r="G212" s="19" t="s">
        <v>60</v>
      </c>
      <c r="H212" s="117" t="s">
        <v>40</v>
      </c>
      <c r="I212" s="19" t="str">
        <f>IF(W212="ADMITIDO","ADMITIDO",IF(W212="CANCELADA","CANCELADA",IF(H212="","",IFERROR(_xlfn.XLOOKUP(H212,Listas!I:I,Listas!J:J),"OUTROS"))))</f>
        <v>ADMITIDO</v>
      </c>
      <c r="J212" s="12" t="s">
        <v>53</v>
      </c>
      <c r="K212" s="11" t="s">
        <v>61</v>
      </c>
      <c r="L212" s="11" t="s">
        <v>750</v>
      </c>
      <c r="M212" s="11" t="s">
        <v>63</v>
      </c>
      <c r="N212" s="11" t="s">
        <v>34</v>
      </c>
      <c r="O212" s="11" t="s">
        <v>57</v>
      </c>
      <c r="P212" s="11" t="s">
        <v>751</v>
      </c>
      <c r="Q212" s="108" t="s">
        <v>752</v>
      </c>
      <c r="R212" s="13" t="s">
        <v>626</v>
      </c>
      <c r="S212" s="13" t="s">
        <v>753</v>
      </c>
      <c r="T212" s="38" t="s">
        <v>76</v>
      </c>
      <c r="U212" s="211">
        <v>46149</v>
      </c>
      <c r="V212" s="49" t="s">
        <v>754</v>
      </c>
      <c r="W212" s="129" t="s">
        <v>40</v>
      </c>
      <c r="X212" s="14">
        <v>46153</v>
      </c>
      <c r="Y212" s="14">
        <v>46154</v>
      </c>
      <c r="Z212" s="15">
        <v>145941</v>
      </c>
      <c r="AA212" s="149" t="s">
        <v>755</v>
      </c>
      <c r="AB212" s="10">
        <v>0</v>
      </c>
    </row>
    <row r="213" spans="1:28" ht="15.75" hidden="1" customHeight="1">
      <c r="A213" s="92">
        <v>29933</v>
      </c>
      <c r="B213" s="91">
        <v>1</v>
      </c>
      <c r="C213" s="195">
        <v>46128</v>
      </c>
      <c r="D213" s="91">
        <f t="shared" ca="1" si="10"/>
        <v>99</v>
      </c>
      <c r="E213" s="138" t="str">
        <f t="shared" si="9"/>
        <v>CANCELADA</v>
      </c>
      <c r="F213" s="96" t="s">
        <v>42</v>
      </c>
      <c r="G213" s="19" t="s">
        <v>60</v>
      </c>
      <c r="H213" s="117" t="s">
        <v>52</v>
      </c>
      <c r="I213" s="19" t="str">
        <f>IF(W213="ADMITIDO","ADMITIDO",IF(W213="CANCELADA","CANCELADA",IF(H213="","",IFERROR(_xlfn.XLOOKUP(H213,Listas!I:I,Listas!J:J),"OUTROS"))))</f>
        <v>CANCELADA</v>
      </c>
      <c r="J213" s="12" t="s">
        <v>44</v>
      </c>
      <c r="K213" s="11" t="s">
        <v>61</v>
      </c>
      <c r="L213" s="11" t="s">
        <v>750</v>
      </c>
      <c r="M213" s="11" t="s">
        <v>63</v>
      </c>
      <c r="N213" s="11" t="s">
        <v>34</v>
      </c>
      <c r="O213" s="11" t="s">
        <v>57</v>
      </c>
      <c r="P213" s="11" t="s">
        <v>432</v>
      </c>
      <c r="Q213" s="108" t="s">
        <v>756</v>
      </c>
      <c r="R213" s="13"/>
      <c r="S213" s="45"/>
      <c r="W213" s="23" t="s">
        <v>52</v>
      </c>
      <c r="X213" s="43"/>
      <c r="Z213" s="15"/>
      <c r="AA213" s="149" t="s">
        <v>757</v>
      </c>
      <c r="AB213" s="10">
        <v>0</v>
      </c>
    </row>
    <row r="214" spans="1:28" ht="15.75" hidden="1" customHeight="1">
      <c r="A214" s="92">
        <v>29932</v>
      </c>
      <c r="B214" s="91">
        <v>1</v>
      </c>
      <c r="C214" s="195">
        <v>46128</v>
      </c>
      <c r="D214" s="91">
        <f t="shared" ca="1" si="10"/>
        <v>99</v>
      </c>
      <c r="E214" s="138" t="str">
        <f t="shared" si="9"/>
        <v>ADMITIDO</v>
      </c>
      <c r="F214" s="96" t="s">
        <v>42</v>
      </c>
      <c r="G214" s="19" t="s">
        <v>60</v>
      </c>
      <c r="H214" s="19" t="s">
        <v>40</v>
      </c>
      <c r="I214" s="19" t="str">
        <f>IF(W214="ADMITIDO","ADMITIDO",IF(W214="CANCELADA","CANCELADA",IF(H214="","",IFERROR(_xlfn.XLOOKUP(H214,Listas!I:I,Listas!J:J),"OUTROS"))))</f>
        <v>ADMITIDO</v>
      </c>
      <c r="J214" s="12" t="s">
        <v>163</v>
      </c>
      <c r="K214" s="11" t="s">
        <v>61</v>
      </c>
      <c r="L214" s="11" t="s">
        <v>750</v>
      </c>
      <c r="M214" s="11" t="s">
        <v>63</v>
      </c>
      <c r="N214" s="11" t="s">
        <v>34</v>
      </c>
      <c r="O214" s="11" t="s">
        <v>57</v>
      </c>
      <c r="P214" s="11" t="s">
        <v>98</v>
      </c>
      <c r="Q214" s="108"/>
      <c r="R214" s="65" t="s">
        <v>65</v>
      </c>
      <c r="S214" s="65" t="s">
        <v>758</v>
      </c>
      <c r="T214" s="40" t="s">
        <v>76</v>
      </c>
      <c r="U214" s="212">
        <v>46140</v>
      </c>
      <c r="V214" s="53" t="s">
        <v>759</v>
      </c>
      <c r="W214" s="56" t="s">
        <v>40</v>
      </c>
      <c r="X214" s="14">
        <v>46142</v>
      </c>
      <c r="Y214" s="14">
        <v>46146</v>
      </c>
      <c r="Z214" s="15">
        <v>145908</v>
      </c>
      <c r="AB214" s="10">
        <v>0</v>
      </c>
    </row>
    <row r="215" spans="1:28" ht="15.75" hidden="1" customHeight="1">
      <c r="A215" s="90">
        <v>29936</v>
      </c>
      <c r="B215" s="91">
        <v>1</v>
      </c>
      <c r="C215" s="195">
        <v>46128</v>
      </c>
      <c r="D215" s="91">
        <f t="shared" ca="1" si="10"/>
        <v>99</v>
      </c>
      <c r="E215" s="138" t="str">
        <f t="shared" si="9"/>
        <v>ADMITIDO</v>
      </c>
      <c r="F215" s="96" t="s">
        <v>28</v>
      </c>
      <c r="G215" s="19" t="s">
        <v>69</v>
      </c>
      <c r="H215" s="19" t="s">
        <v>40</v>
      </c>
      <c r="I215" s="19" t="str">
        <f>IF(W215="ADMITIDO","ADMITIDO",IF(W215="CANCELADA","CANCELADA",IF(H215="","",IFERROR(_xlfn.XLOOKUP(H215,Listas!I:I,Listas!J:J),"OUTROS"))))</f>
        <v>ADMITIDO</v>
      </c>
      <c r="J215" s="12" t="s">
        <v>146</v>
      </c>
      <c r="K215" s="11" t="s">
        <v>173</v>
      </c>
      <c r="L215" s="11" t="s">
        <v>434</v>
      </c>
      <c r="M215" s="11" t="s">
        <v>435</v>
      </c>
      <c r="N215" s="11" t="s">
        <v>56</v>
      </c>
      <c r="O215" s="11" t="s">
        <v>35</v>
      </c>
      <c r="P215" s="11" t="s">
        <v>760</v>
      </c>
      <c r="Q215" s="108"/>
      <c r="R215" s="13" t="s">
        <v>373</v>
      </c>
      <c r="S215" s="13" t="s">
        <v>761</v>
      </c>
      <c r="T215" s="11" t="s">
        <v>132</v>
      </c>
      <c r="U215" s="202">
        <v>46135</v>
      </c>
      <c r="V215" s="41" t="s">
        <v>762</v>
      </c>
      <c r="W215" s="23" t="s">
        <v>40</v>
      </c>
      <c r="X215" s="14">
        <v>46139</v>
      </c>
      <c r="Y215" s="14">
        <v>46141</v>
      </c>
      <c r="Z215" s="15">
        <v>914179</v>
      </c>
      <c r="AB215" s="10">
        <v>0</v>
      </c>
    </row>
    <row r="216" spans="1:28" ht="15.75" hidden="1" customHeight="1">
      <c r="A216" s="92">
        <v>29931</v>
      </c>
      <c r="B216" s="91">
        <v>1</v>
      </c>
      <c r="C216" s="195">
        <v>46128</v>
      </c>
      <c r="D216" s="91">
        <f t="shared" ca="1" si="10"/>
        <v>99</v>
      </c>
      <c r="E216" s="138" t="str">
        <f t="shared" ca="1" si="9"/>
        <v>CRÍTICO</v>
      </c>
      <c r="F216" s="96" t="s">
        <v>42</v>
      </c>
      <c r="G216" s="19" t="s">
        <v>60</v>
      </c>
      <c r="H216" s="19" t="s">
        <v>91</v>
      </c>
      <c r="I216" s="19" t="str">
        <f>IF(W216="ADMITIDO","ADMITIDO",IF(W216="CANCELADA","CANCELADA",IF(H216="","",IFERROR(_xlfn.XLOOKUP(H216,Listas!I:I,Listas!J:J),"OUTROS"))))</f>
        <v>TRIAGEM</v>
      </c>
      <c r="J216" s="12" t="s">
        <v>53</v>
      </c>
      <c r="K216" s="11" t="s">
        <v>61</v>
      </c>
      <c r="L216" s="11" t="s">
        <v>600</v>
      </c>
      <c r="M216" s="11" t="s">
        <v>63</v>
      </c>
      <c r="N216" s="11" t="s">
        <v>34</v>
      </c>
      <c r="O216" s="11" t="s">
        <v>72</v>
      </c>
      <c r="P216" s="11" t="s">
        <v>73</v>
      </c>
      <c r="Q216" s="108"/>
      <c r="R216" s="13"/>
      <c r="S216" s="13"/>
      <c r="W216" s="44"/>
      <c r="Z216" s="15"/>
      <c r="AB216" s="10">
        <v>0</v>
      </c>
    </row>
    <row r="217" spans="1:28" ht="15.75" hidden="1" customHeight="1">
      <c r="A217" s="90">
        <v>29942</v>
      </c>
      <c r="B217" s="91">
        <v>1</v>
      </c>
      <c r="C217" s="195">
        <v>46128</v>
      </c>
      <c r="D217" s="91">
        <f t="shared" ca="1" si="10"/>
        <v>99</v>
      </c>
      <c r="E217" s="138" t="str">
        <f t="shared" si="9"/>
        <v>ADMITIDO</v>
      </c>
      <c r="F217" s="96" t="s">
        <v>28</v>
      </c>
      <c r="G217" s="19" t="s">
        <v>29</v>
      </c>
      <c r="H217" s="19" t="s">
        <v>40</v>
      </c>
      <c r="I217" s="19" t="str">
        <f>IF(W217="ADMITIDO","ADMITIDO",IF(W217="CANCELADA","CANCELADA",IF(H217="","",IFERROR(_xlfn.XLOOKUP(H217,Listas!I:I,Listas!J:J),"OUTROS"))))</f>
        <v>ADMITIDO</v>
      </c>
      <c r="J217" s="12" t="s">
        <v>609</v>
      </c>
      <c r="K217" s="11" t="s">
        <v>31</v>
      </c>
      <c r="L217" s="11" t="s">
        <v>92</v>
      </c>
      <c r="M217" s="11" t="s">
        <v>93</v>
      </c>
      <c r="N217" s="11" t="s">
        <v>34</v>
      </c>
      <c r="O217" s="11" t="s">
        <v>35</v>
      </c>
      <c r="P217" s="11" t="s">
        <v>36</v>
      </c>
      <c r="Q217" s="108"/>
      <c r="R217" s="13"/>
      <c r="S217" s="13" t="s">
        <v>763</v>
      </c>
      <c r="T217" s="11" t="s">
        <v>38</v>
      </c>
      <c r="U217" s="202">
        <v>46135</v>
      </c>
      <c r="V217" s="42" t="s">
        <v>764</v>
      </c>
      <c r="W217" s="23" t="s">
        <v>40</v>
      </c>
      <c r="X217" s="43">
        <v>46141</v>
      </c>
      <c r="Y217" s="14">
        <v>46142</v>
      </c>
      <c r="Z217" s="15">
        <v>914189</v>
      </c>
      <c r="AA217" s="45"/>
      <c r="AB217" s="10">
        <v>0</v>
      </c>
    </row>
    <row r="218" spans="1:28" ht="15.75" hidden="1" customHeight="1">
      <c r="A218" s="92">
        <v>29946</v>
      </c>
      <c r="B218" s="91">
        <v>1</v>
      </c>
      <c r="C218" s="195">
        <v>46128</v>
      </c>
      <c r="D218" s="91">
        <f t="shared" ca="1" si="10"/>
        <v>99</v>
      </c>
      <c r="E218" s="138" t="str">
        <f t="shared" si="9"/>
        <v>ADMITIDO</v>
      </c>
      <c r="F218" s="96" t="s">
        <v>28</v>
      </c>
      <c r="G218" s="19" t="s">
        <v>240</v>
      </c>
      <c r="H218" s="19" t="s">
        <v>40</v>
      </c>
      <c r="I218" s="19" t="str">
        <f>IF(W218="ADMITIDO","ADMITIDO",IF(W218="CANCELADA","CANCELADA",IF(H218="","",IFERROR(_xlfn.XLOOKUP(H218,Listas!I:I,Listas!J:J),"OUTROS"))))</f>
        <v>ADMITIDO</v>
      </c>
      <c r="J218" s="12" t="s">
        <v>448</v>
      </c>
      <c r="K218" s="11" t="s">
        <v>423</v>
      </c>
      <c r="L218" s="11" t="s">
        <v>449</v>
      </c>
      <c r="M218" s="11" t="s">
        <v>63</v>
      </c>
      <c r="N218" s="11" t="s">
        <v>34</v>
      </c>
      <c r="O218" s="11" t="s">
        <v>48</v>
      </c>
      <c r="P218" s="11" t="s">
        <v>450</v>
      </c>
      <c r="Q218" s="108"/>
      <c r="R218" s="13"/>
      <c r="S218" s="13" t="s">
        <v>765</v>
      </c>
      <c r="T218" s="38" t="s">
        <v>132</v>
      </c>
      <c r="U218" s="211">
        <v>46129</v>
      </c>
      <c r="V218" s="49" t="s">
        <v>766</v>
      </c>
      <c r="W218" s="173" t="s">
        <v>40</v>
      </c>
      <c r="X218" s="14">
        <v>46134</v>
      </c>
      <c r="Y218" s="14">
        <v>46135</v>
      </c>
      <c r="Z218" s="15">
        <v>914154</v>
      </c>
      <c r="AB218" s="10">
        <v>0</v>
      </c>
    </row>
    <row r="219" spans="1:28" ht="15.75" hidden="1" customHeight="1">
      <c r="A219" s="92">
        <v>29948</v>
      </c>
      <c r="B219" s="91">
        <v>1</v>
      </c>
      <c r="C219" s="195">
        <v>46128</v>
      </c>
      <c r="D219" s="91">
        <f t="shared" ca="1" si="10"/>
        <v>99</v>
      </c>
      <c r="E219" s="138" t="str">
        <f t="shared" si="9"/>
        <v>CANCELADA</v>
      </c>
      <c r="F219" s="96" t="s">
        <v>28</v>
      </c>
      <c r="G219" s="19" t="s">
        <v>767</v>
      </c>
      <c r="H219" s="19" t="s">
        <v>52</v>
      </c>
      <c r="I219" s="19" t="str">
        <f>IF(W219="ADMITIDO","ADMITIDO",IF(W219="CANCELADA","CANCELADA",IF(H219="","",IFERROR(_xlfn.XLOOKUP(H219,Listas!I:I,Listas!J:J),"OUTROS"))))</f>
        <v>CANCELADA</v>
      </c>
      <c r="J219" s="12" t="s">
        <v>146</v>
      </c>
      <c r="K219" s="11" t="s">
        <v>439</v>
      </c>
      <c r="L219" s="11" t="s">
        <v>768</v>
      </c>
      <c r="M219" s="11" t="s">
        <v>63</v>
      </c>
      <c r="N219" s="11" t="s">
        <v>56</v>
      </c>
      <c r="O219" s="11" t="s">
        <v>35</v>
      </c>
      <c r="P219" s="11" t="s">
        <v>176</v>
      </c>
      <c r="Q219" s="108"/>
      <c r="R219" s="13"/>
      <c r="S219" s="45"/>
      <c r="V219" s="49"/>
      <c r="W219" s="23" t="s">
        <v>52</v>
      </c>
      <c r="X219" s="43"/>
      <c r="Z219" s="15"/>
      <c r="AB219" s="10">
        <v>0</v>
      </c>
    </row>
    <row r="220" spans="1:28" ht="15.75" hidden="1" customHeight="1">
      <c r="A220" s="92">
        <v>29940</v>
      </c>
      <c r="B220" s="91">
        <v>1</v>
      </c>
      <c r="C220" s="195">
        <v>46128</v>
      </c>
      <c r="D220" s="91">
        <f t="shared" ca="1" si="10"/>
        <v>99</v>
      </c>
      <c r="E220" s="138" t="str">
        <f t="shared" ca="1" si="9"/>
        <v>CRÍTICO</v>
      </c>
      <c r="F220" s="96" t="s">
        <v>42</v>
      </c>
      <c r="G220" s="19" t="s">
        <v>69</v>
      </c>
      <c r="H220" s="19" t="s">
        <v>279</v>
      </c>
      <c r="I220" s="19" t="str">
        <f>IF(W220="ADMITIDO","ADMITIDO",IF(W220="CANCELADA","CANCELADA",IF(H220="","",IFERROR(_xlfn.XLOOKUP(H220,Listas!I:I,Listas!J:J),"OUTROS"))))</f>
        <v>DOCUMENTAÇÃO</v>
      </c>
      <c r="J220" s="12" t="s">
        <v>53</v>
      </c>
      <c r="K220" s="11" t="s">
        <v>70</v>
      </c>
      <c r="L220" s="11" t="s">
        <v>769</v>
      </c>
      <c r="M220" s="11" t="s">
        <v>63</v>
      </c>
      <c r="N220" s="11" t="s">
        <v>34</v>
      </c>
      <c r="O220" s="11" t="s">
        <v>48</v>
      </c>
      <c r="P220" s="11" t="s">
        <v>49</v>
      </c>
      <c r="Q220" s="108"/>
      <c r="R220" s="13" t="s">
        <v>65</v>
      </c>
      <c r="S220" s="13"/>
      <c r="T220" s="40"/>
      <c r="U220" s="217"/>
      <c r="W220" s="209"/>
      <c r="Z220" s="15"/>
      <c r="AA220" s="45" t="s">
        <v>770</v>
      </c>
      <c r="AB220" s="10">
        <v>0</v>
      </c>
    </row>
    <row r="221" spans="1:28" ht="15.75" hidden="1" customHeight="1">
      <c r="A221" s="92">
        <v>29956</v>
      </c>
      <c r="B221" s="91">
        <v>1</v>
      </c>
      <c r="C221" s="195">
        <v>46129</v>
      </c>
      <c r="D221" s="91">
        <f t="shared" ca="1" si="10"/>
        <v>98</v>
      </c>
      <c r="E221" s="138" t="str">
        <f t="shared" ca="1" si="9"/>
        <v>CRÍTICO</v>
      </c>
      <c r="F221" s="96" t="s">
        <v>42</v>
      </c>
      <c r="G221" s="19" t="s">
        <v>43</v>
      </c>
      <c r="H221" s="19" t="s">
        <v>181</v>
      </c>
      <c r="I221" s="19" t="str">
        <f>IF(W221="ADMITIDO","ADMITIDO",IF(W221="CANCELADA","CANCELADA",IF(H221="","",IFERROR(_xlfn.XLOOKUP(H221,Listas!I:I,Listas!J:J),"OUTROS"))))</f>
        <v>DOCUMENTAÇÃO</v>
      </c>
      <c r="J221" s="12" t="s">
        <v>44</v>
      </c>
      <c r="K221" s="11" t="s">
        <v>45</v>
      </c>
      <c r="L221" s="11" t="s">
        <v>771</v>
      </c>
      <c r="M221" s="11" t="s">
        <v>97</v>
      </c>
      <c r="N221" s="11" t="s">
        <v>34</v>
      </c>
      <c r="O221" s="11" t="s">
        <v>48</v>
      </c>
      <c r="P221" s="11" t="s">
        <v>49</v>
      </c>
      <c r="Q221" s="108"/>
      <c r="R221" s="13" t="s">
        <v>772</v>
      </c>
      <c r="S221" s="17">
        <v>11945639837</v>
      </c>
      <c r="T221" s="38" t="s">
        <v>50</v>
      </c>
      <c r="U221" s="215" t="s">
        <v>773</v>
      </c>
      <c r="V221" s="41" t="s">
        <v>774</v>
      </c>
      <c r="W221" s="131"/>
      <c r="Z221" s="15"/>
      <c r="AB221" s="10">
        <v>0</v>
      </c>
    </row>
    <row r="222" spans="1:28" ht="15.75" hidden="1" customHeight="1">
      <c r="A222" s="92">
        <v>29954</v>
      </c>
      <c r="B222" s="91">
        <v>1</v>
      </c>
      <c r="C222" s="195">
        <v>46129</v>
      </c>
      <c r="D222" s="91">
        <f t="shared" ca="1" si="10"/>
        <v>98</v>
      </c>
      <c r="E222" s="138" t="str">
        <f t="shared" si="9"/>
        <v>CANCELADA</v>
      </c>
      <c r="F222" s="96" t="s">
        <v>42</v>
      </c>
      <c r="G222" s="19" t="s">
        <v>240</v>
      </c>
      <c r="H222" s="19" t="s">
        <v>52</v>
      </c>
      <c r="I222" s="19" t="str">
        <f>IF(W222="ADMITIDO","ADMITIDO",IF(W222="CANCELADA","CANCELADA",IF(H222="","",IFERROR(_xlfn.XLOOKUP(H222,Listas!I:I,Listas!J:J),"OUTROS"))))</f>
        <v>CANCELADA</v>
      </c>
      <c r="J222" s="12" t="s">
        <v>53</v>
      </c>
      <c r="K222" s="11" t="s">
        <v>241</v>
      </c>
      <c r="L222" s="11" t="s">
        <v>775</v>
      </c>
      <c r="M222" s="11" t="s">
        <v>63</v>
      </c>
      <c r="N222" s="11" t="s">
        <v>34</v>
      </c>
      <c r="O222" s="11" t="s">
        <v>48</v>
      </c>
      <c r="P222" s="11" t="s">
        <v>131</v>
      </c>
      <c r="Q222" s="108" t="s">
        <v>365</v>
      </c>
      <c r="R222" s="13"/>
      <c r="S222" s="45"/>
      <c r="V222" s="53"/>
      <c r="W222" s="23" t="s">
        <v>52</v>
      </c>
      <c r="X222" s="43"/>
      <c r="Z222" s="15"/>
      <c r="AB222" s="10">
        <v>0</v>
      </c>
    </row>
    <row r="223" spans="1:28" ht="15.75" hidden="1" customHeight="1">
      <c r="A223" s="90">
        <v>29950</v>
      </c>
      <c r="B223" s="91">
        <v>1</v>
      </c>
      <c r="C223" s="195">
        <v>46129</v>
      </c>
      <c r="D223" s="91">
        <f t="shared" ca="1" si="10"/>
        <v>98</v>
      </c>
      <c r="E223" s="138" t="str">
        <f t="shared" si="9"/>
        <v>ADMITIDO</v>
      </c>
      <c r="F223" s="96" t="s">
        <v>28</v>
      </c>
      <c r="G223" s="19" t="s">
        <v>102</v>
      </c>
      <c r="H223" s="19" t="s">
        <v>40</v>
      </c>
      <c r="I223" s="19" t="str">
        <f>IF(W223="ADMITIDO","ADMITIDO",IF(W223="CANCELADA","CANCELADA",IF(H223="","",IFERROR(_xlfn.XLOOKUP(H223,Listas!I:I,Listas!J:J),"OUTROS"))))</f>
        <v>ADMITIDO</v>
      </c>
      <c r="J223" s="12" t="s">
        <v>683</v>
      </c>
      <c r="K223" s="11" t="s">
        <v>371</v>
      </c>
      <c r="L223" s="11" t="s">
        <v>776</v>
      </c>
      <c r="M223" s="11" t="s">
        <v>391</v>
      </c>
      <c r="N223" s="11" t="s">
        <v>34</v>
      </c>
      <c r="O223" s="11" t="s">
        <v>35</v>
      </c>
      <c r="P223" s="11" t="s">
        <v>36</v>
      </c>
      <c r="Q223" s="108" t="s">
        <v>777</v>
      </c>
      <c r="R223" s="13" t="s">
        <v>107</v>
      </c>
      <c r="S223" s="13"/>
      <c r="T223" s="40" t="s">
        <v>67</v>
      </c>
      <c r="U223" s="212">
        <v>46135</v>
      </c>
      <c r="V223" s="53" t="s">
        <v>778</v>
      </c>
      <c r="W223" s="56" t="s">
        <v>40</v>
      </c>
      <c r="X223" s="14">
        <v>46139</v>
      </c>
      <c r="Y223" s="14">
        <v>46140</v>
      </c>
      <c r="Z223" s="15">
        <v>914184</v>
      </c>
      <c r="AB223" s="10">
        <v>0</v>
      </c>
    </row>
    <row r="224" spans="1:28" ht="15.75" hidden="1" customHeight="1">
      <c r="A224" s="90">
        <v>29887</v>
      </c>
      <c r="B224" s="91">
        <v>1</v>
      </c>
      <c r="C224" s="195">
        <v>46129</v>
      </c>
      <c r="D224" s="91">
        <f t="shared" ca="1" si="10"/>
        <v>98</v>
      </c>
      <c r="E224" s="138" t="str">
        <f t="shared" si="9"/>
        <v>ADMITIDO</v>
      </c>
      <c r="F224" s="96" t="s">
        <v>28</v>
      </c>
      <c r="G224" s="19" t="s">
        <v>145</v>
      </c>
      <c r="H224" s="19" t="s">
        <v>40</v>
      </c>
      <c r="I224" s="19" t="str">
        <f>IF(W224="ADMITIDO","ADMITIDO",IF(W224="CANCELADA","CANCELADA",IF(H224="","",IFERROR(_xlfn.XLOOKUP(H224,Listas!I:I,Listas!J:J),"OUTROS"))))</f>
        <v>ADMITIDO</v>
      </c>
      <c r="J224" s="12" t="s">
        <v>586</v>
      </c>
      <c r="K224" s="11" t="s">
        <v>86</v>
      </c>
      <c r="L224" s="11" t="s">
        <v>741</v>
      </c>
      <c r="M224" s="11" t="s">
        <v>88</v>
      </c>
      <c r="N224" s="11" t="s">
        <v>34</v>
      </c>
      <c r="O224" s="11" t="s">
        <v>35</v>
      </c>
      <c r="P224" s="11" t="s">
        <v>287</v>
      </c>
      <c r="Q224" s="115"/>
      <c r="R224" s="26"/>
      <c r="S224" s="17" t="s">
        <v>779</v>
      </c>
      <c r="T224" s="11" t="s">
        <v>38</v>
      </c>
      <c r="U224" s="202">
        <v>46134</v>
      </c>
      <c r="V224" s="41" t="s">
        <v>780</v>
      </c>
      <c r="W224" s="23" t="s">
        <v>40</v>
      </c>
      <c r="X224" s="14">
        <v>46136</v>
      </c>
      <c r="Y224" s="14">
        <v>46137</v>
      </c>
      <c r="Z224" s="15">
        <v>914182</v>
      </c>
      <c r="AA224" s="45"/>
      <c r="AB224" s="10">
        <v>0</v>
      </c>
    </row>
    <row r="225" spans="1:28" ht="15.75" hidden="1" customHeight="1">
      <c r="A225" s="100">
        <v>29976</v>
      </c>
      <c r="B225" s="10">
        <v>1</v>
      </c>
      <c r="C225" s="63">
        <v>46132</v>
      </c>
      <c r="D225" s="91">
        <f t="shared" ca="1" si="10"/>
        <v>95</v>
      </c>
      <c r="E225" s="138" t="str">
        <f t="shared" ca="1" si="9"/>
        <v>CRÍTICO</v>
      </c>
      <c r="F225" s="19" t="s">
        <v>42</v>
      </c>
      <c r="G225" s="19" t="s">
        <v>60</v>
      </c>
      <c r="H225" s="19" t="s">
        <v>781</v>
      </c>
      <c r="I225" s="117" t="str">
        <f>IF(W225="ADMITIDO","ADMITIDO",IF(W225="CANCELADA","CANCELADA",IF(H225="","",IFERROR(_xlfn.XLOOKUP(H225,Listas!I:I,Listas!J:J),"OUTROS"))))</f>
        <v>ENTREVISTA OPS</v>
      </c>
      <c r="J225" s="12" t="s">
        <v>782</v>
      </c>
      <c r="K225" s="11" t="s">
        <v>61</v>
      </c>
      <c r="L225" s="11" t="s">
        <v>556</v>
      </c>
      <c r="M225" s="11" t="s">
        <v>63</v>
      </c>
      <c r="N225" s="11" t="s">
        <v>34</v>
      </c>
      <c r="O225" s="11" t="s">
        <v>57</v>
      </c>
      <c r="P225" s="11" t="s">
        <v>783</v>
      </c>
      <c r="Q225" s="108" t="s">
        <v>784</v>
      </c>
      <c r="S225" s="18"/>
      <c r="Z225" s="15"/>
      <c r="AB225" s="10">
        <v>0</v>
      </c>
    </row>
    <row r="226" spans="1:28" ht="15.75" hidden="1" customHeight="1">
      <c r="A226" s="101">
        <v>29973</v>
      </c>
      <c r="B226" s="10">
        <v>1</v>
      </c>
      <c r="C226" s="63">
        <v>46132</v>
      </c>
      <c r="D226" s="91">
        <f t="shared" ca="1" si="10"/>
        <v>95</v>
      </c>
      <c r="E226" s="138" t="str">
        <f t="shared" si="9"/>
        <v>ADMITIDO</v>
      </c>
      <c r="F226" s="19" t="s">
        <v>42</v>
      </c>
      <c r="G226" s="34" t="s">
        <v>43</v>
      </c>
      <c r="H226" s="19" t="s">
        <v>40</v>
      </c>
      <c r="I226" s="19" t="str">
        <f>IF(W226="ADMITIDO","ADMITIDO",IF(W226="CANCELADA","CANCELADA",IF(H226="","",IFERROR(_xlfn.XLOOKUP(H226,Listas!I:I,Listas!J:J),"OUTROS"))))</f>
        <v>ADMITIDO</v>
      </c>
      <c r="J226" s="12" t="s">
        <v>53</v>
      </c>
      <c r="K226" s="11" t="s">
        <v>45</v>
      </c>
      <c r="L226" s="11" t="s">
        <v>377</v>
      </c>
      <c r="M226" s="11" t="s">
        <v>378</v>
      </c>
      <c r="N226" s="11" t="s">
        <v>56</v>
      </c>
      <c r="O226" s="11" t="s">
        <v>35</v>
      </c>
      <c r="P226" s="11" t="s">
        <v>357</v>
      </c>
      <c r="Q226" s="108"/>
      <c r="S226" s="18">
        <v>11948411061</v>
      </c>
      <c r="T226" s="11" t="s">
        <v>67</v>
      </c>
      <c r="U226" s="202">
        <v>46148</v>
      </c>
      <c r="V226" s="41" t="s">
        <v>785</v>
      </c>
      <c r="W226" s="59" t="s">
        <v>40</v>
      </c>
      <c r="X226" s="14">
        <v>46157</v>
      </c>
      <c r="Y226" s="14">
        <v>46159</v>
      </c>
      <c r="Z226" s="15">
        <v>145970</v>
      </c>
      <c r="AA226" s="149" t="s">
        <v>786</v>
      </c>
      <c r="AB226" s="10">
        <v>0</v>
      </c>
    </row>
    <row r="227" spans="1:28" ht="15.75" hidden="1" customHeight="1">
      <c r="A227" s="101">
        <v>29978</v>
      </c>
      <c r="B227" s="10">
        <v>1</v>
      </c>
      <c r="C227" s="63">
        <v>46132</v>
      </c>
      <c r="D227" s="91">
        <f t="shared" ca="1" si="10"/>
        <v>95</v>
      </c>
      <c r="E227" s="138" t="str">
        <f t="shared" si="9"/>
        <v>ADMITIDO</v>
      </c>
      <c r="F227" s="19" t="s">
        <v>171</v>
      </c>
      <c r="G227" s="34" t="s">
        <v>43</v>
      </c>
      <c r="H227" s="19" t="s">
        <v>40</v>
      </c>
      <c r="I227" s="19" t="str">
        <f>IF(W227="ADMITIDO","ADMITIDO",IF(W227="CANCELADA","CANCELADA",IF(H227="","",IFERROR(_xlfn.XLOOKUP(H227,Listas!I:I,Listas!J:J),"OUTROS"))))</f>
        <v>ADMITIDO</v>
      </c>
      <c r="J227" s="12" t="s">
        <v>787</v>
      </c>
      <c r="K227" s="11" t="s">
        <v>360</v>
      </c>
      <c r="L227" s="11" t="s">
        <v>788</v>
      </c>
      <c r="M227" s="11" t="s">
        <v>337</v>
      </c>
      <c r="N227" s="11" t="s">
        <v>34</v>
      </c>
      <c r="O227" s="11" t="s">
        <v>35</v>
      </c>
      <c r="P227" s="11" t="s">
        <v>36</v>
      </c>
      <c r="Q227" s="108"/>
      <c r="S227" s="17">
        <v>15996946020</v>
      </c>
      <c r="T227" s="11" t="s">
        <v>67</v>
      </c>
      <c r="U227" s="202">
        <v>46135</v>
      </c>
      <c r="V227" s="41" t="s">
        <v>789</v>
      </c>
      <c r="W227" s="23" t="s">
        <v>40</v>
      </c>
      <c r="X227" s="14">
        <v>46142</v>
      </c>
      <c r="Y227" s="14">
        <v>46144</v>
      </c>
      <c r="Z227" s="15">
        <v>83276</v>
      </c>
      <c r="AB227" s="10">
        <v>0</v>
      </c>
    </row>
    <row r="228" spans="1:28" ht="15.75" hidden="1" customHeight="1">
      <c r="A228" s="101">
        <v>29982</v>
      </c>
      <c r="B228" s="10">
        <v>1</v>
      </c>
      <c r="C228" s="63">
        <v>46132</v>
      </c>
      <c r="D228" s="91">
        <f t="shared" ca="1" si="10"/>
        <v>95</v>
      </c>
      <c r="E228" s="138" t="str">
        <f t="shared" si="9"/>
        <v>ADMITIDO</v>
      </c>
      <c r="F228" s="19" t="s">
        <v>42</v>
      </c>
      <c r="G228" s="19" t="s">
        <v>29</v>
      </c>
      <c r="H228" s="19" t="s">
        <v>40</v>
      </c>
      <c r="I228" s="19" t="str">
        <f>IF(W228="ADMITIDO","ADMITIDO",IF(W228="CANCELADA","CANCELADA",IF(H228="","",IFERROR(_xlfn.XLOOKUP(H228,Listas!I:I,Listas!J:J),"OUTROS"))))</f>
        <v>ADMITIDO</v>
      </c>
      <c r="J228" s="12" t="s">
        <v>53</v>
      </c>
      <c r="K228" s="11" t="s">
        <v>347</v>
      </c>
      <c r="L228" s="11" t="s">
        <v>653</v>
      </c>
      <c r="M228" s="11" t="s">
        <v>654</v>
      </c>
      <c r="N228" s="11" t="s">
        <v>34</v>
      </c>
      <c r="O228" s="11" t="s">
        <v>57</v>
      </c>
      <c r="P228" s="11" t="s">
        <v>98</v>
      </c>
      <c r="Q228" s="108"/>
      <c r="S228" s="17" t="s">
        <v>790</v>
      </c>
      <c r="T228" s="11" t="s">
        <v>38</v>
      </c>
      <c r="U228" s="202">
        <v>46137</v>
      </c>
      <c r="V228" s="41" t="s">
        <v>791</v>
      </c>
      <c r="W228" s="23" t="s">
        <v>40</v>
      </c>
      <c r="X228" s="14">
        <v>46139</v>
      </c>
      <c r="Y228" s="14">
        <v>46140</v>
      </c>
      <c r="Z228" s="15">
        <v>145891</v>
      </c>
      <c r="AA228" s="45"/>
      <c r="AB228" s="10">
        <v>0</v>
      </c>
    </row>
    <row r="229" spans="1:28" ht="15.75" hidden="1" customHeight="1">
      <c r="A229" s="100">
        <v>29970</v>
      </c>
      <c r="B229" s="10">
        <v>1</v>
      </c>
      <c r="C229" s="63">
        <v>46132</v>
      </c>
      <c r="D229" s="91">
        <f t="shared" ca="1" si="10"/>
        <v>95</v>
      </c>
      <c r="E229" s="138" t="str">
        <f t="shared" si="9"/>
        <v>ADMITIDO</v>
      </c>
      <c r="F229" s="19" t="s">
        <v>42</v>
      </c>
      <c r="G229" s="34" t="s">
        <v>69</v>
      </c>
      <c r="H229" s="19" t="s">
        <v>40</v>
      </c>
      <c r="I229" s="19" t="str">
        <f>IF(W229="ADMITIDO","ADMITIDO",IF(W229="CANCELADA","CANCELADA",IF(H229="","",IFERROR(_xlfn.XLOOKUP(H229,Listas!I:I,Listas!J:J),"OUTROS"))))</f>
        <v>ADMITIDO</v>
      </c>
      <c r="J229" s="12" t="s">
        <v>53</v>
      </c>
      <c r="K229" s="11" t="s">
        <v>158</v>
      </c>
      <c r="L229" s="11" t="s">
        <v>658</v>
      </c>
      <c r="M229" s="11" t="s">
        <v>33</v>
      </c>
      <c r="N229" s="11" t="s">
        <v>34</v>
      </c>
      <c r="O229" s="11" t="s">
        <v>57</v>
      </c>
      <c r="P229" s="11" t="s">
        <v>98</v>
      </c>
      <c r="Q229" s="108"/>
      <c r="S229" s="18" t="s">
        <v>792</v>
      </c>
      <c r="T229" s="11" t="s">
        <v>67</v>
      </c>
      <c r="U229" s="202">
        <v>46146</v>
      </c>
      <c r="V229" s="41" t="s">
        <v>793</v>
      </c>
      <c r="W229" s="23" t="s">
        <v>40</v>
      </c>
      <c r="X229" s="14">
        <v>46148</v>
      </c>
      <c r="Y229" s="14">
        <v>46150</v>
      </c>
      <c r="Z229" s="15">
        <v>145921</v>
      </c>
      <c r="AA229" s="45"/>
      <c r="AB229" s="10">
        <v>0</v>
      </c>
    </row>
    <row r="230" spans="1:28" ht="15.75" hidden="1" customHeight="1">
      <c r="A230" s="100">
        <v>29958</v>
      </c>
      <c r="B230" s="10">
        <v>1</v>
      </c>
      <c r="C230" s="63">
        <v>46132</v>
      </c>
      <c r="D230" s="91">
        <f t="shared" ca="1" si="10"/>
        <v>95</v>
      </c>
      <c r="E230" s="138" t="str">
        <f t="shared" si="9"/>
        <v>ADMITIDO</v>
      </c>
      <c r="F230" s="19" t="s">
        <v>42</v>
      </c>
      <c r="G230" s="34" t="s">
        <v>240</v>
      </c>
      <c r="H230" s="19" t="s">
        <v>40</v>
      </c>
      <c r="I230" s="19" t="str">
        <f>IF(W230="ADMITIDO","ADMITIDO",IF(W230="CANCELADA","CANCELADA",IF(H230="","",IFERROR(_xlfn.XLOOKUP(H230,Listas!I:I,Listas!J:J),"OUTROS"))))</f>
        <v>ADMITIDO</v>
      </c>
      <c r="J230" s="12" t="s">
        <v>44</v>
      </c>
      <c r="K230" s="11" t="s">
        <v>241</v>
      </c>
      <c r="L230" s="11" t="s">
        <v>307</v>
      </c>
      <c r="M230" s="11" t="s">
        <v>243</v>
      </c>
      <c r="N230" s="11" t="s">
        <v>34</v>
      </c>
      <c r="O230" s="11" t="s">
        <v>57</v>
      </c>
      <c r="P230" s="11" t="s">
        <v>309</v>
      </c>
      <c r="Q230" s="108" t="s">
        <v>794</v>
      </c>
      <c r="R230" s="13"/>
      <c r="S230" s="17" t="s">
        <v>795</v>
      </c>
      <c r="T230" s="11" t="s">
        <v>76</v>
      </c>
      <c r="U230" s="202">
        <v>46153</v>
      </c>
      <c r="V230" s="58" t="s">
        <v>796</v>
      </c>
      <c r="W230" s="19" t="s">
        <v>40</v>
      </c>
      <c r="X230" s="14">
        <v>46155</v>
      </c>
      <c r="Y230" s="14">
        <v>46160</v>
      </c>
      <c r="Z230" s="15">
        <v>145955</v>
      </c>
      <c r="AA230" s="42" t="s">
        <v>797</v>
      </c>
      <c r="AB230" s="10">
        <v>0</v>
      </c>
    </row>
    <row r="231" spans="1:28" ht="15.75" hidden="1" customHeight="1">
      <c r="A231" s="100">
        <v>29981</v>
      </c>
      <c r="B231" s="10">
        <v>1</v>
      </c>
      <c r="C231" s="63">
        <v>46132</v>
      </c>
      <c r="D231" s="91">
        <f t="shared" ca="1" si="10"/>
        <v>95</v>
      </c>
      <c r="E231" s="138" t="str">
        <f t="shared" si="9"/>
        <v>ADMITIDO</v>
      </c>
      <c r="F231" s="19" t="s">
        <v>28</v>
      </c>
      <c r="G231" s="34" t="s">
        <v>145</v>
      </c>
      <c r="H231" s="19" t="s">
        <v>40</v>
      </c>
      <c r="I231" s="19" t="str">
        <f>IF(W231="ADMITIDO","ADMITIDO",IF(W231="CANCELADA","CANCELADA",IF(H231="","",IFERROR(_xlfn.XLOOKUP(H231,Listas!I:I,Listas!J:J),"OUTROS"))))</f>
        <v>ADMITIDO</v>
      </c>
      <c r="J231" s="12" t="s">
        <v>268</v>
      </c>
      <c r="K231" s="11" t="s">
        <v>173</v>
      </c>
      <c r="L231" s="11" t="s">
        <v>798</v>
      </c>
      <c r="M231" s="11" t="s">
        <v>175</v>
      </c>
      <c r="N231" s="11" t="s">
        <v>56</v>
      </c>
      <c r="O231" s="11" t="s">
        <v>35</v>
      </c>
      <c r="P231" s="11" t="s">
        <v>176</v>
      </c>
      <c r="Q231" s="108"/>
      <c r="S231" s="18" t="s">
        <v>799</v>
      </c>
      <c r="T231" s="11" t="s">
        <v>67</v>
      </c>
      <c r="U231" s="202">
        <v>46140</v>
      </c>
      <c r="V231" s="41" t="s">
        <v>800</v>
      </c>
      <c r="W231" s="44" t="s">
        <v>40</v>
      </c>
      <c r="X231" s="14">
        <v>46147</v>
      </c>
      <c r="Y231" s="14">
        <v>46149</v>
      </c>
      <c r="Z231" s="15">
        <v>914216</v>
      </c>
      <c r="AA231" s="45"/>
      <c r="AB231" s="10">
        <v>0</v>
      </c>
    </row>
    <row r="232" spans="1:28" ht="15.75" hidden="1" customHeight="1">
      <c r="A232" s="101">
        <v>29975</v>
      </c>
      <c r="B232" s="10">
        <v>1</v>
      </c>
      <c r="C232" s="63">
        <v>46132</v>
      </c>
      <c r="D232" s="91">
        <f t="shared" ca="1" si="10"/>
        <v>95</v>
      </c>
      <c r="E232" s="138" t="str">
        <f t="shared" si="9"/>
        <v>ADMITIDO</v>
      </c>
      <c r="F232" s="19" t="s">
        <v>28</v>
      </c>
      <c r="G232" s="34" t="s">
        <v>60</v>
      </c>
      <c r="H232" s="117" t="s">
        <v>40</v>
      </c>
      <c r="I232" s="19" t="str">
        <f>IF(W232="ADMITIDO","ADMITIDO",IF(W232="CANCELADA","CANCELADA",IF(H232="","",IFERROR(_xlfn.XLOOKUP(H232,Listas!I:I,Listas!J:J),"OUTROS"))))</f>
        <v>ADMITIDO</v>
      </c>
      <c r="J232" s="12" t="s">
        <v>586</v>
      </c>
      <c r="K232" s="11" t="s">
        <v>360</v>
      </c>
      <c r="L232" s="11" t="s">
        <v>801</v>
      </c>
      <c r="M232" s="11" t="s">
        <v>802</v>
      </c>
      <c r="N232" s="11" t="s">
        <v>34</v>
      </c>
      <c r="O232" s="11" t="s">
        <v>35</v>
      </c>
      <c r="P232" s="11" t="s">
        <v>36</v>
      </c>
      <c r="Q232" s="108" t="s">
        <v>803</v>
      </c>
      <c r="S232" s="18" t="s">
        <v>804</v>
      </c>
      <c r="T232" s="11" t="s">
        <v>67</v>
      </c>
      <c r="U232" s="202">
        <v>46148</v>
      </c>
      <c r="V232" s="64" t="s">
        <v>805</v>
      </c>
      <c r="W232" s="19" t="s">
        <v>40</v>
      </c>
      <c r="X232" s="43">
        <v>46153</v>
      </c>
      <c r="Y232" s="14">
        <v>46155</v>
      </c>
      <c r="Z232" s="15">
        <v>914263</v>
      </c>
      <c r="AB232" s="10">
        <v>0</v>
      </c>
    </row>
    <row r="233" spans="1:28" ht="15.75" hidden="1" customHeight="1">
      <c r="A233" s="100">
        <v>29967</v>
      </c>
      <c r="B233" s="10">
        <v>1</v>
      </c>
      <c r="C233" s="63">
        <v>46132</v>
      </c>
      <c r="D233" s="91">
        <f t="shared" ca="1" si="10"/>
        <v>95</v>
      </c>
      <c r="E233" s="138" t="str">
        <f t="shared" si="9"/>
        <v>ADMITIDO</v>
      </c>
      <c r="F233" s="19" t="s">
        <v>28</v>
      </c>
      <c r="G233" s="34" t="s">
        <v>145</v>
      </c>
      <c r="H233" s="117" t="s">
        <v>40</v>
      </c>
      <c r="I233" s="19" t="str">
        <f>IF(W233="ADMITIDO","ADMITIDO",IF(W233="CANCELADA","CANCELADA",IF(H233="","",IFERROR(_xlfn.XLOOKUP(H233,Listas!I:I,Listas!J:J),"OUTROS"))))</f>
        <v>ADMITIDO</v>
      </c>
      <c r="J233" s="12" t="s">
        <v>268</v>
      </c>
      <c r="K233" s="11" t="s">
        <v>423</v>
      </c>
      <c r="L233" s="11" t="s">
        <v>424</v>
      </c>
      <c r="M233" s="11" t="s">
        <v>243</v>
      </c>
      <c r="N233" s="11" t="s">
        <v>34</v>
      </c>
      <c r="O233" s="11" t="s">
        <v>35</v>
      </c>
      <c r="P233" s="11" t="s">
        <v>36</v>
      </c>
      <c r="Q233" s="108"/>
      <c r="S233" s="18"/>
      <c r="T233" s="11" t="s">
        <v>76</v>
      </c>
      <c r="U233" s="202">
        <v>46147</v>
      </c>
      <c r="V233" s="132" t="s">
        <v>806</v>
      </c>
      <c r="W233" s="19" t="s">
        <v>40</v>
      </c>
      <c r="X233" s="43">
        <v>46153</v>
      </c>
      <c r="Y233" s="14">
        <v>46155</v>
      </c>
      <c r="Z233" s="15">
        <v>914248</v>
      </c>
      <c r="AB233" s="10">
        <v>0</v>
      </c>
    </row>
    <row r="234" spans="1:28" ht="15.75" customHeight="1">
      <c r="A234" s="101">
        <v>29960</v>
      </c>
      <c r="B234" s="10">
        <v>1</v>
      </c>
      <c r="C234" s="63">
        <v>46132</v>
      </c>
      <c r="D234" s="91">
        <f t="shared" ca="1" si="10"/>
        <v>95</v>
      </c>
      <c r="E234" s="138" t="str">
        <f t="shared" ca="1" si="9"/>
        <v>CRÍTICO</v>
      </c>
      <c r="F234" s="19" t="s">
        <v>42</v>
      </c>
      <c r="G234" s="19" t="s">
        <v>29</v>
      </c>
      <c r="H234" s="19" t="s">
        <v>181</v>
      </c>
      <c r="I234" s="19" t="str">
        <f>IF(W234="ADMITIDO","ADMITIDO",IF(W234="CANCELADA","CANCELADA",IF(H234="","",IFERROR(_xlfn.XLOOKUP(H234,Listas!I:I,Listas!J:J),"OUTROS"))))</f>
        <v>DOCUMENTAÇÃO</v>
      </c>
      <c r="J234" s="12" t="s">
        <v>44</v>
      </c>
      <c r="K234" s="11" t="s">
        <v>228</v>
      </c>
      <c r="L234" s="11" t="s">
        <v>807</v>
      </c>
      <c r="M234" s="11" t="s">
        <v>88</v>
      </c>
      <c r="N234" s="11" t="s">
        <v>34</v>
      </c>
      <c r="O234" s="11" t="s">
        <v>57</v>
      </c>
      <c r="P234" s="11" t="s">
        <v>94</v>
      </c>
      <c r="Q234" s="108"/>
      <c r="S234" s="18" t="s">
        <v>808</v>
      </c>
      <c r="T234" s="38" t="s">
        <v>38</v>
      </c>
      <c r="U234" s="215">
        <v>46156</v>
      </c>
      <c r="V234" s="41" t="s">
        <v>809</v>
      </c>
      <c r="W234" s="187" t="s">
        <v>810</v>
      </c>
      <c r="Z234" s="15"/>
      <c r="AA234" s="45"/>
      <c r="AB234" s="10">
        <v>0</v>
      </c>
    </row>
    <row r="235" spans="1:28" ht="15.75" hidden="1" customHeight="1">
      <c r="A235" s="100">
        <v>29966</v>
      </c>
      <c r="B235" s="10">
        <v>1</v>
      </c>
      <c r="C235" s="63">
        <v>46132</v>
      </c>
      <c r="D235" s="91">
        <f t="shared" ca="1" si="10"/>
        <v>95</v>
      </c>
      <c r="E235" s="138" t="str">
        <f t="shared" si="9"/>
        <v>CANCELADA</v>
      </c>
      <c r="F235" s="19" t="s">
        <v>42</v>
      </c>
      <c r="G235" s="19" t="s">
        <v>60</v>
      </c>
      <c r="H235" s="19" t="s">
        <v>52</v>
      </c>
      <c r="I235" s="19" t="str">
        <f>IF(W235="ADMITIDO","ADMITIDO",IF(W235="CANCELADA","CANCELADA",IF(H235="","",IFERROR(_xlfn.XLOOKUP(H235,Listas!I:I,Listas!J:J),"OUTROS"))))</f>
        <v>CANCELADA</v>
      </c>
      <c r="J235" s="12" t="s">
        <v>163</v>
      </c>
      <c r="K235" s="11" t="s">
        <v>61</v>
      </c>
      <c r="L235" s="11" t="s">
        <v>600</v>
      </c>
      <c r="M235" s="11" t="s">
        <v>63</v>
      </c>
      <c r="N235" s="11" t="s">
        <v>34</v>
      </c>
      <c r="O235" s="11" t="s">
        <v>57</v>
      </c>
      <c r="P235" s="11" t="s">
        <v>98</v>
      </c>
      <c r="Q235" s="108"/>
      <c r="S235" s="46"/>
      <c r="V235" s="126"/>
      <c r="W235" s="23" t="s">
        <v>52</v>
      </c>
      <c r="X235" s="43"/>
      <c r="Z235" s="15"/>
      <c r="AB235" s="10">
        <v>0</v>
      </c>
    </row>
    <row r="236" spans="1:28" ht="15.75" hidden="1" customHeight="1">
      <c r="A236" s="101">
        <v>29977</v>
      </c>
      <c r="B236" s="10">
        <v>1</v>
      </c>
      <c r="C236" s="63">
        <v>46132</v>
      </c>
      <c r="D236" s="91">
        <f t="shared" ca="1" si="10"/>
        <v>95</v>
      </c>
      <c r="E236" s="138" t="str">
        <f t="shared" ca="1" si="9"/>
        <v>CRÍTICO</v>
      </c>
      <c r="F236" s="19" t="s">
        <v>171</v>
      </c>
      <c r="G236" s="34" t="s">
        <v>43</v>
      </c>
      <c r="H236" s="19" t="s">
        <v>181</v>
      </c>
      <c r="I236" s="19" t="str">
        <f>IF(W236="ADMITIDO","ADMITIDO",IF(W236="CANCELADA","CANCELADA",IF(H236="","",IFERROR(_xlfn.XLOOKUP(H236,Listas!I:I,Listas!J:J),"OUTROS"))))</f>
        <v>DOCUMENTAÇÃO</v>
      </c>
      <c r="J236" s="12" t="s">
        <v>172</v>
      </c>
      <c r="K236" s="11" t="s">
        <v>360</v>
      </c>
      <c r="L236" s="11" t="s">
        <v>696</v>
      </c>
      <c r="M236" s="11" t="s">
        <v>337</v>
      </c>
      <c r="N236" s="11" t="s">
        <v>34</v>
      </c>
      <c r="O236" s="11" t="s">
        <v>35</v>
      </c>
      <c r="P236" s="11" t="s">
        <v>36</v>
      </c>
      <c r="Q236" s="112" t="s">
        <v>811</v>
      </c>
      <c r="S236" s="18"/>
      <c r="T236" s="171" t="s">
        <v>50</v>
      </c>
      <c r="U236" s="218"/>
      <c r="W236" s="188"/>
      <c r="Z236" s="15"/>
      <c r="AB236" s="10">
        <v>0</v>
      </c>
    </row>
    <row r="237" spans="1:28" ht="15.75" hidden="1" customHeight="1">
      <c r="A237" s="100">
        <v>29963</v>
      </c>
      <c r="B237" s="10">
        <v>1</v>
      </c>
      <c r="C237" s="63">
        <v>46132</v>
      </c>
      <c r="D237" s="91">
        <f t="shared" ca="1" si="10"/>
        <v>95</v>
      </c>
      <c r="E237" s="138" t="str">
        <f t="shared" si="9"/>
        <v>CANCELADA</v>
      </c>
      <c r="F237" s="19" t="s">
        <v>42</v>
      </c>
      <c r="G237" s="19" t="s">
        <v>60</v>
      </c>
      <c r="H237" s="19" t="s">
        <v>52</v>
      </c>
      <c r="I237" s="19" t="str">
        <f>IF(W237="ADMITIDO","ADMITIDO",IF(W237="CANCELADA","CANCELADA",IF(H237="","",IFERROR(_xlfn.XLOOKUP(H237,Listas!I:I,Listas!J:J),"OUTROS"))))</f>
        <v>CANCELADA</v>
      </c>
      <c r="J237" s="12" t="s">
        <v>163</v>
      </c>
      <c r="K237" s="11" t="s">
        <v>61</v>
      </c>
      <c r="L237" s="11" t="s">
        <v>255</v>
      </c>
      <c r="M237" s="11" t="s">
        <v>63</v>
      </c>
      <c r="N237" s="11" t="s">
        <v>34</v>
      </c>
      <c r="O237" s="11" t="s">
        <v>219</v>
      </c>
      <c r="P237" s="11" t="s">
        <v>73</v>
      </c>
      <c r="Q237" s="108"/>
      <c r="S237" s="46"/>
      <c r="V237" s="53"/>
      <c r="W237" s="23" t="s">
        <v>52</v>
      </c>
      <c r="X237" s="43"/>
      <c r="Z237" s="15"/>
      <c r="AB237" s="10">
        <v>0</v>
      </c>
    </row>
    <row r="238" spans="1:28" ht="15.75" hidden="1" customHeight="1">
      <c r="A238" s="100">
        <v>29980</v>
      </c>
      <c r="B238" s="10">
        <v>1</v>
      </c>
      <c r="C238" s="63">
        <v>46132</v>
      </c>
      <c r="D238" s="91">
        <f t="shared" ca="1" si="10"/>
        <v>95</v>
      </c>
      <c r="E238" s="138" t="str">
        <f t="shared" ca="1" si="9"/>
        <v>CRÍTICO</v>
      </c>
      <c r="F238" s="19" t="s">
        <v>28</v>
      </c>
      <c r="G238" s="34" t="s">
        <v>43</v>
      </c>
      <c r="H238" s="19" t="s">
        <v>91</v>
      </c>
      <c r="I238" s="19" t="str">
        <f>IF(W238="ADMITIDO","ADMITIDO",IF(W238="CANCELADA","CANCELADA",IF(H238="","",IFERROR(_xlfn.XLOOKUP(H238,Listas!I:I,Listas!J:J),"OUTROS"))))</f>
        <v>TRIAGEM</v>
      </c>
      <c r="J238" s="12" t="s">
        <v>268</v>
      </c>
      <c r="K238" s="11" t="s">
        <v>360</v>
      </c>
      <c r="L238" s="11" t="s">
        <v>812</v>
      </c>
      <c r="M238" s="11" t="s">
        <v>529</v>
      </c>
      <c r="N238" s="11" t="s">
        <v>34</v>
      </c>
      <c r="O238" s="11" t="s">
        <v>35</v>
      </c>
      <c r="P238" s="11" t="s">
        <v>813</v>
      </c>
      <c r="Q238" s="108"/>
      <c r="S238" s="18"/>
      <c r="T238" s="40"/>
      <c r="U238" s="212"/>
      <c r="V238" s="53"/>
      <c r="W238" s="173"/>
      <c r="Z238" s="15"/>
      <c r="AB238" s="10">
        <v>0</v>
      </c>
    </row>
    <row r="239" spans="1:28" ht="15.75" hidden="1" customHeight="1">
      <c r="A239" s="100">
        <v>29965</v>
      </c>
      <c r="B239" s="10">
        <v>1</v>
      </c>
      <c r="C239" s="63">
        <v>46132</v>
      </c>
      <c r="D239" s="91">
        <f t="shared" ca="1" si="10"/>
        <v>95</v>
      </c>
      <c r="E239" s="138" t="str">
        <f t="shared" si="9"/>
        <v>ADMITIDO</v>
      </c>
      <c r="F239" s="19" t="s">
        <v>28</v>
      </c>
      <c r="G239" s="19" t="s">
        <v>145</v>
      </c>
      <c r="H239" s="19" t="s">
        <v>40</v>
      </c>
      <c r="I239" s="19" t="str">
        <f>IF(W239="ADMITIDO","ADMITIDO",IF(W239="CANCELADA","CANCELADA",IF(H239="","",IFERROR(_xlfn.XLOOKUP(H239,Listas!I:I,Listas!J:J),"OUTROS"))))</f>
        <v>ADMITIDO</v>
      </c>
      <c r="J239" s="12" t="s">
        <v>268</v>
      </c>
      <c r="K239" s="11" t="s">
        <v>285</v>
      </c>
      <c r="L239" s="11" t="s">
        <v>814</v>
      </c>
      <c r="M239" s="11" t="s">
        <v>33</v>
      </c>
      <c r="N239" s="11" t="s">
        <v>34</v>
      </c>
      <c r="O239" s="11" t="s">
        <v>35</v>
      </c>
      <c r="P239" s="11" t="s">
        <v>287</v>
      </c>
      <c r="Q239" s="108"/>
      <c r="S239" s="18"/>
      <c r="T239" s="11" t="s">
        <v>132</v>
      </c>
      <c r="U239" s="202">
        <v>46129</v>
      </c>
      <c r="V239" s="42" t="s">
        <v>815</v>
      </c>
      <c r="W239" s="59" t="s">
        <v>40</v>
      </c>
      <c r="X239" s="43">
        <v>46135</v>
      </c>
      <c r="Y239" s="14">
        <v>46136</v>
      </c>
      <c r="Z239" s="15">
        <v>914171</v>
      </c>
      <c r="AB239" s="10">
        <v>0</v>
      </c>
    </row>
    <row r="240" spans="1:28" ht="15.75" hidden="1" customHeight="1">
      <c r="A240" s="100">
        <v>29962</v>
      </c>
      <c r="B240" s="10">
        <v>1</v>
      </c>
      <c r="C240" s="63">
        <v>46132</v>
      </c>
      <c r="D240" s="91">
        <f t="shared" ca="1" si="10"/>
        <v>95</v>
      </c>
      <c r="E240" s="138" t="str">
        <f t="shared" si="9"/>
        <v>ADMITIDO</v>
      </c>
      <c r="F240" s="19" t="s">
        <v>28</v>
      </c>
      <c r="G240" s="19" t="s">
        <v>145</v>
      </c>
      <c r="H240" s="19" t="s">
        <v>40</v>
      </c>
      <c r="I240" s="19" t="str">
        <f>IF(W240="ADMITIDO","ADMITIDO",IF(W240="CANCELADA","CANCELADA",IF(H240="","",IFERROR(_xlfn.XLOOKUP(H240,Listas!I:I,Listas!J:J),"OUTROS"))))</f>
        <v>ADMITIDO</v>
      </c>
      <c r="J240" s="12" t="s">
        <v>268</v>
      </c>
      <c r="K240" s="11" t="s">
        <v>383</v>
      </c>
      <c r="L240" s="11" t="s">
        <v>814</v>
      </c>
      <c r="M240" s="11" t="s">
        <v>33</v>
      </c>
      <c r="N240" s="11" t="s">
        <v>56</v>
      </c>
      <c r="O240" s="11" t="s">
        <v>35</v>
      </c>
      <c r="P240" s="11" t="s">
        <v>176</v>
      </c>
      <c r="Q240" s="108"/>
      <c r="S240" s="18"/>
      <c r="T240" s="11" t="s">
        <v>132</v>
      </c>
      <c r="U240" s="202">
        <v>46129</v>
      </c>
      <c r="V240" s="42" t="s">
        <v>816</v>
      </c>
      <c r="W240" s="59" t="s">
        <v>40</v>
      </c>
      <c r="X240" s="43">
        <v>46135</v>
      </c>
      <c r="Y240" s="14">
        <v>46136</v>
      </c>
      <c r="Z240" s="15">
        <v>914170</v>
      </c>
      <c r="AB240" s="10">
        <v>0</v>
      </c>
    </row>
    <row r="241" spans="1:28" ht="15.75" hidden="1" customHeight="1">
      <c r="A241" s="101">
        <v>29974</v>
      </c>
      <c r="B241" s="10">
        <v>1</v>
      </c>
      <c r="C241" s="63">
        <v>46132</v>
      </c>
      <c r="D241" s="91">
        <f t="shared" ca="1" si="10"/>
        <v>95</v>
      </c>
      <c r="E241" s="138" t="str">
        <f t="shared" si="9"/>
        <v>ADMITIDO</v>
      </c>
      <c r="F241" s="19" t="s">
        <v>42</v>
      </c>
      <c r="G241" s="34" t="s">
        <v>43</v>
      </c>
      <c r="H241" s="19" t="s">
        <v>40</v>
      </c>
      <c r="I241" s="19" t="str">
        <f>IF(W241="ADMITIDO","ADMITIDO",IF(W241="CANCELADA","CANCELADA",IF(H241="","",IFERROR(_xlfn.XLOOKUP(H241,Listas!I:I,Listas!J:J),"OUTROS"))))</f>
        <v>ADMITIDO</v>
      </c>
      <c r="J241" s="12" t="s">
        <v>53</v>
      </c>
      <c r="K241" s="11" t="s">
        <v>45</v>
      </c>
      <c r="L241" s="11" t="s">
        <v>402</v>
      </c>
      <c r="M241" s="11" t="s">
        <v>33</v>
      </c>
      <c r="N241" s="11" t="s">
        <v>34</v>
      </c>
      <c r="O241" s="11" t="s">
        <v>57</v>
      </c>
      <c r="P241" s="11" t="s">
        <v>98</v>
      </c>
      <c r="Q241" s="108"/>
      <c r="R241" s="16" t="s">
        <v>817</v>
      </c>
      <c r="S241" s="17">
        <v>11940541302</v>
      </c>
      <c r="T241" s="38" t="s">
        <v>50</v>
      </c>
      <c r="U241" s="211">
        <v>46134</v>
      </c>
      <c r="V241" s="132" t="s">
        <v>818</v>
      </c>
      <c r="W241" s="59" t="s">
        <v>40</v>
      </c>
      <c r="X241" s="43">
        <v>46141</v>
      </c>
      <c r="Y241" s="14">
        <v>46142</v>
      </c>
      <c r="Z241" s="15">
        <v>145900</v>
      </c>
      <c r="AB241" s="10">
        <v>0</v>
      </c>
    </row>
    <row r="242" spans="1:28" ht="15.75" hidden="1" customHeight="1">
      <c r="A242" s="100">
        <v>29968</v>
      </c>
      <c r="B242" s="10">
        <v>1</v>
      </c>
      <c r="C242" s="63">
        <v>46132</v>
      </c>
      <c r="D242" s="91">
        <f t="shared" ca="1" si="10"/>
        <v>95</v>
      </c>
      <c r="E242" s="138" t="str">
        <f t="shared" si="9"/>
        <v>CANCELADA</v>
      </c>
      <c r="F242" s="19" t="s">
        <v>28</v>
      </c>
      <c r="G242" s="34" t="s">
        <v>240</v>
      </c>
      <c r="H242" s="19" t="s">
        <v>52</v>
      </c>
      <c r="I242" s="19" t="str">
        <f>IF(W242="ADMITIDO","ADMITIDO",IF(W242="CANCELADA","CANCELADA",IF(H242="","",IFERROR(_xlfn.XLOOKUP(H242,Listas!I:I,Listas!J:J),"OUTROS"))))</f>
        <v>CANCELADA</v>
      </c>
      <c r="J242" s="12" t="s">
        <v>819</v>
      </c>
      <c r="K242" s="11" t="s">
        <v>423</v>
      </c>
      <c r="L242" s="11" t="s">
        <v>62</v>
      </c>
      <c r="M242" s="11" t="s">
        <v>63</v>
      </c>
      <c r="N242" s="11" t="s">
        <v>34</v>
      </c>
      <c r="O242" s="11" t="s">
        <v>57</v>
      </c>
      <c r="P242" s="11" t="s">
        <v>151</v>
      </c>
      <c r="Q242" s="108" t="s">
        <v>820</v>
      </c>
      <c r="S242" s="46"/>
      <c r="W242" s="56" t="s">
        <v>52</v>
      </c>
      <c r="X242" s="43"/>
      <c r="Z242" s="15"/>
      <c r="AB242" s="10">
        <v>0</v>
      </c>
    </row>
    <row r="243" spans="1:28" ht="15.75" hidden="1" customHeight="1">
      <c r="A243" s="101">
        <v>30008</v>
      </c>
      <c r="B243" s="10">
        <v>1</v>
      </c>
      <c r="C243" s="63">
        <v>46134</v>
      </c>
      <c r="D243" s="91">
        <f t="shared" ref="D243:D265" ca="1" si="11">TODAY()-C243</f>
        <v>93</v>
      </c>
      <c r="E243" s="138" t="str">
        <f t="shared" ca="1" si="9"/>
        <v>CRÍTICO</v>
      </c>
      <c r="F243" s="19" t="s">
        <v>119</v>
      </c>
      <c r="G243" s="19" t="s">
        <v>821</v>
      </c>
      <c r="H243" s="19" t="s">
        <v>822</v>
      </c>
      <c r="I243" s="19" t="str">
        <f>IF(W243="ADMITIDO","ADMITIDO",IF(W243="CANCELADA","CANCELADA",IF(H243="","",IFERROR(_xlfn.XLOOKUP(H243,Listas!I:I,Listas!J:J),"OUTROS"))))</f>
        <v>ENTREVISTA RH</v>
      </c>
      <c r="J243" s="12" t="s">
        <v>823</v>
      </c>
      <c r="K243" s="11" t="s">
        <v>824</v>
      </c>
      <c r="L243" s="11" t="s">
        <v>825</v>
      </c>
      <c r="M243" s="11" t="s">
        <v>63</v>
      </c>
      <c r="N243" s="11" t="s">
        <v>34</v>
      </c>
      <c r="O243" s="11" t="s">
        <v>48</v>
      </c>
      <c r="P243" s="11" t="s">
        <v>441</v>
      </c>
      <c r="Q243" s="108"/>
      <c r="S243" s="18"/>
      <c r="T243" s="40"/>
      <c r="U243" s="212"/>
      <c r="V243" s="53"/>
      <c r="W243" s="173"/>
      <c r="Z243" s="15"/>
      <c r="AB243" s="10">
        <v>0</v>
      </c>
    </row>
    <row r="244" spans="1:28" ht="15.75" hidden="1" customHeight="1">
      <c r="A244" s="101">
        <v>30000</v>
      </c>
      <c r="B244" s="10">
        <v>1</v>
      </c>
      <c r="C244" s="63">
        <v>46134</v>
      </c>
      <c r="D244" s="91">
        <f t="shared" ca="1" si="11"/>
        <v>93</v>
      </c>
      <c r="E244" s="138" t="str">
        <f t="shared" si="9"/>
        <v>ADMITIDO</v>
      </c>
      <c r="F244" s="19" t="s">
        <v>119</v>
      </c>
      <c r="G244" s="19" t="s">
        <v>145</v>
      </c>
      <c r="H244" s="19" t="s">
        <v>40</v>
      </c>
      <c r="I244" s="19" t="str">
        <f>IF(W244="ADMITIDO","ADMITIDO",IF(W244="CANCELADA","CANCELADA",IF(H244="","",IFERROR(_xlfn.XLOOKUP(H244,Listas!I:I,Listas!J:J),"OUTROS"))))</f>
        <v>ADMITIDO</v>
      </c>
      <c r="J244" s="12" t="s">
        <v>826</v>
      </c>
      <c r="K244" s="11" t="s">
        <v>824</v>
      </c>
      <c r="L244" s="11" t="s">
        <v>825</v>
      </c>
      <c r="M244" s="11" t="s">
        <v>63</v>
      </c>
      <c r="N244" s="11" t="s">
        <v>34</v>
      </c>
      <c r="O244" s="11" t="s">
        <v>48</v>
      </c>
      <c r="P244" s="11" t="s">
        <v>827</v>
      </c>
      <c r="Q244" s="108" t="s">
        <v>828</v>
      </c>
      <c r="S244" s="18">
        <v>11956367224</v>
      </c>
      <c r="T244" s="11" t="s">
        <v>67</v>
      </c>
      <c r="U244" s="202">
        <v>46134</v>
      </c>
      <c r="V244" s="42" t="s">
        <v>829</v>
      </c>
      <c r="W244" s="59" t="s">
        <v>40</v>
      </c>
      <c r="X244" s="43">
        <v>46139</v>
      </c>
      <c r="Y244" s="14">
        <v>46140</v>
      </c>
      <c r="Z244" s="15">
        <v>914172</v>
      </c>
      <c r="AB244" s="10">
        <v>0</v>
      </c>
    </row>
    <row r="245" spans="1:28" ht="15.75" hidden="1" customHeight="1">
      <c r="A245" s="100">
        <v>30001</v>
      </c>
      <c r="B245" s="10">
        <v>1</v>
      </c>
      <c r="C245" s="63">
        <v>46134</v>
      </c>
      <c r="D245" s="91">
        <f t="shared" ca="1" si="11"/>
        <v>93</v>
      </c>
      <c r="E245" s="138" t="str">
        <f t="shared" si="9"/>
        <v>ADMITIDO</v>
      </c>
      <c r="F245" s="19" t="s">
        <v>119</v>
      </c>
      <c r="G245" s="19" t="s">
        <v>145</v>
      </c>
      <c r="H245" s="19" t="s">
        <v>40</v>
      </c>
      <c r="I245" s="19" t="str">
        <f>IF(W245="ADMITIDO","ADMITIDO",IF(W245="CANCELADA","CANCELADA",IF(H245="","",IFERROR(_xlfn.XLOOKUP(H245,Listas!I:I,Listas!J:J),"OUTROS"))))</f>
        <v>ADMITIDO</v>
      </c>
      <c r="J245" s="12" t="s">
        <v>826</v>
      </c>
      <c r="K245" s="11" t="s">
        <v>824</v>
      </c>
      <c r="L245" s="11" t="s">
        <v>825</v>
      </c>
      <c r="M245" s="11" t="s">
        <v>63</v>
      </c>
      <c r="N245" s="11" t="s">
        <v>34</v>
      </c>
      <c r="O245" s="11" t="s">
        <v>48</v>
      </c>
      <c r="P245" s="11" t="s">
        <v>830</v>
      </c>
      <c r="Q245" s="108" t="s">
        <v>828</v>
      </c>
      <c r="S245" s="18">
        <v>11918723022</v>
      </c>
      <c r="T245" s="11" t="s">
        <v>76</v>
      </c>
      <c r="U245" s="202">
        <v>46134</v>
      </c>
      <c r="V245" s="42" t="s">
        <v>831</v>
      </c>
      <c r="W245" s="59" t="s">
        <v>40</v>
      </c>
      <c r="X245" s="43">
        <v>46139</v>
      </c>
      <c r="Y245" s="14">
        <v>46140</v>
      </c>
      <c r="Z245" s="15">
        <v>914175</v>
      </c>
      <c r="AA245" s="149" t="s">
        <v>832</v>
      </c>
      <c r="AB245" s="10">
        <v>0</v>
      </c>
    </row>
    <row r="246" spans="1:28" ht="15.75" hidden="1" customHeight="1">
      <c r="A246" s="100">
        <v>29994</v>
      </c>
      <c r="B246" s="10">
        <v>1</v>
      </c>
      <c r="C246" s="63">
        <v>46134</v>
      </c>
      <c r="D246" s="91">
        <f t="shared" ca="1" si="11"/>
        <v>93</v>
      </c>
      <c r="E246" s="138" t="str">
        <f t="shared" ca="1" si="9"/>
        <v>CRÍTICO</v>
      </c>
      <c r="F246" s="19" t="s">
        <v>119</v>
      </c>
      <c r="G246" s="19" t="s">
        <v>821</v>
      </c>
      <c r="H246" s="19" t="s">
        <v>833</v>
      </c>
      <c r="I246" s="19" t="str">
        <f>IF(W246="ADMITIDO","ADMITIDO",IF(W246="CANCELADA","CANCELADA",IF(H246="","",IFERROR(_xlfn.XLOOKUP(H246,Listas!I:I,Listas!J:J),"OUTROS"))))</f>
        <v>ENTREVISTA OPS</v>
      </c>
      <c r="J246" s="12" t="s">
        <v>834</v>
      </c>
      <c r="K246" s="11" t="s">
        <v>835</v>
      </c>
      <c r="L246" s="11" t="s">
        <v>836</v>
      </c>
      <c r="M246" s="11" t="s">
        <v>63</v>
      </c>
      <c r="N246" s="11" t="s">
        <v>34</v>
      </c>
      <c r="O246" s="11" t="s">
        <v>48</v>
      </c>
      <c r="P246" s="11" t="s">
        <v>441</v>
      </c>
      <c r="Q246" s="108"/>
      <c r="S246" s="18"/>
      <c r="W246" s="56"/>
      <c r="Z246" s="15"/>
      <c r="AB246" s="10">
        <v>0</v>
      </c>
    </row>
    <row r="247" spans="1:28" ht="15.75" hidden="1" customHeight="1">
      <c r="A247" s="100">
        <v>30002</v>
      </c>
      <c r="B247" s="10">
        <v>1</v>
      </c>
      <c r="C247" s="63">
        <v>46134</v>
      </c>
      <c r="D247" s="91">
        <f t="shared" ca="1" si="11"/>
        <v>93</v>
      </c>
      <c r="E247" s="138" t="str">
        <f t="shared" ca="1" si="9"/>
        <v>CRÍTICO</v>
      </c>
      <c r="F247" s="19" t="s">
        <v>42</v>
      </c>
      <c r="G247" s="34" t="s">
        <v>43</v>
      </c>
      <c r="H247" s="19" t="s">
        <v>214</v>
      </c>
      <c r="I247" s="19" t="str">
        <f>IF(W247="ADMITIDO","ADMITIDO",IF(W247="CANCELADA","CANCELADA",IF(H247="","",IFERROR(_xlfn.XLOOKUP(H247,Listas!I:I,Listas!J:J),"OUTROS"))))</f>
        <v>TRIAGEM</v>
      </c>
      <c r="J247" s="89" t="s">
        <v>837</v>
      </c>
      <c r="K247" s="11" t="s">
        <v>45</v>
      </c>
      <c r="L247" s="11" t="s">
        <v>377</v>
      </c>
      <c r="M247" s="11" t="s">
        <v>378</v>
      </c>
      <c r="N247" s="11" t="s">
        <v>56</v>
      </c>
      <c r="O247" s="11" t="s">
        <v>35</v>
      </c>
      <c r="P247" s="11" t="s">
        <v>176</v>
      </c>
      <c r="Q247" s="108" t="s">
        <v>838</v>
      </c>
      <c r="S247" s="18"/>
      <c r="W247" s="44"/>
      <c r="Z247" s="15"/>
      <c r="AB247" s="10">
        <v>0</v>
      </c>
    </row>
    <row r="248" spans="1:28" ht="15.75" hidden="1" customHeight="1">
      <c r="A248" s="100">
        <v>30003</v>
      </c>
      <c r="B248" s="10">
        <v>1</v>
      </c>
      <c r="C248" s="63">
        <v>46134</v>
      </c>
      <c r="D248" s="91">
        <f t="shared" ca="1" si="11"/>
        <v>93</v>
      </c>
      <c r="E248" s="138" t="str">
        <f t="shared" si="9"/>
        <v>ADMITIDO</v>
      </c>
      <c r="F248" s="19" t="s">
        <v>42</v>
      </c>
      <c r="G248" s="34" t="s">
        <v>43</v>
      </c>
      <c r="H248" s="19" t="s">
        <v>40</v>
      </c>
      <c r="I248" s="19" t="str">
        <f>IF(W248="ADMITIDO","ADMITIDO",IF(W248="CANCELADA","CANCELADA",IF(H248="","",IFERROR(_xlfn.XLOOKUP(H248,Listas!I:I,Listas!J:J),"OUTROS"))))</f>
        <v>ADMITIDO</v>
      </c>
      <c r="J248" s="12" t="s">
        <v>53</v>
      </c>
      <c r="K248" s="11" t="s">
        <v>45</v>
      </c>
      <c r="L248" s="11" t="s">
        <v>377</v>
      </c>
      <c r="M248" s="11" t="s">
        <v>378</v>
      </c>
      <c r="N248" s="11" t="s">
        <v>56</v>
      </c>
      <c r="O248" s="11" t="s">
        <v>35</v>
      </c>
      <c r="P248" s="11" t="s">
        <v>176</v>
      </c>
      <c r="Q248" s="108"/>
      <c r="S248" s="17">
        <v>11977283685</v>
      </c>
      <c r="T248" s="11" t="s">
        <v>50</v>
      </c>
      <c r="U248" s="202">
        <v>46142</v>
      </c>
      <c r="V248" s="132" t="s">
        <v>839</v>
      </c>
      <c r="W248" s="59" t="s">
        <v>40</v>
      </c>
      <c r="X248" s="43">
        <v>46148</v>
      </c>
      <c r="Y248" s="14">
        <v>46149</v>
      </c>
      <c r="Z248" s="15">
        <v>145920</v>
      </c>
      <c r="AA248" s="45"/>
      <c r="AB248" s="10">
        <v>0</v>
      </c>
    </row>
    <row r="249" spans="1:28" ht="15.75" hidden="1" customHeight="1">
      <c r="A249" s="100">
        <v>30004</v>
      </c>
      <c r="B249" s="10">
        <v>1</v>
      </c>
      <c r="C249" s="63">
        <v>46134</v>
      </c>
      <c r="D249" s="91">
        <f t="shared" ca="1" si="11"/>
        <v>93</v>
      </c>
      <c r="E249" s="138" t="str">
        <f t="shared" ca="1" si="9"/>
        <v>CRÍTICO</v>
      </c>
      <c r="F249" s="19" t="s">
        <v>42</v>
      </c>
      <c r="G249" s="34" t="s">
        <v>43</v>
      </c>
      <c r="H249" s="19" t="s">
        <v>181</v>
      </c>
      <c r="I249" s="19" t="str">
        <f>IF(W249="ADMITIDO","ADMITIDO",IF(W249="CANCELADA","CANCELADA",IF(H249="","",IFERROR(_xlfn.XLOOKUP(H249,Listas!I:I,Listas!J:J),"OUTROS"))))</f>
        <v>DOCUMENTAÇÃO</v>
      </c>
      <c r="J249" s="89" t="s">
        <v>840</v>
      </c>
      <c r="K249" s="11" t="s">
        <v>45</v>
      </c>
      <c r="L249" s="11" t="s">
        <v>377</v>
      </c>
      <c r="M249" s="11" t="s">
        <v>378</v>
      </c>
      <c r="N249" s="11" t="s">
        <v>56</v>
      </c>
      <c r="O249" s="11" t="s">
        <v>35</v>
      </c>
      <c r="P249" s="11" t="s">
        <v>176</v>
      </c>
      <c r="Q249" s="108"/>
      <c r="S249" s="18">
        <v>11967626976</v>
      </c>
      <c r="T249" s="11" t="s">
        <v>50</v>
      </c>
      <c r="U249" s="213">
        <v>46148</v>
      </c>
      <c r="V249" s="41" t="s">
        <v>841</v>
      </c>
      <c r="W249" s="188" t="s">
        <v>284</v>
      </c>
      <c r="Z249" s="15"/>
      <c r="AA249" s="149" t="s">
        <v>842</v>
      </c>
      <c r="AB249" s="10">
        <v>0</v>
      </c>
    </row>
    <row r="250" spans="1:28" ht="15.75" hidden="1" customHeight="1">
      <c r="A250" s="101">
        <v>29983</v>
      </c>
      <c r="B250" s="10">
        <v>1</v>
      </c>
      <c r="C250" s="63">
        <v>46134</v>
      </c>
      <c r="D250" s="91">
        <f t="shared" ca="1" si="11"/>
        <v>93</v>
      </c>
      <c r="E250" s="138" t="str">
        <f t="shared" si="9"/>
        <v>ADMITIDO</v>
      </c>
      <c r="F250" s="19" t="s">
        <v>28</v>
      </c>
      <c r="G250" s="34" t="s">
        <v>43</v>
      </c>
      <c r="H250" s="19" t="s">
        <v>40</v>
      </c>
      <c r="I250" s="19" t="str">
        <f>IF(W250="ADMITIDO","ADMITIDO",IF(W250="CANCELADA","CANCELADA",IF(H250="","",IFERROR(_xlfn.XLOOKUP(H250,Listas!I:I,Listas!J:J),"OUTROS"))))</f>
        <v>ADMITIDO</v>
      </c>
      <c r="J250" s="12" t="s">
        <v>146</v>
      </c>
      <c r="K250" s="11" t="s">
        <v>360</v>
      </c>
      <c r="L250" s="11" t="s">
        <v>788</v>
      </c>
      <c r="M250" s="11" t="s">
        <v>337</v>
      </c>
      <c r="N250" s="11" t="s">
        <v>34</v>
      </c>
      <c r="O250" s="11" t="s">
        <v>35</v>
      </c>
      <c r="P250" s="11" t="s">
        <v>36</v>
      </c>
      <c r="Q250" s="108"/>
      <c r="S250" s="17">
        <v>15996321794</v>
      </c>
      <c r="T250" s="11" t="s">
        <v>67</v>
      </c>
      <c r="U250" s="202">
        <v>46135</v>
      </c>
      <c r="V250" s="179" t="s">
        <v>843</v>
      </c>
      <c r="W250" s="59" t="s">
        <v>40</v>
      </c>
      <c r="X250" s="43">
        <v>46142</v>
      </c>
      <c r="Y250" s="14">
        <v>46142</v>
      </c>
      <c r="Z250" s="15">
        <v>914196</v>
      </c>
      <c r="AB250" s="10">
        <v>0</v>
      </c>
    </row>
    <row r="251" spans="1:28" ht="15.75" hidden="1" customHeight="1">
      <c r="A251" s="100">
        <v>29990</v>
      </c>
      <c r="B251" s="10">
        <v>1</v>
      </c>
      <c r="C251" s="63">
        <v>46134</v>
      </c>
      <c r="D251" s="91">
        <f t="shared" ca="1" si="11"/>
        <v>93</v>
      </c>
      <c r="E251" s="138" t="str">
        <f t="shared" ca="1" si="9"/>
        <v>CRÍTICO</v>
      </c>
      <c r="F251" s="19" t="s">
        <v>42</v>
      </c>
      <c r="G251" s="34" t="s">
        <v>43</v>
      </c>
      <c r="H251" s="19" t="s">
        <v>638</v>
      </c>
      <c r="I251" s="19" t="str">
        <f>IF(W251="ADMITIDO","ADMITIDO",IF(W251="CANCELADA","CANCELADA",IF(H251="","",IFERROR(_xlfn.XLOOKUP(H251,Listas!I:I,Listas!J:J),"OUTROS"))))</f>
        <v>TRIAGEM</v>
      </c>
      <c r="J251" s="12" t="s">
        <v>53</v>
      </c>
      <c r="K251" s="11" t="s">
        <v>45</v>
      </c>
      <c r="L251" s="11" t="s">
        <v>384</v>
      </c>
      <c r="M251" s="11" t="s">
        <v>97</v>
      </c>
      <c r="N251" s="11" t="s">
        <v>34</v>
      </c>
      <c r="O251" s="11" t="s">
        <v>57</v>
      </c>
      <c r="P251" s="11" t="s">
        <v>231</v>
      </c>
      <c r="Q251" s="108" t="s">
        <v>844</v>
      </c>
      <c r="S251" s="18"/>
      <c r="V251" s="49"/>
      <c r="W251" s="56"/>
      <c r="Z251" s="15"/>
      <c r="AB251" s="10">
        <v>0</v>
      </c>
    </row>
    <row r="252" spans="1:28" ht="15.75" hidden="1" customHeight="1">
      <c r="A252" s="101">
        <v>29984</v>
      </c>
      <c r="B252" s="10">
        <v>1</v>
      </c>
      <c r="C252" s="63">
        <v>46134</v>
      </c>
      <c r="D252" s="91">
        <f t="shared" ca="1" si="11"/>
        <v>93</v>
      </c>
      <c r="E252" s="138" t="str">
        <f t="shared" ca="1" si="9"/>
        <v>CRÍTICO</v>
      </c>
      <c r="F252" s="19" t="s">
        <v>28</v>
      </c>
      <c r="G252" s="34" t="s">
        <v>145</v>
      </c>
      <c r="H252" s="19" t="s">
        <v>181</v>
      </c>
      <c r="I252" s="19" t="str">
        <f>IF(W252="ADMITIDO","ADMITIDO",IF(W252="CANCELADA","CANCELADA",IF(H252="","",IFERROR(_xlfn.XLOOKUP(H252,Listas!I:I,Listas!J:J),"OUTROS"))))</f>
        <v>DOCUMENTAÇÃO</v>
      </c>
      <c r="J252" s="12" t="s">
        <v>487</v>
      </c>
      <c r="K252" s="11" t="s">
        <v>371</v>
      </c>
      <c r="L252" s="11" t="s">
        <v>845</v>
      </c>
      <c r="M252" s="11" t="s">
        <v>63</v>
      </c>
      <c r="N252" s="11" t="s">
        <v>34</v>
      </c>
      <c r="O252" s="11" t="s">
        <v>35</v>
      </c>
      <c r="P252" s="11" t="s">
        <v>369</v>
      </c>
      <c r="Q252" s="108"/>
      <c r="R252" s="16" t="s">
        <v>373</v>
      </c>
      <c r="S252" s="18"/>
      <c r="T252" s="11" t="s">
        <v>132</v>
      </c>
      <c r="U252" s="213">
        <v>46155</v>
      </c>
      <c r="V252" s="41" t="s">
        <v>846</v>
      </c>
      <c r="W252" s="131" t="s">
        <v>188</v>
      </c>
      <c r="X252" s="14">
        <v>46160</v>
      </c>
      <c r="Y252" s="14">
        <v>46162</v>
      </c>
      <c r="Z252" s="15">
        <v>914300</v>
      </c>
      <c r="AB252" s="10">
        <v>0</v>
      </c>
    </row>
    <row r="253" spans="1:28" ht="15.75" hidden="1" customHeight="1">
      <c r="A253" s="101">
        <v>29989</v>
      </c>
      <c r="B253" s="10">
        <v>1</v>
      </c>
      <c r="C253" s="63">
        <v>46134</v>
      </c>
      <c r="D253" s="91">
        <f t="shared" ca="1" si="11"/>
        <v>93</v>
      </c>
      <c r="E253" s="138" t="str">
        <f t="shared" si="9"/>
        <v>ADMITIDO</v>
      </c>
      <c r="F253" s="19" t="s">
        <v>42</v>
      </c>
      <c r="G253" s="34" t="s">
        <v>43</v>
      </c>
      <c r="H253" s="19" t="s">
        <v>40</v>
      </c>
      <c r="I253" s="19" t="str">
        <f>IF(W253="ADMITIDO","ADMITIDO",IF(W253="CANCELADA","CANCELADA",IF(H253="","",IFERROR(_xlfn.XLOOKUP(H253,Listas!I:I,Listas!J:J),"OUTROS"))))</f>
        <v>ADMITIDO</v>
      </c>
      <c r="J253" s="12" t="s">
        <v>53</v>
      </c>
      <c r="K253" s="11" t="s">
        <v>45</v>
      </c>
      <c r="L253" s="11" t="s">
        <v>847</v>
      </c>
      <c r="M253" s="11" t="s">
        <v>97</v>
      </c>
      <c r="N253" s="11" t="s">
        <v>34</v>
      </c>
      <c r="O253" s="11" t="s">
        <v>57</v>
      </c>
      <c r="P253" s="11" t="s">
        <v>848</v>
      </c>
      <c r="Q253" s="108"/>
      <c r="S253" s="17">
        <v>11969773460</v>
      </c>
      <c r="T253" s="11" t="s">
        <v>50</v>
      </c>
      <c r="U253" s="202">
        <v>46135</v>
      </c>
      <c r="V253" s="179" t="s">
        <v>849</v>
      </c>
      <c r="W253" s="59" t="s">
        <v>40</v>
      </c>
      <c r="X253" s="43">
        <v>46141</v>
      </c>
      <c r="Y253" s="14">
        <v>46142</v>
      </c>
      <c r="Z253" s="15">
        <v>914190</v>
      </c>
      <c r="AB253" s="10">
        <v>0</v>
      </c>
    </row>
    <row r="254" spans="1:28" ht="15.75" hidden="1" customHeight="1">
      <c r="A254" s="101">
        <v>30005</v>
      </c>
      <c r="B254" s="10">
        <v>1</v>
      </c>
      <c r="C254" s="63">
        <v>46134</v>
      </c>
      <c r="D254" s="91">
        <f t="shared" ca="1" si="11"/>
        <v>93</v>
      </c>
      <c r="E254" s="138" t="str">
        <f t="shared" ca="1" si="9"/>
        <v>CRÍTICO</v>
      </c>
      <c r="F254" s="19" t="s">
        <v>28</v>
      </c>
      <c r="G254" s="34" t="s">
        <v>29</v>
      </c>
      <c r="H254" s="19" t="s">
        <v>214</v>
      </c>
      <c r="I254" s="19" t="str">
        <f>IF(W254="ADMITIDO","ADMITIDO",IF(W254="CANCELADA","CANCELADA",IF(H254="","",IFERROR(_xlfn.XLOOKUP(H254,Listas!I:I,Listas!J:J),"OUTROS"))))</f>
        <v>TRIAGEM</v>
      </c>
      <c r="J254" s="12" t="s">
        <v>427</v>
      </c>
      <c r="K254" s="11" t="s">
        <v>31</v>
      </c>
      <c r="L254" s="11" t="s">
        <v>428</v>
      </c>
      <c r="M254" s="11" t="s">
        <v>205</v>
      </c>
      <c r="N254" s="11" t="s">
        <v>34</v>
      </c>
      <c r="O254" s="11" t="s">
        <v>35</v>
      </c>
      <c r="P254" s="11" t="s">
        <v>36</v>
      </c>
      <c r="Q254" s="108"/>
      <c r="T254" s="38"/>
      <c r="U254" s="211"/>
      <c r="V254" s="49"/>
      <c r="W254" s="173"/>
      <c r="Z254" s="15"/>
      <c r="AA254" s="45"/>
      <c r="AB254" s="10">
        <v>0</v>
      </c>
    </row>
    <row r="255" spans="1:28" ht="15.75" hidden="1" customHeight="1">
      <c r="A255" s="100">
        <v>29988</v>
      </c>
      <c r="B255" s="10">
        <v>1</v>
      </c>
      <c r="C255" s="63">
        <v>46134</v>
      </c>
      <c r="D255" s="91">
        <f t="shared" ca="1" si="11"/>
        <v>93</v>
      </c>
      <c r="E255" s="138" t="str">
        <f t="shared" si="9"/>
        <v>CANCELADA</v>
      </c>
      <c r="F255" s="19" t="s">
        <v>42</v>
      </c>
      <c r="G255" s="34" t="s">
        <v>29</v>
      </c>
      <c r="H255" s="19" t="s">
        <v>52</v>
      </c>
      <c r="I255" s="19" t="str">
        <f>IF(W255="ADMITIDO","ADMITIDO",IF(W255="CANCELADA","CANCELADA",IF(H255="","",IFERROR(_xlfn.XLOOKUP(H255,Listas!I:I,Listas!J:J),"OUTROS"))))</f>
        <v>CANCELADA</v>
      </c>
      <c r="J255" s="12" t="s">
        <v>44</v>
      </c>
      <c r="K255" s="11" t="s">
        <v>228</v>
      </c>
      <c r="L255" s="11" t="s">
        <v>807</v>
      </c>
      <c r="M255" s="11" t="s">
        <v>88</v>
      </c>
      <c r="N255" s="11" t="s">
        <v>34</v>
      </c>
      <c r="O255" s="11" t="s">
        <v>589</v>
      </c>
      <c r="P255" s="11" t="s">
        <v>308</v>
      </c>
      <c r="Q255" s="108"/>
      <c r="S255" s="46"/>
      <c r="W255" s="44" t="s">
        <v>52</v>
      </c>
      <c r="X255" s="43"/>
      <c r="Z255" s="15"/>
      <c r="AB255" s="10">
        <v>0</v>
      </c>
    </row>
    <row r="256" spans="1:28" ht="15.75" hidden="1" customHeight="1">
      <c r="A256" s="101">
        <v>29991</v>
      </c>
      <c r="B256" s="10">
        <v>1</v>
      </c>
      <c r="C256" s="63">
        <v>46134</v>
      </c>
      <c r="D256" s="91">
        <f t="shared" ca="1" si="11"/>
        <v>93</v>
      </c>
      <c r="E256" s="138" t="str">
        <f t="shared" si="9"/>
        <v>ADMITIDO</v>
      </c>
      <c r="F256" s="19" t="s">
        <v>42</v>
      </c>
      <c r="G256" s="34" t="s">
        <v>29</v>
      </c>
      <c r="H256" s="117" t="s">
        <v>40</v>
      </c>
      <c r="I256" s="19" t="str">
        <f>IF(W256="ADMITIDO","ADMITIDO",IF(W256="CANCELADA","CANCELADA",IF(H256="","",IFERROR(_xlfn.XLOOKUP(H256,Listas!I:I,Listas!J:J),"OUTROS"))))</f>
        <v>ADMITIDO</v>
      </c>
      <c r="J256" s="12" t="s">
        <v>44</v>
      </c>
      <c r="K256" s="11" t="s">
        <v>228</v>
      </c>
      <c r="L256" s="11" t="s">
        <v>807</v>
      </c>
      <c r="M256" s="11" t="s">
        <v>88</v>
      </c>
      <c r="N256" s="11" t="s">
        <v>34</v>
      </c>
      <c r="O256" s="11" t="s">
        <v>57</v>
      </c>
      <c r="P256" s="11" t="s">
        <v>231</v>
      </c>
      <c r="Q256" s="108"/>
      <c r="S256" s="18"/>
      <c r="T256" s="40" t="s">
        <v>38</v>
      </c>
      <c r="U256" s="212">
        <v>46150</v>
      </c>
      <c r="V256" s="179" t="s">
        <v>850</v>
      </c>
      <c r="W256" s="19" t="s">
        <v>40</v>
      </c>
      <c r="X256" s="43">
        <v>46153</v>
      </c>
      <c r="Y256" s="14">
        <v>46154</v>
      </c>
      <c r="Z256" s="15">
        <v>914224</v>
      </c>
      <c r="AA256" s="45"/>
      <c r="AB256" s="10">
        <v>0</v>
      </c>
    </row>
    <row r="257" spans="1:28" ht="15.75" hidden="1" customHeight="1">
      <c r="A257" s="101">
        <v>29993</v>
      </c>
      <c r="B257" s="10">
        <v>1</v>
      </c>
      <c r="C257" s="63">
        <v>46134</v>
      </c>
      <c r="D257" s="91">
        <f t="shared" ca="1" si="11"/>
        <v>93</v>
      </c>
      <c r="E257" s="138" t="str">
        <f t="shared" si="9"/>
        <v>ADMITIDO</v>
      </c>
      <c r="F257" s="19" t="s">
        <v>42</v>
      </c>
      <c r="G257" s="34" t="s">
        <v>29</v>
      </c>
      <c r="H257" s="19" t="s">
        <v>40</v>
      </c>
      <c r="I257" s="19" t="str">
        <f>IF(W257="ADMITIDO","ADMITIDO",IF(W257="CANCELADA","CANCELADA",IF(H257="","",IFERROR(_xlfn.XLOOKUP(H257,Listas!I:I,Listas!J:J),"OUTROS"))))</f>
        <v>ADMITIDO</v>
      </c>
      <c r="J257" s="12" t="s">
        <v>44</v>
      </c>
      <c r="K257" s="11" t="s">
        <v>228</v>
      </c>
      <c r="L257" s="11" t="s">
        <v>807</v>
      </c>
      <c r="M257" s="11" t="s">
        <v>88</v>
      </c>
      <c r="N257" s="11" t="s">
        <v>34</v>
      </c>
      <c r="O257" s="11" t="s">
        <v>57</v>
      </c>
      <c r="P257" s="11" t="s">
        <v>94</v>
      </c>
      <c r="Q257" s="108"/>
      <c r="S257" s="17" t="s">
        <v>851</v>
      </c>
      <c r="T257" s="11" t="s">
        <v>38</v>
      </c>
      <c r="U257" s="202">
        <v>46139</v>
      </c>
      <c r="V257" s="42" t="s">
        <v>852</v>
      </c>
      <c r="W257" s="59" t="s">
        <v>40</v>
      </c>
      <c r="X257" s="43">
        <v>46142</v>
      </c>
      <c r="Y257" s="14">
        <v>46143</v>
      </c>
      <c r="Z257" s="15">
        <v>914204</v>
      </c>
      <c r="AB257" s="10">
        <v>0</v>
      </c>
    </row>
    <row r="258" spans="1:28" ht="15.75" hidden="1" customHeight="1">
      <c r="A258" s="100">
        <v>29987</v>
      </c>
      <c r="B258" s="10">
        <v>1</v>
      </c>
      <c r="C258" s="63">
        <v>46134</v>
      </c>
      <c r="D258" s="91">
        <f t="shared" ca="1" si="11"/>
        <v>93</v>
      </c>
      <c r="E258" s="138" t="str">
        <f t="shared" si="9"/>
        <v>ADMITIDO</v>
      </c>
      <c r="F258" s="19" t="s">
        <v>28</v>
      </c>
      <c r="G258" s="34" t="s">
        <v>60</v>
      </c>
      <c r="H258" s="117" t="s">
        <v>40</v>
      </c>
      <c r="I258" s="19" t="str">
        <f>IF(W258="ADMITIDO","ADMITIDO",IF(W258="CANCELADA","CANCELADA",IF(H258="","",IFERROR(_xlfn.XLOOKUP(H258,Listas!I:I,Listas!J:J),"OUTROS"))))</f>
        <v>ADMITIDO</v>
      </c>
      <c r="J258" s="12" t="s">
        <v>268</v>
      </c>
      <c r="K258" s="11" t="s">
        <v>318</v>
      </c>
      <c r="L258" s="11" t="s">
        <v>237</v>
      </c>
      <c r="M258" s="11" t="s">
        <v>63</v>
      </c>
      <c r="N258" s="11" t="s">
        <v>56</v>
      </c>
      <c r="O258" s="11" t="s">
        <v>35</v>
      </c>
      <c r="P258" s="11" t="s">
        <v>176</v>
      </c>
      <c r="Q258" s="114" t="s">
        <v>853</v>
      </c>
      <c r="S258" s="18"/>
      <c r="T258" s="38" t="s">
        <v>109</v>
      </c>
      <c r="U258" s="211">
        <v>46149</v>
      </c>
      <c r="V258" s="132" t="s">
        <v>854</v>
      </c>
      <c r="W258" s="117" t="s">
        <v>40</v>
      </c>
      <c r="X258" s="43">
        <v>46153</v>
      </c>
      <c r="Y258" s="14">
        <v>46154</v>
      </c>
      <c r="Z258" s="15">
        <v>914256</v>
      </c>
      <c r="AB258" s="10">
        <v>0</v>
      </c>
    </row>
    <row r="259" spans="1:28" ht="15.75" hidden="1" customHeight="1">
      <c r="A259" s="102">
        <v>29986</v>
      </c>
      <c r="B259" s="10">
        <v>1</v>
      </c>
      <c r="C259" s="63">
        <v>46134</v>
      </c>
      <c r="D259" s="91">
        <f t="shared" ca="1" si="11"/>
        <v>93</v>
      </c>
      <c r="E259" s="138" t="str">
        <f t="shared" ref="E259:E322" si="12">IF(W259="ADMITIDO","ADMITIDO",IF(W259="CANCELADA","CANCELADA",IF(H259="","",IF(H259="ADMITIDO","ADMITIDO",IF(H259="CANCELADA","CANCELADA",IF(OR(H259="ANALISE CANCELAMENTO",H259="ANÁLISE CANCELAMENTO"),"EM ANÁLISE",IF(D259="","",IF(D259&lt;=7,"NO PRAZO",IF(D259&lt;=14,"ATENÇÃO","CRÍTICO")))))))))</f>
        <v>CANCELADA</v>
      </c>
      <c r="F259" s="19" t="s">
        <v>28</v>
      </c>
      <c r="G259" s="34" t="s">
        <v>102</v>
      </c>
      <c r="H259" s="117" t="s">
        <v>52</v>
      </c>
      <c r="I259" s="117" t="str">
        <f>IF(W259="ADMITIDO","ADMITIDO",IF(W259="CANCELADA","CANCELADA",IF(H259="","",IFERROR(_xlfn.XLOOKUP(H259,Listas!I:I,Listas!J:J),"OUTROS"))))</f>
        <v>CANCELADA</v>
      </c>
      <c r="J259" s="12" t="s">
        <v>268</v>
      </c>
      <c r="K259" s="11" t="s">
        <v>326</v>
      </c>
      <c r="L259" s="11" t="s">
        <v>605</v>
      </c>
      <c r="M259" s="11" t="s">
        <v>63</v>
      </c>
      <c r="N259" s="11" t="s">
        <v>56</v>
      </c>
      <c r="O259" s="11" t="s">
        <v>35</v>
      </c>
      <c r="P259" s="11" t="s">
        <v>176</v>
      </c>
      <c r="Q259" s="108"/>
      <c r="S259" s="46"/>
      <c r="W259" s="56" t="s">
        <v>52</v>
      </c>
      <c r="X259" s="43"/>
      <c r="Z259" s="15"/>
      <c r="AB259" s="10">
        <v>0</v>
      </c>
    </row>
    <row r="260" spans="1:28" ht="15.75" hidden="1" customHeight="1">
      <c r="A260" s="100">
        <v>30006</v>
      </c>
      <c r="B260" s="10">
        <v>1</v>
      </c>
      <c r="C260" s="63">
        <v>46134</v>
      </c>
      <c r="D260" s="91">
        <f t="shared" ca="1" si="11"/>
        <v>93</v>
      </c>
      <c r="E260" s="138" t="str">
        <f t="shared" si="12"/>
        <v>CANCELADA</v>
      </c>
      <c r="F260" s="19" t="s">
        <v>28</v>
      </c>
      <c r="G260" s="34" t="s">
        <v>29</v>
      </c>
      <c r="H260" s="19" t="s">
        <v>52</v>
      </c>
      <c r="I260" s="19" t="str">
        <f>IF(W260="ADMITIDO","ADMITIDO",IF(W260="CANCELADA","CANCELADA",IF(H260="","",IFERROR(_xlfn.XLOOKUP(H260,Listas!I:I,Listas!J:J),"OUTROS"))))</f>
        <v>CANCELADA</v>
      </c>
      <c r="J260" s="12" t="s">
        <v>609</v>
      </c>
      <c r="K260" s="11" t="s">
        <v>31</v>
      </c>
      <c r="L260" s="11" t="s">
        <v>92</v>
      </c>
      <c r="M260" s="11" t="s">
        <v>93</v>
      </c>
      <c r="N260" s="11" t="s">
        <v>34</v>
      </c>
      <c r="O260" s="11" t="s">
        <v>35</v>
      </c>
      <c r="P260" s="11" t="s">
        <v>36</v>
      </c>
      <c r="Q260" s="108"/>
      <c r="S260" s="46"/>
      <c r="W260" s="44" t="s">
        <v>52</v>
      </c>
      <c r="X260" s="43"/>
      <c r="Z260" s="15"/>
      <c r="AB260" s="10">
        <v>0</v>
      </c>
    </row>
    <row r="261" spans="1:28" ht="15.75" hidden="1" customHeight="1">
      <c r="A261" s="100">
        <v>29985</v>
      </c>
      <c r="B261" s="10">
        <v>1</v>
      </c>
      <c r="C261" s="63">
        <v>46134</v>
      </c>
      <c r="D261" s="91">
        <f t="shared" ca="1" si="11"/>
        <v>93</v>
      </c>
      <c r="E261" s="138" t="str">
        <f t="shared" si="12"/>
        <v>ADMITIDO</v>
      </c>
      <c r="F261" s="19" t="s">
        <v>28</v>
      </c>
      <c r="G261" s="34" t="s">
        <v>60</v>
      </c>
      <c r="H261" s="117" t="s">
        <v>40</v>
      </c>
      <c r="I261" s="19" t="str">
        <f>IF(W261="ADMITIDO","ADMITIDO",IF(W261="CANCELADA","CANCELADA",IF(H261="","",IFERROR(_xlfn.XLOOKUP(H261,Listas!I:I,Listas!J:J),"OUTROS"))))</f>
        <v>ADMITIDO</v>
      </c>
      <c r="J261" s="12" t="s">
        <v>268</v>
      </c>
      <c r="K261" s="11" t="s">
        <v>318</v>
      </c>
      <c r="L261" s="11" t="s">
        <v>855</v>
      </c>
      <c r="M261" s="11" t="s">
        <v>63</v>
      </c>
      <c r="N261" s="11" t="s">
        <v>56</v>
      </c>
      <c r="O261" s="11" t="s">
        <v>35</v>
      </c>
      <c r="P261" s="11" t="s">
        <v>176</v>
      </c>
      <c r="Q261" s="108" t="s">
        <v>856</v>
      </c>
      <c r="R261" s="13"/>
      <c r="S261" s="17" t="s">
        <v>857</v>
      </c>
      <c r="T261" s="176" t="s">
        <v>109</v>
      </c>
      <c r="U261" s="219">
        <v>46155</v>
      </c>
      <c r="V261" s="180" t="s">
        <v>858</v>
      </c>
      <c r="W261" s="59" t="s">
        <v>40</v>
      </c>
      <c r="X261" s="43">
        <v>46156</v>
      </c>
      <c r="Y261" s="14">
        <v>46161</v>
      </c>
      <c r="Z261" s="15">
        <v>914281</v>
      </c>
      <c r="AB261" s="10">
        <v>0</v>
      </c>
    </row>
    <row r="262" spans="1:28" ht="15.75" hidden="1" customHeight="1">
      <c r="A262" s="100">
        <v>29992</v>
      </c>
      <c r="B262" s="10">
        <v>1</v>
      </c>
      <c r="C262" s="63">
        <v>46134</v>
      </c>
      <c r="D262" s="91">
        <f t="shared" ca="1" si="11"/>
        <v>93</v>
      </c>
      <c r="E262" s="138" t="str">
        <f t="shared" si="12"/>
        <v>CANCELADA</v>
      </c>
      <c r="F262" s="19" t="s">
        <v>119</v>
      </c>
      <c r="G262" s="34" t="s">
        <v>145</v>
      </c>
      <c r="H262" s="19" t="s">
        <v>52</v>
      </c>
      <c r="I262" s="19" t="str">
        <f>IF(W262="ADMITIDO","ADMITIDO",IF(W262="CANCELADA","CANCELADA",IF(H262="","",IFERROR(_xlfn.XLOOKUP(H262,Listas!I:I,Listas!J:J),"OUTROS"))))</f>
        <v>CANCELADA</v>
      </c>
      <c r="J262" s="12" t="s">
        <v>859</v>
      </c>
      <c r="K262" s="11" t="s">
        <v>824</v>
      </c>
      <c r="L262" s="11" t="s">
        <v>860</v>
      </c>
      <c r="M262" s="11" t="s">
        <v>63</v>
      </c>
      <c r="N262" s="11" t="s">
        <v>34</v>
      </c>
      <c r="O262" s="11" t="s">
        <v>48</v>
      </c>
      <c r="P262" s="11" t="s">
        <v>441</v>
      </c>
      <c r="Q262" s="108"/>
      <c r="S262" s="46"/>
      <c r="W262" s="173" t="s">
        <v>52</v>
      </c>
      <c r="X262" s="43"/>
      <c r="Z262" s="15"/>
      <c r="AB262" s="10">
        <v>0</v>
      </c>
    </row>
    <row r="263" spans="1:28" ht="15.75" hidden="1" customHeight="1">
      <c r="A263" s="101">
        <v>30007</v>
      </c>
      <c r="B263" s="10">
        <v>1</v>
      </c>
      <c r="C263" s="63">
        <v>46134</v>
      </c>
      <c r="D263" s="91">
        <f t="shared" ca="1" si="11"/>
        <v>93</v>
      </c>
      <c r="E263" s="138" t="str">
        <f t="shared" si="12"/>
        <v>ADMITIDO</v>
      </c>
      <c r="F263" s="19" t="s">
        <v>42</v>
      </c>
      <c r="G263" s="34" t="s">
        <v>43</v>
      </c>
      <c r="H263" s="117" t="s">
        <v>40</v>
      </c>
      <c r="I263" s="19" t="str">
        <f>IF(W263="ADMITIDO","ADMITIDO",IF(W263="CANCELADA","CANCELADA",IF(H263="","",IFERROR(_xlfn.XLOOKUP(H263,Listas!I:I,Listas!J:J),"OUTROS"))))</f>
        <v>ADMITIDO</v>
      </c>
      <c r="J263" s="12" t="s">
        <v>163</v>
      </c>
      <c r="K263" s="11" t="s">
        <v>45</v>
      </c>
      <c r="L263" s="11" t="s">
        <v>402</v>
      </c>
      <c r="M263" s="11" t="s">
        <v>33</v>
      </c>
      <c r="N263" s="11" t="s">
        <v>34</v>
      </c>
      <c r="O263" s="11" t="s">
        <v>57</v>
      </c>
      <c r="P263" s="11" t="s">
        <v>98</v>
      </c>
      <c r="Q263" s="113" t="s">
        <v>861</v>
      </c>
      <c r="S263" s="18">
        <v>11958975153</v>
      </c>
      <c r="T263" s="40" t="s">
        <v>50</v>
      </c>
      <c r="U263" s="212">
        <v>46148</v>
      </c>
      <c r="V263" s="181" t="s">
        <v>862</v>
      </c>
      <c r="W263" s="19" t="s">
        <v>40</v>
      </c>
      <c r="X263" s="43">
        <v>46155</v>
      </c>
      <c r="Y263" s="14">
        <v>46155</v>
      </c>
      <c r="Z263" s="15">
        <v>145947</v>
      </c>
      <c r="AB263" s="10">
        <v>0</v>
      </c>
    </row>
    <row r="264" spans="1:28" ht="15.75" hidden="1" customHeight="1">
      <c r="A264" s="100">
        <v>30023</v>
      </c>
      <c r="B264" s="10">
        <v>1</v>
      </c>
      <c r="C264" s="63">
        <v>46135</v>
      </c>
      <c r="D264" s="91">
        <f t="shared" ca="1" si="11"/>
        <v>92</v>
      </c>
      <c r="E264" s="138" t="str">
        <f t="shared" si="12"/>
        <v>ADMITIDO</v>
      </c>
      <c r="F264" s="19" t="s">
        <v>119</v>
      </c>
      <c r="G264" s="19" t="s">
        <v>29</v>
      </c>
      <c r="H264" s="19" t="s">
        <v>40</v>
      </c>
      <c r="I264" s="19" t="str">
        <f>IF(W264="ADMITIDO","ADMITIDO",IF(W264="CANCELADA","CANCELADA",IF(H264="","",IFERROR(_xlfn.XLOOKUP(H264,Listas!I:I,Listas!J:J),"OUTROS"))))</f>
        <v>ADMITIDO</v>
      </c>
      <c r="J264" s="12" t="s">
        <v>438</v>
      </c>
      <c r="K264" s="11" t="s">
        <v>439</v>
      </c>
      <c r="L264" s="11" t="s">
        <v>863</v>
      </c>
      <c r="M264" s="11" t="s">
        <v>88</v>
      </c>
      <c r="N264" s="11" t="s">
        <v>34</v>
      </c>
      <c r="O264" s="11" t="s">
        <v>48</v>
      </c>
      <c r="P264" s="11" t="s">
        <v>441</v>
      </c>
      <c r="Q264" s="108"/>
      <c r="S264" s="18"/>
      <c r="T264" s="38" t="s">
        <v>38</v>
      </c>
      <c r="U264" s="211">
        <v>46142</v>
      </c>
      <c r="V264" s="132" t="s">
        <v>864</v>
      </c>
      <c r="W264" s="19" t="s">
        <v>40</v>
      </c>
      <c r="X264" s="43">
        <v>46146</v>
      </c>
      <c r="Y264" s="14">
        <v>46146</v>
      </c>
      <c r="Z264" s="15">
        <v>145906</v>
      </c>
      <c r="AB264" s="10">
        <v>0</v>
      </c>
    </row>
    <row r="265" spans="1:28" ht="15.75" hidden="1" customHeight="1">
      <c r="A265" s="100">
        <v>30020</v>
      </c>
      <c r="B265" s="10">
        <v>1</v>
      </c>
      <c r="C265" s="63">
        <v>46135</v>
      </c>
      <c r="D265" s="91">
        <f t="shared" ca="1" si="11"/>
        <v>92</v>
      </c>
      <c r="E265" s="138" t="str">
        <f t="shared" si="12"/>
        <v>CANCELADA</v>
      </c>
      <c r="F265" s="19" t="s">
        <v>28</v>
      </c>
      <c r="G265" s="19" t="s">
        <v>29</v>
      </c>
      <c r="H265" s="117" t="s">
        <v>52</v>
      </c>
      <c r="I265" s="117" t="str">
        <f>IF(W265="ADMITIDO","ADMITIDO",IF(W265="CANCELADA","CANCELADA",IF(H265="","",IFERROR(_xlfn.XLOOKUP(H265,Listas!I:I,Listas!J:J),"OUTROS"))))</f>
        <v>CANCELADA</v>
      </c>
      <c r="J265" s="12" t="s">
        <v>670</v>
      </c>
      <c r="K265" s="11" t="s">
        <v>31</v>
      </c>
      <c r="L265" s="11" t="s">
        <v>865</v>
      </c>
      <c r="M265" s="11" t="s">
        <v>93</v>
      </c>
      <c r="N265" s="11" t="s">
        <v>34</v>
      </c>
      <c r="O265" s="11" t="s">
        <v>48</v>
      </c>
      <c r="P265" s="11" t="s">
        <v>866</v>
      </c>
      <c r="Q265" s="108"/>
      <c r="S265" s="46"/>
      <c r="W265" s="56" t="s">
        <v>52</v>
      </c>
      <c r="X265" s="43"/>
      <c r="Z265" s="15"/>
      <c r="AA265" s="45"/>
      <c r="AB265" s="10">
        <v>0</v>
      </c>
    </row>
    <row r="266" spans="1:28" ht="15.75" hidden="1" customHeight="1">
      <c r="A266" s="100">
        <v>30036</v>
      </c>
      <c r="B266" s="10">
        <v>1</v>
      </c>
      <c r="C266" s="63">
        <v>46136</v>
      </c>
      <c r="D266" s="91">
        <f t="shared" ref="D266:D304" ca="1" si="13">TODAY()-C266</f>
        <v>91</v>
      </c>
      <c r="E266" s="138" t="str">
        <f t="shared" ca="1" si="12"/>
        <v>CRÍTICO</v>
      </c>
      <c r="F266" s="19" t="s">
        <v>42</v>
      </c>
      <c r="G266" s="34" t="s">
        <v>60</v>
      </c>
      <c r="H266" s="19" t="s">
        <v>91</v>
      </c>
      <c r="I266" s="19" t="str">
        <f>IF(W266="ADMITIDO","ADMITIDO",IF(W266="CANCELADA","CANCELADA",IF(H266="","",IFERROR(_xlfn.XLOOKUP(H266,Listas!I:I,Listas!J:J),"OUTROS"))))</f>
        <v>TRIAGEM</v>
      </c>
      <c r="J266" s="12" t="s">
        <v>53</v>
      </c>
      <c r="K266" s="11" t="s">
        <v>61</v>
      </c>
      <c r="L266" s="11" t="s">
        <v>867</v>
      </c>
      <c r="M266" s="11" t="s">
        <v>63</v>
      </c>
      <c r="N266" s="11" t="s">
        <v>34</v>
      </c>
      <c r="O266" s="11" t="s">
        <v>219</v>
      </c>
      <c r="P266" s="11" t="s">
        <v>868</v>
      </c>
      <c r="Q266" s="108"/>
      <c r="S266" s="18"/>
      <c r="T266" s="40"/>
      <c r="U266" s="212"/>
      <c r="V266" s="53"/>
      <c r="W266" s="56"/>
      <c r="Z266" s="15"/>
      <c r="AB266" s="10">
        <v>0</v>
      </c>
    </row>
    <row r="267" spans="1:28" ht="15.75" hidden="1" customHeight="1">
      <c r="A267" s="100">
        <v>30010</v>
      </c>
      <c r="B267" s="10">
        <v>1</v>
      </c>
      <c r="C267" s="63">
        <v>46136</v>
      </c>
      <c r="D267" s="91">
        <f t="shared" ca="1" si="13"/>
        <v>91</v>
      </c>
      <c r="E267" s="138" t="str">
        <f t="shared" ca="1" si="12"/>
        <v>CRÍTICO</v>
      </c>
      <c r="F267" s="19" t="s">
        <v>171</v>
      </c>
      <c r="G267" s="34" t="s">
        <v>43</v>
      </c>
      <c r="H267" s="19" t="s">
        <v>638</v>
      </c>
      <c r="I267" s="19" t="str">
        <f>IF(W267="ADMITIDO","ADMITIDO",IF(W267="CANCELADA","CANCELADA",IF(H267="","",IFERROR(_xlfn.XLOOKUP(H267,Listas!I:I,Listas!J:J),"OUTROS"))))</f>
        <v>TRIAGEM</v>
      </c>
      <c r="J267" s="12" t="s">
        <v>514</v>
      </c>
      <c r="K267" s="11" t="s">
        <v>360</v>
      </c>
      <c r="L267" s="11" t="s">
        <v>869</v>
      </c>
      <c r="M267" s="11" t="s">
        <v>337</v>
      </c>
      <c r="N267" s="11" t="s">
        <v>34</v>
      </c>
      <c r="O267" s="11" t="s">
        <v>703</v>
      </c>
      <c r="P267" s="11" t="s">
        <v>36</v>
      </c>
      <c r="Q267" s="108"/>
      <c r="S267" s="18"/>
      <c r="V267" s="58"/>
      <c r="W267" s="123"/>
      <c r="Z267" s="15"/>
      <c r="AA267" s="149" t="s">
        <v>870</v>
      </c>
      <c r="AB267" s="10">
        <v>0</v>
      </c>
    </row>
    <row r="268" spans="1:28" ht="15.75" hidden="1" customHeight="1">
      <c r="A268" s="100">
        <v>30041</v>
      </c>
      <c r="B268" s="10">
        <v>1</v>
      </c>
      <c r="C268" s="63">
        <v>46136</v>
      </c>
      <c r="D268" s="91">
        <f t="shared" ca="1" si="13"/>
        <v>91</v>
      </c>
      <c r="E268" s="138" t="str">
        <f t="shared" si="12"/>
        <v>ADMITIDO</v>
      </c>
      <c r="F268" s="19" t="s">
        <v>42</v>
      </c>
      <c r="G268" s="19" t="s">
        <v>69</v>
      </c>
      <c r="H268" s="19" t="s">
        <v>40</v>
      </c>
      <c r="I268" s="19" t="str">
        <f>IF(W268="ADMITIDO","ADMITIDO",IF(W268="CANCELADA","CANCELADA",IF(H268="","",IFERROR(_xlfn.XLOOKUP(H268,Listas!I:I,Listas!J:J),"OUTROS"))))</f>
        <v>ADMITIDO</v>
      </c>
      <c r="J268" s="12" t="s">
        <v>461</v>
      </c>
      <c r="K268" s="11" t="s">
        <v>70</v>
      </c>
      <c r="L268" s="11" t="s">
        <v>343</v>
      </c>
      <c r="M268" s="11" t="s">
        <v>63</v>
      </c>
      <c r="N268" s="11" t="s">
        <v>34</v>
      </c>
      <c r="O268" s="11" t="s">
        <v>219</v>
      </c>
      <c r="P268" s="11" t="s">
        <v>462</v>
      </c>
      <c r="Q268" s="108"/>
      <c r="R268" s="16" t="s">
        <v>373</v>
      </c>
      <c r="S268" s="18"/>
      <c r="T268" s="11" t="s">
        <v>76</v>
      </c>
      <c r="U268" s="202">
        <v>46142</v>
      </c>
      <c r="V268" s="42" t="s">
        <v>871</v>
      </c>
      <c r="W268" s="59" t="s">
        <v>40</v>
      </c>
      <c r="X268" s="43">
        <v>46148</v>
      </c>
      <c r="Y268" s="14">
        <v>46149</v>
      </c>
      <c r="Z268" s="15">
        <v>914234</v>
      </c>
      <c r="AA268" s="45" t="s">
        <v>872</v>
      </c>
      <c r="AB268" s="10">
        <v>0</v>
      </c>
    </row>
    <row r="269" spans="1:28" ht="15.75" hidden="1" customHeight="1">
      <c r="A269" s="100">
        <v>30021</v>
      </c>
      <c r="B269" s="10">
        <v>1</v>
      </c>
      <c r="C269" s="63">
        <v>46136</v>
      </c>
      <c r="D269" s="91">
        <f t="shared" ca="1" si="13"/>
        <v>91</v>
      </c>
      <c r="E269" s="138" t="str">
        <f t="shared" si="12"/>
        <v>ADMITIDO</v>
      </c>
      <c r="F269" s="19" t="s">
        <v>171</v>
      </c>
      <c r="G269" s="19" t="s">
        <v>29</v>
      </c>
      <c r="H269" s="19" t="s">
        <v>40</v>
      </c>
      <c r="I269" s="19" t="str">
        <f>IF(W269="ADMITIDO","ADMITIDO",IF(W269="CANCELADA","CANCELADA",IF(H269="","",IFERROR(_xlfn.XLOOKUP(H269,Listas!I:I,Listas!J:J),"OUTROS"))))</f>
        <v>ADMITIDO</v>
      </c>
      <c r="J269" s="12" t="s">
        <v>172</v>
      </c>
      <c r="K269" s="11" t="s">
        <v>31</v>
      </c>
      <c r="L269" s="11" t="s">
        <v>873</v>
      </c>
      <c r="M269" s="11" t="s">
        <v>874</v>
      </c>
      <c r="N269" s="11" t="s">
        <v>34</v>
      </c>
      <c r="O269" s="11" t="s">
        <v>35</v>
      </c>
      <c r="P269" s="11" t="s">
        <v>875</v>
      </c>
      <c r="Q269" s="108"/>
      <c r="S269" s="18"/>
      <c r="V269" s="42"/>
      <c r="W269" s="19"/>
      <c r="X269" s="43"/>
      <c r="Z269" s="15"/>
      <c r="AA269" s="45" t="s">
        <v>876</v>
      </c>
      <c r="AB269" s="10">
        <v>0</v>
      </c>
    </row>
    <row r="270" spans="1:28" ht="15.75" hidden="1" customHeight="1">
      <c r="A270" s="100">
        <v>30039</v>
      </c>
      <c r="B270" s="10">
        <v>1</v>
      </c>
      <c r="C270" s="63">
        <v>46136</v>
      </c>
      <c r="D270" s="91">
        <f t="shared" ca="1" si="13"/>
        <v>91</v>
      </c>
      <c r="E270" s="138" t="str">
        <f t="shared" si="12"/>
        <v>ADMITIDO</v>
      </c>
      <c r="F270" s="19" t="s">
        <v>42</v>
      </c>
      <c r="G270" s="19" t="s">
        <v>29</v>
      </c>
      <c r="H270" s="19" t="s">
        <v>40</v>
      </c>
      <c r="I270" s="19" t="str">
        <f>IF(W270="ADMITIDO","ADMITIDO",IF(W270="CANCELADA","CANCELADA",IF(H270="","",IFERROR(_xlfn.XLOOKUP(H270,Listas!I:I,Listas!J:J),"OUTROS"))))</f>
        <v>ADMITIDO</v>
      </c>
      <c r="J270" s="12" t="s">
        <v>53</v>
      </c>
      <c r="K270" s="11" t="s">
        <v>54</v>
      </c>
      <c r="L270" s="11" t="s">
        <v>55</v>
      </c>
      <c r="M270" s="11" t="s">
        <v>33</v>
      </c>
      <c r="N270" s="11" t="s">
        <v>56</v>
      </c>
      <c r="O270" s="11" t="s">
        <v>35</v>
      </c>
      <c r="P270" s="11" t="s">
        <v>176</v>
      </c>
      <c r="Q270" s="108"/>
      <c r="S270" s="18" t="s">
        <v>877</v>
      </c>
      <c r="T270" s="11" t="s">
        <v>38</v>
      </c>
      <c r="U270" s="202">
        <v>46147</v>
      </c>
      <c r="V270" s="64" t="s">
        <v>878</v>
      </c>
      <c r="W270" s="19" t="s">
        <v>40</v>
      </c>
      <c r="X270" s="43">
        <v>46155</v>
      </c>
      <c r="Y270" s="14">
        <v>46156</v>
      </c>
      <c r="Z270" s="15">
        <v>145943</v>
      </c>
      <c r="AB270" s="10">
        <v>0</v>
      </c>
    </row>
    <row r="271" spans="1:28" ht="15.75" hidden="1" customHeight="1">
      <c r="A271" s="100">
        <v>30043</v>
      </c>
      <c r="B271" s="10">
        <v>1</v>
      </c>
      <c r="C271" s="63">
        <v>46136</v>
      </c>
      <c r="D271" s="91">
        <f t="shared" ca="1" si="13"/>
        <v>91</v>
      </c>
      <c r="E271" s="138" t="str">
        <f t="shared" ca="1" si="12"/>
        <v>CRÍTICO</v>
      </c>
      <c r="F271" s="19" t="s">
        <v>42</v>
      </c>
      <c r="G271" s="19" t="s">
        <v>145</v>
      </c>
      <c r="H271" s="19" t="s">
        <v>879</v>
      </c>
      <c r="I271" s="19" t="str">
        <f>IF(W271="ADMITIDO","ADMITIDO",IF(W271="CANCELADA","CANCELADA",IF(H271="","",IFERROR(_xlfn.XLOOKUP(H271,Listas!I:I,Listas!J:J),"OUTROS"))))</f>
        <v>ENTREVISTA RH</v>
      </c>
      <c r="J271" s="12" t="s">
        <v>782</v>
      </c>
      <c r="K271" s="11" t="s">
        <v>103</v>
      </c>
      <c r="L271" s="11" t="s">
        <v>104</v>
      </c>
      <c r="M271" s="11" t="s">
        <v>33</v>
      </c>
      <c r="N271" s="11" t="s">
        <v>34</v>
      </c>
      <c r="O271" s="11" t="s">
        <v>57</v>
      </c>
      <c r="P271" s="11" t="s">
        <v>880</v>
      </c>
      <c r="Q271" s="108"/>
      <c r="S271" s="18"/>
      <c r="U271" s="202">
        <v>46157</v>
      </c>
      <c r="V271" s="41" t="s">
        <v>881</v>
      </c>
      <c r="W271" s="173"/>
      <c r="Z271" s="15"/>
      <c r="AB271" s="10">
        <v>0</v>
      </c>
    </row>
    <row r="272" spans="1:28" ht="15.75" hidden="1" customHeight="1">
      <c r="A272" s="101">
        <v>30032</v>
      </c>
      <c r="B272" s="10">
        <v>1</v>
      </c>
      <c r="C272" s="63">
        <v>46136</v>
      </c>
      <c r="D272" s="91">
        <f t="shared" ca="1" si="13"/>
        <v>91</v>
      </c>
      <c r="E272" s="138" t="str">
        <f t="shared" si="12"/>
        <v>ADMITIDO</v>
      </c>
      <c r="F272" s="19" t="s">
        <v>42</v>
      </c>
      <c r="G272" s="34" t="s">
        <v>240</v>
      </c>
      <c r="H272" s="19" t="s">
        <v>40</v>
      </c>
      <c r="I272" s="19" t="str">
        <f>IF(W272="ADMITIDO","ADMITIDO",IF(W272="CANCELADA","CANCELADA",IF(H272="","",IFERROR(_xlfn.XLOOKUP(H272,Listas!I:I,Listas!J:J),"OUTROS"))))</f>
        <v>ADMITIDO</v>
      </c>
      <c r="J272" s="12" t="s">
        <v>53</v>
      </c>
      <c r="K272" s="11" t="s">
        <v>241</v>
      </c>
      <c r="L272" s="11" t="s">
        <v>775</v>
      </c>
      <c r="M272" s="11" t="s">
        <v>243</v>
      </c>
      <c r="N272" s="11" t="s">
        <v>34</v>
      </c>
      <c r="O272" s="11" t="s">
        <v>57</v>
      </c>
      <c r="P272" s="11" t="s">
        <v>73</v>
      </c>
      <c r="Q272" s="108"/>
      <c r="S272" s="18" t="s">
        <v>882</v>
      </c>
      <c r="T272" s="11" t="s">
        <v>109</v>
      </c>
      <c r="U272" s="202">
        <v>46148</v>
      </c>
      <c r="V272" s="132" t="s">
        <v>883</v>
      </c>
      <c r="W272" s="59" t="s">
        <v>40</v>
      </c>
      <c r="X272" s="43">
        <v>46150</v>
      </c>
      <c r="Y272" s="14">
        <v>46153</v>
      </c>
      <c r="Z272" s="15">
        <v>145939</v>
      </c>
      <c r="AB272" s="10">
        <v>0</v>
      </c>
    </row>
    <row r="273" spans="1:28" ht="15.75" customHeight="1">
      <c r="A273" s="100">
        <v>30038</v>
      </c>
      <c r="B273" s="10">
        <v>1</v>
      </c>
      <c r="C273" s="63">
        <v>46136</v>
      </c>
      <c r="D273" s="91">
        <f t="shared" ca="1" si="13"/>
        <v>91</v>
      </c>
      <c r="E273" s="138" t="str">
        <f t="shared" ca="1" si="12"/>
        <v>CRÍTICO</v>
      </c>
      <c r="F273" s="19" t="s">
        <v>42</v>
      </c>
      <c r="G273" s="19" t="s">
        <v>663</v>
      </c>
      <c r="H273" s="19" t="s">
        <v>181</v>
      </c>
      <c r="I273" s="19" t="str">
        <f>IF(W273="ADMITIDO","ADMITIDO",IF(W273="CANCELADA","CANCELADA",IF(H273="","",IFERROR(_xlfn.XLOOKUP(H273,Listas!I:I,Listas!J:J),"OUTROS"))))</f>
        <v>DOCUMENTAÇÃO</v>
      </c>
      <c r="J273" s="12" t="s">
        <v>53</v>
      </c>
      <c r="K273" s="11" t="s">
        <v>54</v>
      </c>
      <c r="L273" s="11" t="s">
        <v>164</v>
      </c>
      <c r="M273" s="11" t="s">
        <v>88</v>
      </c>
      <c r="N273" s="11" t="s">
        <v>34</v>
      </c>
      <c r="O273" s="11" t="s">
        <v>57</v>
      </c>
      <c r="P273" s="11" t="s">
        <v>94</v>
      </c>
      <c r="Q273" s="108"/>
      <c r="S273" s="18" t="s">
        <v>884</v>
      </c>
      <c r="T273" s="11" t="s">
        <v>38</v>
      </c>
      <c r="U273" s="213"/>
      <c r="V273" s="205" t="s">
        <v>885</v>
      </c>
      <c r="W273" s="188"/>
      <c r="Z273" s="15"/>
      <c r="AA273" s="45" t="s">
        <v>886</v>
      </c>
      <c r="AB273" s="10">
        <v>0</v>
      </c>
    </row>
    <row r="274" spans="1:28" ht="15.75" hidden="1" customHeight="1">
      <c r="A274" s="100">
        <v>30011</v>
      </c>
      <c r="B274" s="10">
        <v>1</v>
      </c>
      <c r="C274" s="63">
        <v>46136</v>
      </c>
      <c r="D274" s="91">
        <f t="shared" ca="1" si="13"/>
        <v>91</v>
      </c>
      <c r="E274" s="138" t="str">
        <f t="shared" si="12"/>
        <v>ADMITIDO</v>
      </c>
      <c r="F274" s="19" t="s">
        <v>28</v>
      </c>
      <c r="G274" s="34" t="s">
        <v>240</v>
      </c>
      <c r="H274" s="19" t="str">
        <f>W274</f>
        <v>ADMITIDO</v>
      </c>
      <c r="I274" s="19" t="str">
        <f>IF(W274="ADMITIDO","ADMITIDO",IF(W274="CANCELADA","CANCELADA",IF(H274="","",IFERROR(_xlfn.XLOOKUP(H274,Listas!I:I,Listas!J:J),"OUTROS"))))</f>
        <v>ADMITIDO</v>
      </c>
      <c r="J274" s="12" t="s">
        <v>268</v>
      </c>
      <c r="K274" s="11" t="s">
        <v>423</v>
      </c>
      <c r="L274" s="11" t="s">
        <v>887</v>
      </c>
      <c r="M274" s="11" t="s">
        <v>175</v>
      </c>
      <c r="N274" s="11" t="s">
        <v>34</v>
      </c>
      <c r="O274" s="11" t="s">
        <v>35</v>
      </c>
      <c r="P274" s="11" t="s">
        <v>36</v>
      </c>
      <c r="Q274" s="108"/>
      <c r="T274" s="11" t="s">
        <v>132</v>
      </c>
      <c r="U274" s="202">
        <v>46135</v>
      </c>
      <c r="V274" s="179" t="s">
        <v>888</v>
      </c>
      <c r="W274" s="59" t="s">
        <v>40</v>
      </c>
      <c r="X274" s="43">
        <v>46140</v>
      </c>
      <c r="Y274" s="14">
        <v>46143</v>
      </c>
      <c r="Z274" s="15">
        <v>914188</v>
      </c>
      <c r="AB274" s="10">
        <v>0</v>
      </c>
    </row>
    <row r="275" spans="1:28" ht="15.75" hidden="1" customHeight="1">
      <c r="A275" s="101">
        <v>30031</v>
      </c>
      <c r="B275" s="10">
        <v>1</v>
      </c>
      <c r="C275" s="63">
        <v>46136</v>
      </c>
      <c r="D275" s="91">
        <f t="shared" ca="1" si="13"/>
        <v>91</v>
      </c>
      <c r="E275" s="138" t="str">
        <f t="shared" si="12"/>
        <v>ADMITIDO</v>
      </c>
      <c r="F275" s="19" t="s">
        <v>28</v>
      </c>
      <c r="G275" s="117" t="s">
        <v>60</v>
      </c>
      <c r="H275" s="19" t="s">
        <v>40</v>
      </c>
      <c r="I275" s="19" t="str">
        <f>IF(W275="ADMITIDO","ADMITIDO",IF(W275="CANCELADA","CANCELADA",IF(H275="","",IFERROR(_xlfn.XLOOKUP(H275,Listas!I:I,Listas!J:J),"OUTROS"))))</f>
        <v>ADMITIDO</v>
      </c>
      <c r="J275" s="12" t="s">
        <v>268</v>
      </c>
      <c r="K275" s="11" t="s">
        <v>330</v>
      </c>
      <c r="L275" s="11" t="s">
        <v>747</v>
      </c>
      <c r="M275" s="11" t="s">
        <v>63</v>
      </c>
      <c r="N275" s="11" t="s">
        <v>34</v>
      </c>
      <c r="O275" s="11" t="s">
        <v>35</v>
      </c>
      <c r="P275" s="11" t="s">
        <v>36</v>
      </c>
      <c r="Q275" s="108" t="s">
        <v>889</v>
      </c>
      <c r="S275" s="17" t="s">
        <v>890</v>
      </c>
      <c r="T275" s="11" t="s">
        <v>76</v>
      </c>
      <c r="U275" s="202">
        <v>46155</v>
      </c>
      <c r="V275" s="42" t="s">
        <v>891</v>
      </c>
      <c r="W275" s="59" t="s">
        <v>40</v>
      </c>
      <c r="X275" s="43">
        <v>46157</v>
      </c>
      <c r="Y275" s="14">
        <v>46161</v>
      </c>
      <c r="Z275" s="15">
        <v>914288</v>
      </c>
      <c r="AA275" s="45" t="s">
        <v>892</v>
      </c>
      <c r="AB275" s="10">
        <v>0</v>
      </c>
    </row>
    <row r="276" spans="1:28" ht="15.75" hidden="1" customHeight="1">
      <c r="A276" s="101">
        <v>30027</v>
      </c>
      <c r="B276" s="10">
        <v>1</v>
      </c>
      <c r="C276" s="63">
        <v>46136</v>
      </c>
      <c r="D276" s="91">
        <f t="shared" ca="1" si="13"/>
        <v>91</v>
      </c>
      <c r="E276" s="138" t="str">
        <f t="shared" ca="1" si="12"/>
        <v>CRÍTICO</v>
      </c>
      <c r="F276" s="19" t="s">
        <v>42</v>
      </c>
      <c r="G276" s="19" t="s">
        <v>29</v>
      </c>
      <c r="H276" s="117" t="s">
        <v>91</v>
      </c>
      <c r="I276" s="19" t="str">
        <f>IF(W276="ADMITIDO","ADMITIDO",IF(W276="CANCELADA","CANCELADA",IF(H276="","",IFERROR(_xlfn.XLOOKUP(H276,Listas!I:I,Listas!J:J),"OUTROS"))))</f>
        <v>TRIAGEM</v>
      </c>
      <c r="J276" s="12" t="s">
        <v>53</v>
      </c>
      <c r="K276" s="11" t="s">
        <v>228</v>
      </c>
      <c r="L276" s="11" t="s">
        <v>807</v>
      </c>
      <c r="M276" s="11" t="s">
        <v>88</v>
      </c>
      <c r="N276" s="11" t="s">
        <v>34</v>
      </c>
      <c r="O276" s="11" t="s">
        <v>48</v>
      </c>
      <c r="P276" s="11" t="s">
        <v>49</v>
      </c>
      <c r="Q276" s="108"/>
      <c r="S276" s="18"/>
      <c r="W276" s="175"/>
      <c r="Z276" s="15"/>
      <c r="AA276" s="45"/>
      <c r="AB276" s="10">
        <v>0</v>
      </c>
    </row>
    <row r="277" spans="1:28" ht="15.75" hidden="1" customHeight="1">
      <c r="A277" s="103">
        <v>30030</v>
      </c>
      <c r="B277" s="62">
        <v>1</v>
      </c>
      <c r="C277" s="199">
        <v>46136</v>
      </c>
      <c r="D277" s="98">
        <f t="shared" ca="1" si="13"/>
        <v>91</v>
      </c>
      <c r="E277" s="138" t="str">
        <f t="shared" si="12"/>
        <v>ADMITIDO</v>
      </c>
      <c r="F277" s="51" t="s">
        <v>42</v>
      </c>
      <c r="G277" s="51" t="s">
        <v>29</v>
      </c>
      <c r="H277" s="19" t="s">
        <v>40</v>
      </c>
      <c r="I277" s="51" t="str">
        <f>IF(W277="ADMITIDO","ADMITIDO",IF(W277="CANCELADA","CANCELADA",IF(H277="","",IFERROR(_xlfn.XLOOKUP(H277,Listas!I:I,Listas!J:J),"OUTROS"))))</f>
        <v>ADMITIDO</v>
      </c>
      <c r="J277" s="37" t="s">
        <v>461</v>
      </c>
      <c r="K277" s="38" t="s">
        <v>228</v>
      </c>
      <c r="L277" s="38" t="s">
        <v>807</v>
      </c>
      <c r="M277" s="38" t="s">
        <v>88</v>
      </c>
      <c r="N277" s="38" t="s">
        <v>34</v>
      </c>
      <c r="O277" s="38" t="s">
        <v>48</v>
      </c>
      <c r="P277" s="38" t="s">
        <v>131</v>
      </c>
      <c r="Q277" s="110"/>
      <c r="T277" s="38" t="s">
        <v>38</v>
      </c>
      <c r="U277" s="211">
        <v>46140</v>
      </c>
      <c r="V277" s="132" t="s">
        <v>893</v>
      </c>
      <c r="W277" s="19" t="s">
        <v>40</v>
      </c>
      <c r="X277" s="77">
        <v>46148</v>
      </c>
      <c r="Y277" s="48">
        <v>46149</v>
      </c>
      <c r="Z277" s="50">
        <v>914217</v>
      </c>
      <c r="AA277" s="157"/>
      <c r="AB277" s="10">
        <v>0</v>
      </c>
    </row>
    <row r="278" spans="1:28" ht="15.75" hidden="1" customHeight="1">
      <c r="A278" s="100">
        <v>30044</v>
      </c>
      <c r="B278" s="10">
        <v>1</v>
      </c>
      <c r="C278" s="63">
        <v>46136</v>
      </c>
      <c r="D278" s="91">
        <f t="shared" ca="1" si="13"/>
        <v>91</v>
      </c>
      <c r="E278" s="138" t="str">
        <f t="shared" si="12"/>
        <v>ADMITIDO</v>
      </c>
      <c r="F278" s="19" t="s">
        <v>171</v>
      </c>
      <c r="G278" s="145" t="s">
        <v>145</v>
      </c>
      <c r="H278" s="117" t="s">
        <v>40</v>
      </c>
      <c r="I278" s="146" t="str">
        <f>IF(W278="ADMITIDO","ADMITIDO",IF(W278="CANCELADA","CANCELADA",IF(H278="","",IFERROR(_xlfn.XLOOKUP(H278,Listas!I:I,Listas!J:J),"OUTROS"))))</f>
        <v>ADMITIDO</v>
      </c>
      <c r="J278" s="12" t="s">
        <v>894</v>
      </c>
      <c r="K278" s="11" t="s">
        <v>371</v>
      </c>
      <c r="L278" s="11" t="s">
        <v>895</v>
      </c>
      <c r="M278" s="11" t="s">
        <v>391</v>
      </c>
      <c r="N278" s="11" t="s">
        <v>34</v>
      </c>
      <c r="O278" s="11" t="s">
        <v>35</v>
      </c>
      <c r="P278" s="11" t="s">
        <v>711</v>
      </c>
      <c r="Q278" s="108" t="s">
        <v>896</v>
      </c>
      <c r="R278" s="47"/>
      <c r="S278" s="46" t="s">
        <v>897</v>
      </c>
      <c r="T278" s="38" t="s">
        <v>132</v>
      </c>
      <c r="U278" s="211">
        <v>46136</v>
      </c>
      <c r="V278" s="132" t="s">
        <v>898</v>
      </c>
      <c r="W278" s="19" t="s">
        <v>40</v>
      </c>
      <c r="X278" s="43">
        <v>46148</v>
      </c>
      <c r="Y278" s="14">
        <v>46150</v>
      </c>
      <c r="Z278" s="15">
        <v>83279</v>
      </c>
      <c r="AA278" s="45"/>
      <c r="AB278" s="10">
        <v>0</v>
      </c>
    </row>
    <row r="279" spans="1:28" ht="15.75" hidden="1" customHeight="1">
      <c r="A279" s="104">
        <v>30012</v>
      </c>
      <c r="B279" s="61">
        <v>1</v>
      </c>
      <c r="C279" s="200">
        <v>46136</v>
      </c>
      <c r="D279" s="99">
        <f t="shared" ca="1" si="13"/>
        <v>91</v>
      </c>
      <c r="E279" s="170" t="str">
        <f t="shared" si="12"/>
        <v>CANCELADA</v>
      </c>
      <c r="F279" s="83" t="s">
        <v>28</v>
      </c>
      <c r="G279" s="55" t="s">
        <v>240</v>
      </c>
      <c r="H279" s="83" t="s">
        <v>52</v>
      </c>
      <c r="I279" s="83" t="str">
        <f>IF(W279="ADMITIDO","ADMITIDO",IF(W279="CANCELADA","CANCELADA",IF(H279="","",IFERROR(_xlfn.XLOOKUP(H279,Listas!I:I,Listas!J:J),"OUTROS"))))</f>
        <v>CANCELADA</v>
      </c>
      <c r="J279" s="39" t="s">
        <v>268</v>
      </c>
      <c r="K279" s="40" t="s">
        <v>423</v>
      </c>
      <c r="L279" s="40" t="s">
        <v>855</v>
      </c>
      <c r="M279" s="40" t="s">
        <v>63</v>
      </c>
      <c r="N279" s="40" t="s">
        <v>34</v>
      </c>
      <c r="O279" s="40" t="s">
        <v>35</v>
      </c>
      <c r="P279" s="40" t="s">
        <v>36</v>
      </c>
      <c r="Q279" s="111"/>
      <c r="R279" s="16" t="s">
        <v>899</v>
      </c>
      <c r="S279" s="46" t="s">
        <v>900</v>
      </c>
      <c r="V279" s="41" t="s">
        <v>901</v>
      </c>
      <c r="W279" s="171" t="s">
        <v>52</v>
      </c>
      <c r="X279" s="130"/>
      <c r="Y279" s="52"/>
      <c r="Z279" s="54"/>
      <c r="AA279" s="155"/>
      <c r="AB279" s="10">
        <v>0</v>
      </c>
    </row>
    <row r="280" spans="1:28" ht="15.75" hidden="1" customHeight="1">
      <c r="A280" s="100">
        <v>30013</v>
      </c>
      <c r="B280" s="10">
        <v>1</v>
      </c>
      <c r="C280" s="63">
        <v>46136</v>
      </c>
      <c r="D280" s="91">
        <f t="shared" ca="1" si="13"/>
        <v>91</v>
      </c>
      <c r="E280" s="138" t="str">
        <f t="shared" si="12"/>
        <v>ADMITIDO</v>
      </c>
      <c r="F280" s="19" t="s">
        <v>28</v>
      </c>
      <c r="G280" s="34" t="s">
        <v>240</v>
      </c>
      <c r="H280" s="19" t="str">
        <f>W280</f>
        <v>ADMITIDO</v>
      </c>
      <c r="I280" s="19" t="str">
        <f>IF(W280="ADMITIDO","ADMITIDO",IF(W280="CANCELADA","CANCELADA",IF(H280="","",IFERROR(_xlfn.XLOOKUP(H280,Listas!I:I,Listas!J:J),"OUTROS"))))</f>
        <v>ADMITIDO</v>
      </c>
      <c r="J280" s="12" t="s">
        <v>487</v>
      </c>
      <c r="K280" s="11" t="s">
        <v>423</v>
      </c>
      <c r="L280" s="11" t="s">
        <v>488</v>
      </c>
      <c r="M280" s="11" t="s">
        <v>63</v>
      </c>
      <c r="N280" s="11" t="s">
        <v>34</v>
      </c>
      <c r="O280" s="11" t="s">
        <v>35</v>
      </c>
      <c r="P280" s="11" t="s">
        <v>36</v>
      </c>
      <c r="Q280" s="108"/>
      <c r="T280" s="40" t="s">
        <v>132</v>
      </c>
      <c r="U280" s="212">
        <v>46135</v>
      </c>
      <c r="V280" s="179" t="s">
        <v>902</v>
      </c>
      <c r="W280" s="59" t="s">
        <v>40</v>
      </c>
      <c r="X280" s="43">
        <v>46140</v>
      </c>
      <c r="Y280" s="14">
        <v>46143</v>
      </c>
      <c r="Z280" s="15">
        <v>914192</v>
      </c>
      <c r="AB280" s="10">
        <v>0</v>
      </c>
    </row>
    <row r="281" spans="1:28" ht="15.75" hidden="1" customHeight="1">
      <c r="A281" s="100">
        <v>30042</v>
      </c>
      <c r="B281" s="10">
        <v>1</v>
      </c>
      <c r="C281" s="63">
        <v>46136</v>
      </c>
      <c r="D281" s="91">
        <f t="shared" ca="1" si="13"/>
        <v>91</v>
      </c>
      <c r="E281" s="138" t="str">
        <f t="shared" si="12"/>
        <v>ADMITIDO</v>
      </c>
      <c r="F281" s="19" t="s">
        <v>28</v>
      </c>
      <c r="G281" s="19" t="s">
        <v>29</v>
      </c>
      <c r="H281" s="19" t="s">
        <v>40</v>
      </c>
      <c r="I281" s="19" t="str">
        <f>IF(W281="ADMITIDO","ADMITIDO",IF(W281="CANCELADA","CANCELADA",IF(H281="","",IFERROR(_xlfn.XLOOKUP(H281,Listas!I:I,Listas!J:J),"OUTROS"))))</f>
        <v>ADMITIDO</v>
      </c>
      <c r="J281" s="12" t="s">
        <v>146</v>
      </c>
      <c r="K281" s="11" t="s">
        <v>86</v>
      </c>
      <c r="L281" s="11" t="s">
        <v>903</v>
      </c>
      <c r="M281" s="11" t="s">
        <v>904</v>
      </c>
      <c r="N281" s="11" t="s">
        <v>34</v>
      </c>
      <c r="O281" s="11" t="s">
        <v>35</v>
      </c>
      <c r="P281" s="11" t="s">
        <v>905</v>
      </c>
      <c r="Q281" s="108"/>
      <c r="S281" s="18"/>
      <c r="T281" s="11" t="s">
        <v>38</v>
      </c>
      <c r="U281" s="202">
        <v>46142</v>
      </c>
      <c r="V281" s="42" t="s">
        <v>906</v>
      </c>
      <c r="W281" s="59" t="s">
        <v>40</v>
      </c>
      <c r="X281" s="43">
        <v>46147</v>
      </c>
      <c r="Y281" s="14">
        <v>46148</v>
      </c>
      <c r="Z281" s="15">
        <v>914226</v>
      </c>
      <c r="AA281" s="45"/>
      <c r="AB281" s="10">
        <v>0</v>
      </c>
    </row>
    <row r="282" spans="1:28" ht="15.75" hidden="1" customHeight="1">
      <c r="A282" s="100">
        <v>30040</v>
      </c>
      <c r="B282" s="10">
        <v>1</v>
      </c>
      <c r="C282" s="63">
        <v>46136</v>
      </c>
      <c r="D282" s="91">
        <f t="shared" ca="1" si="13"/>
        <v>91</v>
      </c>
      <c r="E282" s="138" t="str">
        <f t="shared" si="12"/>
        <v>ADMITIDO</v>
      </c>
      <c r="F282" s="19" t="s">
        <v>28</v>
      </c>
      <c r="G282" s="117" t="s">
        <v>60</v>
      </c>
      <c r="H282" s="117" t="s">
        <v>40</v>
      </c>
      <c r="I282" s="19" t="str">
        <f>IF(W282="ADMITIDO","ADMITIDO",IF(W282="CANCELADA","CANCELADA",IF(H282="","",IFERROR(_xlfn.XLOOKUP(H282,Listas!I:I,Listas!J:J),"OUTROS"))))</f>
        <v>ADMITIDO</v>
      </c>
      <c r="J282" s="12" t="s">
        <v>487</v>
      </c>
      <c r="K282" s="11" t="s">
        <v>330</v>
      </c>
      <c r="L282" s="11" t="s">
        <v>907</v>
      </c>
      <c r="M282" s="11" t="s">
        <v>63</v>
      </c>
      <c r="N282" s="11" t="s">
        <v>34</v>
      </c>
      <c r="O282" s="11" t="s">
        <v>35</v>
      </c>
      <c r="P282" s="11" t="s">
        <v>36</v>
      </c>
      <c r="Q282" s="108" t="s">
        <v>908</v>
      </c>
      <c r="S282" s="18"/>
      <c r="T282" s="11" t="s">
        <v>67</v>
      </c>
      <c r="U282" s="202">
        <v>46147</v>
      </c>
      <c r="V282" s="42" t="s">
        <v>909</v>
      </c>
      <c r="W282" s="19" t="s">
        <v>40</v>
      </c>
      <c r="X282" s="43">
        <v>46150</v>
      </c>
      <c r="Y282" s="14">
        <v>46153</v>
      </c>
      <c r="Z282" s="15">
        <v>914244</v>
      </c>
      <c r="AA282" s="45" t="s">
        <v>910</v>
      </c>
      <c r="AB282" s="10">
        <v>0</v>
      </c>
    </row>
    <row r="283" spans="1:28" ht="15.75" hidden="1" customHeight="1">
      <c r="A283" s="101">
        <v>30026</v>
      </c>
      <c r="B283" s="10">
        <v>1</v>
      </c>
      <c r="C283" s="63">
        <v>46136</v>
      </c>
      <c r="D283" s="91">
        <f t="shared" ca="1" si="13"/>
        <v>91</v>
      </c>
      <c r="E283" s="138" t="str">
        <f t="shared" ca="1" si="12"/>
        <v>CRÍTICO</v>
      </c>
      <c r="F283" s="19" t="s">
        <v>171</v>
      </c>
      <c r="G283" s="34" t="s">
        <v>43</v>
      </c>
      <c r="H283" s="19" t="s">
        <v>91</v>
      </c>
      <c r="I283" s="19" t="str">
        <f>IF(W283="ADMITIDO","ADMITIDO",IF(W283="CANCELADA","CANCELADA",IF(H283="","",IFERROR(_xlfn.XLOOKUP(H283,Listas!I:I,Listas!J:J),"OUTROS"))))</f>
        <v>TRIAGEM</v>
      </c>
      <c r="J283" s="12" t="s">
        <v>787</v>
      </c>
      <c r="K283" s="11" t="s">
        <v>335</v>
      </c>
      <c r="L283" s="11" t="s">
        <v>336</v>
      </c>
      <c r="M283" s="11" t="s">
        <v>337</v>
      </c>
      <c r="N283" s="11" t="s">
        <v>56</v>
      </c>
      <c r="O283" s="11" t="s">
        <v>35</v>
      </c>
      <c r="P283" s="11" t="s">
        <v>176</v>
      </c>
      <c r="Q283" s="108"/>
      <c r="S283" s="18"/>
      <c r="W283" s="173"/>
      <c r="Z283" s="15"/>
      <c r="AB283" s="10">
        <v>0</v>
      </c>
    </row>
    <row r="284" spans="1:28" ht="15.75" hidden="1" customHeight="1">
      <c r="A284" s="100">
        <v>30037</v>
      </c>
      <c r="B284" s="10">
        <v>1</v>
      </c>
      <c r="C284" s="63">
        <v>46136</v>
      </c>
      <c r="D284" s="91">
        <f t="shared" ca="1" si="13"/>
        <v>91</v>
      </c>
      <c r="E284" s="138" t="str">
        <f t="shared" si="12"/>
        <v>ADMITIDO</v>
      </c>
      <c r="F284" s="19" t="s">
        <v>171</v>
      </c>
      <c r="G284" s="19" t="s">
        <v>69</v>
      </c>
      <c r="H284" s="19" t="str">
        <f>W284</f>
        <v>ADMITIDO</v>
      </c>
      <c r="I284" s="19" t="str">
        <f>IF(W284="ADMITIDO","ADMITIDO",IF(W284="CANCELADA","CANCELADA",IF(H284="","",IFERROR(_xlfn.XLOOKUP(H284,Listas!I:I,Listas!J:J),"OUTROS"))))</f>
        <v>ADMITIDO</v>
      </c>
      <c r="J284" s="12" t="s">
        <v>268</v>
      </c>
      <c r="K284" s="11" t="s">
        <v>173</v>
      </c>
      <c r="L284" s="11" t="s">
        <v>494</v>
      </c>
      <c r="M284" s="11" t="s">
        <v>175</v>
      </c>
      <c r="N284" s="11" t="s">
        <v>56</v>
      </c>
      <c r="O284" s="11" t="s">
        <v>35</v>
      </c>
      <c r="P284" s="11" t="s">
        <v>176</v>
      </c>
      <c r="Q284" s="108"/>
      <c r="T284" s="11" t="s">
        <v>132</v>
      </c>
      <c r="U284" s="202">
        <v>46140</v>
      </c>
      <c r="V284" s="42" t="s">
        <v>911</v>
      </c>
      <c r="W284" s="59" t="s">
        <v>40</v>
      </c>
      <c r="X284" s="43">
        <v>46142</v>
      </c>
      <c r="Y284" s="14">
        <v>46145</v>
      </c>
      <c r="Z284" s="15">
        <v>914206</v>
      </c>
      <c r="AB284" s="10">
        <v>0</v>
      </c>
    </row>
    <row r="285" spans="1:28" ht="15.75" hidden="1" customHeight="1">
      <c r="A285" s="100">
        <v>30019</v>
      </c>
      <c r="B285" s="10">
        <v>1</v>
      </c>
      <c r="C285" s="63">
        <v>46136</v>
      </c>
      <c r="D285" s="91">
        <f t="shared" ca="1" si="13"/>
        <v>91</v>
      </c>
      <c r="E285" s="138" t="str">
        <f t="shared" si="12"/>
        <v>ADMITIDO</v>
      </c>
      <c r="F285" s="19" t="s">
        <v>28</v>
      </c>
      <c r="G285" s="19" t="s">
        <v>145</v>
      </c>
      <c r="H285" s="19" t="str">
        <f>W285</f>
        <v>ADMITIDO</v>
      </c>
      <c r="I285" s="19" t="str">
        <f>IF(W285="ADMITIDO","ADMITIDO",IF(W285="CANCELADA","CANCELADA",IF(H285="","",IFERROR(_xlfn.XLOOKUP(H285,Listas!I:I,Listas!J:J),"OUTROS"))))</f>
        <v>ADMITIDO</v>
      </c>
      <c r="J285" s="12" t="s">
        <v>683</v>
      </c>
      <c r="K285" s="11" t="s">
        <v>330</v>
      </c>
      <c r="L285" s="11" t="s">
        <v>912</v>
      </c>
      <c r="M285" s="11" t="s">
        <v>243</v>
      </c>
      <c r="N285" s="11" t="s">
        <v>34</v>
      </c>
      <c r="O285" s="11" t="s">
        <v>35</v>
      </c>
      <c r="P285" s="11" t="s">
        <v>287</v>
      </c>
      <c r="Q285" s="108"/>
      <c r="S285" s="18"/>
      <c r="T285" s="11" t="s">
        <v>132</v>
      </c>
      <c r="U285" s="202">
        <v>46114</v>
      </c>
      <c r="V285" s="42" t="s">
        <v>913</v>
      </c>
      <c r="W285" s="19" t="s">
        <v>40</v>
      </c>
      <c r="X285" s="43">
        <v>46147</v>
      </c>
      <c r="Y285" s="14">
        <v>46148</v>
      </c>
      <c r="Z285" s="15">
        <v>914223</v>
      </c>
      <c r="AA285" s="45"/>
      <c r="AB285" s="10">
        <v>0</v>
      </c>
    </row>
    <row r="286" spans="1:28" ht="15.75" hidden="1" customHeight="1">
      <c r="A286" s="100">
        <v>30062</v>
      </c>
      <c r="B286" s="10">
        <v>1</v>
      </c>
      <c r="C286" s="63">
        <v>46139</v>
      </c>
      <c r="D286" s="91">
        <f t="shared" ca="1" si="13"/>
        <v>88</v>
      </c>
      <c r="E286" s="138" t="str">
        <f t="shared" si="12"/>
        <v>ADMITIDO</v>
      </c>
      <c r="F286" s="19" t="s">
        <v>42</v>
      </c>
      <c r="G286" s="19" t="s">
        <v>29</v>
      </c>
      <c r="H286" s="117" t="str">
        <f>W286</f>
        <v>ADMITIDO</v>
      </c>
      <c r="I286" s="19" t="str">
        <f>IF(W286="ADMITIDO","ADMITIDO",IF(W286="CANCELADA","CANCELADA",IF(H286="","",IFERROR(_xlfn.XLOOKUP(H286,Listas!I:I,Listas!J:J),"OUTROS"))))</f>
        <v>ADMITIDO</v>
      </c>
      <c r="J286" s="12" t="s">
        <v>346</v>
      </c>
      <c r="K286" s="11" t="s">
        <v>228</v>
      </c>
      <c r="L286" s="11" t="s">
        <v>914</v>
      </c>
      <c r="M286" s="11"/>
      <c r="N286" s="11" t="s">
        <v>34</v>
      </c>
      <c r="O286" s="11" t="s">
        <v>57</v>
      </c>
      <c r="P286" s="11" t="s">
        <v>94</v>
      </c>
      <c r="Q286" s="108"/>
      <c r="S286" s="18"/>
      <c r="T286" s="11" t="s">
        <v>38</v>
      </c>
      <c r="U286" s="202">
        <v>46148</v>
      </c>
      <c r="V286" s="64" t="s">
        <v>915</v>
      </c>
      <c r="W286" s="19" t="s">
        <v>40</v>
      </c>
      <c r="X286" s="43">
        <v>46155</v>
      </c>
      <c r="Y286" s="14">
        <v>46156</v>
      </c>
      <c r="Z286" s="15">
        <v>914273</v>
      </c>
      <c r="AB286" s="10">
        <v>0</v>
      </c>
    </row>
    <row r="287" spans="1:28" ht="15.75" hidden="1" customHeight="1">
      <c r="A287" s="100">
        <v>30054</v>
      </c>
      <c r="B287" s="10">
        <v>1</v>
      </c>
      <c r="C287" s="63">
        <v>46139</v>
      </c>
      <c r="D287" s="91">
        <f t="shared" ca="1" si="13"/>
        <v>88</v>
      </c>
      <c r="E287" s="138" t="str">
        <f t="shared" si="12"/>
        <v>ADMITIDO</v>
      </c>
      <c r="F287" s="19" t="s">
        <v>28</v>
      </c>
      <c r="G287" s="19" t="s">
        <v>145</v>
      </c>
      <c r="H287" s="19" t="str">
        <f>W287</f>
        <v>ADMITIDO</v>
      </c>
      <c r="I287" s="19" t="str">
        <f>IF(W287="ADMITIDO","ADMITIDO",IF(W287="CANCELADA","CANCELADA",IF(H287="","",IFERROR(_xlfn.XLOOKUP(H287,Listas!I:I,Listas!J:J),"OUTROS"))))</f>
        <v>ADMITIDO</v>
      </c>
      <c r="J287" s="12" t="s">
        <v>268</v>
      </c>
      <c r="K287" s="11" t="s">
        <v>326</v>
      </c>
      <c r="L287" s="11" t="s">
        <v>246</v>
      </c>
      <c r="M287" s="11" t="s">
        <v>63</v>
      </c>
      <c r="N287" s="11" t="s">
        <v>56</v>
      </c>
      <c r="O287" s="11" t="s">
        <v>35</v>
      </c>
      <c r="P287" s="11" t="s">
        <v>176</v>
      </c>
      <c r="Q287" s="108"/>
      <c r="S287" s="18"/>
      <c r="T287" s="11" t="s">
        <v>132</v>
      </c>
      <c r="U287" s="202">
        <v>46142</v>
      </c>
      <c r="V287" s="42" t="s">
        <v>916</v>
      </c>
      <c r="W287" s="59" t="s">
        <v>40</v>
      </c>
      <c r="X287" s="43">
        <v>46147</v>
      </c>
      <c r="Y287" s="14">
        <v>46148</v>
      </c>
      <c r="Z287" s="15">
        <v>914228</v>
      </c>
      <c r="AA287" s="45"/>
      <c r="AB287" s="10">
        <v>0</v>
      </c>
    </row>
    <row r="288" spans="1:28" ht="15.75" hidden="1" customHeight="1">
      <c r="A288" s="101">
        <v>30052</v>
      </c>
      <c r="B288" s="10">
        <v>1</v>
      </c>
      <c r="C288" s="63">
        <v>46139</v>
      </c>
      <c r="D288" s="91">
        <f t="shared" ca="1" si="13"/>
        <v>88</v>
      </c>
      <c r="E288" s="138" t="str">
        <f t="shared" ca="1" si="12"/>
        <v>CRÍTICO</v>
      </c>
      <c r="F288" s="19" t="s">
        <v>42</v>
      </c>
      <c r="G288" s="19" t="s">
        <v>60</v>
      </c>
      <c r="H288" s="19" t="s">
        <v>91</v>
      </c>
      <c r="I288" s="19" t="str">
        <f>IF(W288="ADMITIDO","ADMITIDO",IF(W288="CANCELADA","CANCELADA",IF(H288="","",IFERROR(_xlfn.XLOOKUP(H288,Listas!I:I,Listas!J:J),"OUTROS"))))</f>
        <v>TRIAGEM</v>
      </c>
      <c r="J288" s="12" t="s">
        <v>53</v>
      </c>
      <c r="K288" s="11" t="s">
        <v>61</v>
      </c>
      <c r="L288" s="11" t="s">
        <v>917</v>
      </c>
      <c r="M288" s="11" t="s">
        <v>63</v>
      </c>
      <c r="N288" s="11" t="s">
        <v>34</v>
      </c>
      <c r="O288" s="11" t="s">
        <v>48</v>
      </c>
      <c r="P288" s="11" t="s">
        <v>120</v>
      </c>
      <c r="Q288" s="108"/>
      <c r="S288" s="18"/>
      <c r="W288" s="56"/>
      <c r="Z288" s="15"/>
      <c r="AB288" s="10">
        <v>0</v>
      </c>
    </row>
    <row r="289" spans="1:28" ht="15.75" hidden="1" customHeight="1">
      <c r="A289" s="100">
        <v>30049</v>
      </c>
      <c r="B289" s="10">
        <v>1</v>
      </c>
      <c r="C289" s="63">
        <v>46139</v>
      </c>
      <c r="D289" s="91">
        <f t="shared" ca="1" si="13"/>
        <v>88</v>
      </c>
      <c r="E289" s="138" t="str">
        <f t="shared" ca="1" si="12"/>
        <v>CRÍTICO</v>
      </c>
      <c r="F289" s="19" t="s">
        <v>42</v>
      </c>
      <c r="G289" s="19" t="s">
        <v>60</v>
      </c>
      <c r="H289" s="19" t="s">
        <v>91</v>
      </c>
      <c r="I289" s="19" t="str">
        <f>IF(W289="ADMITIDO","ADMITIDO",IF(W289="CANCELADA","CANCELADA",IF(H289="","",IFERROR(_xlfn.XLOOKUP(H289,Listas!I:I,Listas!J:J),"OUTROS"))))</f>
        <v>TRIAGEM</v>
      </c>
      <c r="J289" s="12" t="s">
        <v>53</v>
      </c>
      <c r="K289" s="11" t="s">
        <v>61</v>
      </c>
      <c r="L289" s="11" t="s">
        <v>161</v>
      </c>
      <c r="M289" s="11" t="s">
        <v>33</v>
      </c>
      <c r="N289" s="11" t="s">
        <v>34</v>
      </c>
      <c r="O289" s="11" t="s">
        <v>48</v>
      </c>
      <c r="P289" s="11" t="s">
        <v>120</v>
      </c>
      <c r="Q289" s="108"/>
      <c r="S289" s="18"/>
      <c r="W289" s="44"/>
      <c r="Z289" s="15"/>
      <c r="AB289" s="10">
        <v>0</v>
      </c>
    </row>
    <row r="290" spans="1:28" ht="15.75" hidden="1" customHeight="1">
      <c r="A290" s="100">
        <v>30055</v>
      </c>
      <c r="B290" s="10">
        <v>1</v>
      </c>
      <c r="C290" s="63">
        <v>46139</v>
      </c>
      <c r="D290" s="91">
        <f t="shared" ca="1" si="13"/>
        <v>88</v>
      </c>
      <c r="E290" s="138" t="str">
        <f t="shared" si="12"/>
        <v>ADMITIDO</v>
      </c>
      <c r="F290" s="19" t="s">
        <v>42</v>
      </c>
      <c r="G290" s="19" t="s">
        <v>29</v>
      </c>
      <c r="H290" s="19" t="s">
        <v>40</v>
      </c>
      <c r="I290" s="19" t="str">
        <f>IF(W290="ADMITIDO","ADMITIDO",IF(W290="CANCELADA","CANCELADA",IF(H290="","",IFERROR(_xlfn.XLOOKUP(H290,Listas!I:I,Listas!J:J),"OUTROS"))))</f>
        <v>ADMITIDO</v>
      </c>
      <c r="J290" s="12" t="s">
        <v>116</v>
      </c>
      <c r="K290" s="11" t="s">
        <v>54</v>
      </c>
      <c r="L290" s="11" t="s">
        <v>164</v>
      </c>
      <c r="M290" s="11" t="s">
        <v>88</v>
      </c>
      <c r="N290" s="11" t="s">
        <v>34</v>
      </c>
      <c r="O290" s="11" t="s">
        <v>57</v>
      </c>
      <c r="P290" s="11" t="s">
        <v>231</v>
      </c>
      <c r="Q290" s="108"/>
      <c r="T290" s="11" t="s">
        <v>38</v>
      </c>
      <c r="U290" s="202">
        <v>46140</v>
      </c>
      <c r="V290" s="42" t="s">
        <v>918</v>
      </c>
      <c r="W290" s="19" t="s">
        <v>40</v>
      </c>
      <c r="X290" s="43">
        <v>46146</v>
      </c>
      <c r="Y290" s="14">
        <v>46147</v>
      </c>
      <c r="Z290" s="15">
        <v>145917</v>
      </c>
      <c r="AB290" s="10">
        <v>0</v>
      </c>
    </row>
    <row r="291" spans="1:28" ht="15.75" hidden="1" customHeight="1">
      <c r="A291" s="100">
        <v>30056</v>
      </c>
      <c r="B291" s="10">
        <v>1</v>
      </c>
      <c r="C291" s="63">
        <v>46139</v>
      </c>
      <c r="D291" s="91">
        <f t="shared" ca="1" si="13"/>
        <v>88</v>
      </c>
      <c r="E291" s="138" t="str">
        <f t="shared" ca="1" si="12"/>
        <v>CRÍTICO</v>
      </c>
      <c r="F291" s="19" t="s">
        <v>42</v>
      </c>
      <c r="G291" s="19" t="s">
        <v>60</v>
      </c>
      <c r="H291" s="19" t="s">
        <v>214</v>
      </c>
      <c r="I291" s="19" t="str">
        <f>IF(W291="ADMITIDO","ADMITIDO",IF(W291="CANCELADA","CANCELADA",IF(H291="","",IFERROR(_xlfn.XLOOKUP(H291,Listas!I:I,Listas!J:J),"OUTROS"))))</f>
        <v>TRIAGEM</v>
      </c>
      <c r="J291" s="12" t="s">
        <v>53</v>
      </c>
      <c r="K291" s="11" t="s">
        <v>61</v>
      </c>
      <c r="L291" s="11" t="s">
        <v>506</v>
      </c>
      <c r="M291" s="11" t="s">
        <v>63</v>
      </c>
      <c r="N291" s="11" t="s">
        <v>34</v>
      </c>
      <c r="O291" s="11" t="s">
        <v>219</v>
      </c>
      <c r="P291" s="11" t="s">
        <v>578</v>
      </c>
      <c r="Q291" s="108" t="s">
        <v>919</v>
      </c>
      <c r="S291" s="65"/>
      <c r="W291" s="56"/>
      <c r="Z291" s="15"/>
      <c r="AA291" s="149" t="s">
        <v>920</v>
      </c>
      <c r="AB291" s="10">
        <v>0</v>
      </c>
    </row>
    <row r="292" spans="1:28" ht="15.75" hidden="1" customHeight="1">
      <c r="A292" s="100">
        <v>30065</v>
      </c>
      <c r="B292" s="10">
        <v>1</v>
      </c>
      <c r="C292" s="63">
        <v>46139</v>
      </c>
      <c r="D292" s="91">
        <f t="shared" ca="1" si="13"/>
        <v>88</v>
      </c>
      <c r="E292" s="138" t="str">
        <f t="shared" ca="1" si="12"/>
        <v>CRÍTICO</v>
      </c>
      <c r="F292" s="19" t="s">
        <v>28</v>
      </c>
      <c r="G292" s="19" t="s">
        <v>145</v>
      </c>
      <c r="H292" s="19" t="s">
        <v>879</v>
      </c>
      <c r="I292" s="19" t="str">
        <f>IF(W292="ADMITIDO","ADMITIDO",IF(W292="CANCELADA","CANCELADA",IF(H292="","",IFERROR(_xlfn.XLOOKUP(H292,Listas!I:I,Listas!J:J),"OUTROS"))))</f>
        <v>ENTREVISTA RH</v>
      </c>
      <c r="J292" s="12" t="s">
        <v>146</v>
      </c>
      <c r="K292" s="11" t="s">
        <v>371</v>
      </c>
      <c r="L292" s="11" t="s">
        <v>921</v>
      </c>
      <c r="M292" s="11" t="s">
        <v>672</v>
      </c>
      <c r="N292" s="11" t="s">
        <v>34</v>
      </c>
      <c r="O292" s="11" t="s">
        <v>35</v>
      </c>
      <c r="P292" s="11" t="s">
        <v>36</v>
      </c>
      <c r="Q292" s="108"/>
      <c r="S292" s="18"/>
      <c r="W292" s="44"/>
      <c r="Z292" s="15"/>
      <c r="AB292" s="10">
        <v>0</v>
      </c>
    </row>
    <row r="293" spans="1:28" ht="15.75" hidden="1" customHeight="1">
      <c r="A293" s="100">
        <v>30066</v>
      </c>
      <c r="B293" s="10">
        <v>1</v>
      </c>
      <c r="C293" s="63">
        <v>46139</v>
      </c>
      <c r="D293" s="91">
        <f t="shared" ca="1" si="13"/>
        <v>88</v>
      </c>
      <c r="E293" s="138" t="str">
        <f t="shared" si="12"/>
        <v>ADMITIDO</v>
      </c>
      <c r="F293" s="19" t="s">
        <v>171</v>
      </c>
      <c r="G293" s="19" t="s">
        <v>145</v>
      </c>
      <c r="H293" s="19" t="s">
        <v>40</v>
      </c>
      <c r="I293" s="19" t="str">
        <f>IF(W293="ADMITIDO","ADMITIDO",IF(W293="CANCELADA","CANCELADA",IF(H293="","",IFERROR(_xlfn.XLOOKUP(H293,Listas!I:I,Listas!J:J),"OUTROS"))))</f>
        <v>ADMITIDO</v>
      </c>
      <c r="J293" s="12" t="s">
        <v>514</v>
      </c>
      <c r="K293" s="11" t="s">
        <v>371</v>
      </c>
      <c r="L293" s="11" t="s">
        <v>921</v>
      </c>
      <c r="M293" s="11" t="s">
        <v>672</v>
      </c>
      <c r="N293" s="11" t="s">
        <v>34</v>
      </c>
      <c r="O293" s="11" t="s">
        <v>35</v>
      </c>
      <c r="P293" s="11" t="s">
        <v>36</v>
      </c>
      <c r="Q293" s="108"/>
      <c r="R293" s="16" t="s">
        <v>373</v>
      </c>
      <c r="S293" s="18"/>
      <c r="T293" s="11" t="s">
        <v>132</v>
      </c>
      <c r="U293" s="202">
        <v>46154</v>
      </c>
      <c r="V293" s="42" t="s">
        <v>922</v>
      </c>
      <c r="W293" s="59" t="s">
        <v>40</v>
      </c>
      <c r="X293" s="43">
        <v>46157</v>
      </c>
      <c r="Y293" s="14">
        <v>46162</v>
      </c>
      <c r="Z293" s="15">
        <v>83294</v>
      </c>
      <c r="AB293" s="10">
        <v>0</v>
      </c>
    </row>
    <row r="294" spans="1:28" ht="15.75" hidden="1" customHeight="1">
      <c r="A294" s="100">
        <v>30064</v>
      </c>
      <c r="B294" s="10">
        <v>1</v>
      </c>
      <c r="C294" s="63">
        <v>46139</v>
      </c>
      <c r="D294" s="91">
        <f t="shared" ca="1" si="13"/>
        <v>88</v>
      </c>
      <c r="E294" s="138" t="str">
        <f t="shared" si="12"/>
        <v>ADMITIDO</v>
      </c>
      <c r="F294" s="19" t="s">
        <v>28</v>
      </c>
      <c r="G294" s="19" t="s">
        <v>29</v>
      </c>
      <c r="H294" s="19" t="s">
        <v>40</v>
      </c>
      <c r="I294" s="19" t="str">
        <f>IF(W294="ADMITIDO","ADMITIDO",IF(W294="CANCELADA","CANCELADA",IF(H294="","",IFERROR(_xlfn.XLOOKUP(H294,Listas!I:I,Listas!J:J),"OUTROS"))))</f>
        <v>ADMITIDO</v>
      </c>
      <c r="J294" s="12" t="s">
        <v>427</v>
      </c>
      <c r="K294" s="11" t="s">
        <v>31</v>
      </c>
      <c r="L294" s="11" t="s">
        <v>428</v>
      </c>
      <c r="M294" s="11" t="s">
        <v>205</v>
      </c>
      <c r="N294" s="11" t="s">
        <v>34</v>
      </c>
      <c r="O294" s="11" t="s">
        <v>35</v>
      </c>
      <c r="P294" s="11" t="s">
        <v>36</v>
      </c>
      <c r="Q294" s="108"/>
      <c r="S294" s="18"/>
      <c r="T294" s="38" t="s">
        <v>38</v>
      </c>
      <c r="U294" s="211">
        <v>46141</v>
      </c>
      <c r="V294" s="132" t="s">
        <v>923</v>
      </c>
      <c r="W294" s="19" t="s">
        <v>40</v>
      </c>
      <c r="X294" s="43">
        <v>46148</v>
      </c>
      <c r="Y294" s="14">
        <v>46149</v>
      </c>
      <c r="Z294" s="15">
        <v>914277</v>
      </c>
      <c r="AA294" s="45"/>
      <c r="AB294" s="10">
        <v>0</v>
      </c>
    </row>
    <row r="295" spans="1:28" ht="15.75" hidden="1" customHeight="1">
      <c r="A295" s="100">
        <v>30063</v>
      </c>
      <c r="B295" s="10">
        <v>1</v>
      </c>
      <c r="C295" s="63">
        <v>46139</v>
      </c>
      <c r="D295" s="91">
        <f t="shared" ca="1" si="13"/>
        <v>88</v>
      </c>
      <c r="E295" s="138" t="str">
        <f t="shared" si="12"/>
        <v>CANCELADA</v>
      </c>
      <c r="F295" s="19" t="s">
        <v>42</v>
      </c>
      <c r="G295" s="19" t="s">
        <v>29</v>
      </c>
      <c r="H295" s="19" t="s">
        <v>52</v>
      </c>
      <c r="I295" s="19" t="str">
        <f>IF(W295="ADMITIDO","ADMITIDO",IF(W295="CANCELADA","CANCELADA",IF(H295="","",IFERROR(_xlfn.XLOOKUP(H295,Listas!I:I,Listas!J:J),"OUTROS"))))</f>
        <v>CANCELADA</v>
      </c>
      <c r="J295" s="12" t="s">
        <v>461</v>
      </c>
      <c r="K295" s="11" t="s">
        <v>228</v>
      </c>
      <c r="L295" s="11" t="s">
        <v>807</v>
      </c>
      <c r="M295" s="11" t="s">
        <v>88</v>
      </c>
      <c r="N295" s="11" t="s">
        <v>34</v>
      </c>
      <c r="O295" s="11" t="s">
        <v>48</v>
      </c>
      <c r="P295" s="11" t="s">
        <v>131</v>
      </c>
      <c r="Q295" s="108"/>
      <c r="S295" s="172"/>
      <c r="W295" s="40" t="s">
        <v>52</v>
      </c>
      <c r="X295" s="43"/>
      <c r="Z295" s="15"/>
      <c r="AB295" s="10">
        <v>0</v>
      </c>
    </row>
    <row r="296" spans="1:28" ht="15.75" hidden="1" customHeight="1">
      <c r="A296" s="100">
        <v>30060</v>
      </c>
      <c r="B296" s="10">
        <v>1</v>
      </c>
      <c r="C296" s="63">
        <v>46139</v>
      </c>
      <c r="D296" s="91">
        <f t="shared" ca="1" si="13"/>
        <v>88</v>
      </c>
      <c r="E296" s="138" t="str">
        <f t="shared" ca="1" si="12"/>
        <v>CRÍTICO</v>
      </c>
      <c r="F296" s="19" t="s">
        <v>42</v>
      </c>
      <c r="G296" s="19" t="s">
        <v>43</v>
      </c>
      <c r="H296" s="19" t="s">
        <v>181</v>
      </c>
      <c r="I296" s="19" t="str">
        <f>IF(W296="ADMITIDO","ADMITIDO",IF(W296="CANCELADA","CANCELADA",IF(H296="","",IFERROR(_xlfn.XLOOKUP(H296,Listas!I:I,Listas!J:J),"OUTROS"))))</f>
        <v>DOCUMENTAÇÃO</v>
      </c>
      <c r="J296" s="12" t="s">
        <v>346</v>
      </c>
      <c r="K296" s="11" t="s">
        <v>189</v>
      </c>
      <c r="L296" s="11" t="s">
        <v>924</v>
      </c>
      <c r="M296" s="11" t="s">
        <v>925</v>
      </c>
      <c r="N296" s="11" t="s">
        <v>56</v>
      </c>
      <c r="O296" s="11" t="s">
        <v>35</v>
      </c>
      <c r="P296" s="11" t="s">
        <v>176</v>
      </c>
      <c r="Q296" s="108"/>
      <c r="S296" s="17">
        <v>6191993514</v>
      </c>
      <c r="T296" s="40" t="s">
        <v>50</v>
      </c>
      <c r="U296" s="212">
        <v>46142</v>
      </c>
      <c r="V296" s="53" t="s">
        <v>926</v>
      </c>
      <c r="W296" s="75" t="s">
        <v>188</v>
      </c>
      <c r="X296" s="14">
        <v>46157</v>
      </c>
      <c r="Y296" s="14">
        <v>46161</v>
      </c>
      <c r="Z296" s="15">
        <v>914277</v>
      </c>
      <c r="AA296" s="45" t="s">
        <v>927</v>
      </c>
      <c r="AB296" s="10">
        <v>0</v>
      </c>
    </row>
    <row r="297" spans="1:28" ht="15.75" hidden="1" customHeight="1">
      <c r="A297" s="100">
        <v>30050</v>
      </c>
      <c r="B297" s="10">
        <v>1</v>
      </c>
      <c r="C297" s="63">
        <v>46139</v>
      </c>
      <c r="D297" s="91">
        <f t="shared" ca="1" si="13"/>
        <v>88</v>
      </c>
      <c r="E297" s="138" t="str">
        <f t="shared" ca="1" si="12"/>
        <v>CRÍTICO</v>
      </c>
      <c r="F297" s="19" t="s">
        <v>42</v>
      </c>
      <c r="G297" s="19" t="s">
        <v>43</v>
      </c>
      <c r="H297" s="19" t="s">
        <v>91</v>
      </c>
      <c r="I297" s="19" t="str">
        <f>IF(W297="ADMITIDO","ADMITIDO",IF(W297="CANCELADA","CANCELADA",IF(H297="","",IFERROR(_xlfn.XLOOKUP(H297,Listas!I:I,Listas!J:J),"OUTROS"))))</f>
        <v>TRIAGEM</v>
      </c>
      <c r="J297" s="12" t="s">
        <v>53</v>
      </c>
      <c r="K297" s="11" t="s">
        <v>189</v>
      </c>
      <c r="L297" s="11" t="s">
        <v>208</v>
      </c>
      <c r="M297" s="11" t="s">
        <v>209</v>
      </c>
      <c r="N297" s="11" t="s">
        <v>56</v>
      </c>
      <c r="O297" s="11" t="s">
        <v>928</v>
      </c>
      <c r="P297" s="21" t="s">
        <v>929</v>
      </c>
      <c r="Q297" s="108" t="s">
        <v>930</v>
      </c>
      <c r="R297" s="16" t="s">
        <v>931</v>
      </c>
      <c r="S297" s="18"/>
      <c r="Z297" s="15"/>
      <c r="AB297" s="10">
        <v>0</v>
      </c>
    </row>
    <row r="298" spans="1:28" ht="15.75" hidden="1" customHeight="1">
      <c r="A298" s="100">
        <v>30057</v>
      </c>
      <c r="B298" s="10">
        <v>1</v>
      </c>
      <c r="C298" s="63">
        <v>46139</v>
      </c>
      <c r="D298" s="91">
        <f t="shared" ca="1" si="13"/>
        <v>88</v>
      </c>
      <c r="E298" s="138" t="str">
        <f t="shared" ca="1" si="12"/>
        <v>CRÍTICO</v>
      </c>
      <c r="F298" s="19" t="s">
        <v>28</v>
      </c>
      <c r="G298" s="19" t="s">
        <v>43</v>
      </c>
      <c r="H298" s="19" t="s">
        <v>91</v>
      </c>
      <c r="I298" s="19" t="str">
        <f>IF(W298="ADMITIDO","ADMITIDO",IF(W298="CANCELADA","CANCELADA",IF(H298="","",IFERROR(_xlfn.XLOOKUP(H298,Listas!I:I,Listas!J:J),"OUTROS"))))</f>
        <v>TRIAGEM</v>
      </c>
      <c r="J298" s="12" t="s">
        <v>557</v>
      </c>
      <c r="K298" s="11" t="s">
        <v>335</v>
      </c>
      <c r="L298" s="11" t="s">
        <v>932</v>
      </c>
      <c r="M298" s="11" t="s">
        <v>933</v>
      </c>
      <c r="N298" s="11" t="s">
        <v>56</v>
      </c>
      <c r="O298" s="11" t="s">
        <v>35</v>
      </c>
      <c r="P298" s="11" t="s">
        <v>760</v>
      </c>
      <c r="Q298" s="108"/>
      <c r="S298" s="18"/>
      <c r="Z298" s="15"/>
      <c r="AB298" s="10">
        <v>0</v>
      </c>
    </row>
    <row r="299" spans="1:28" ht="15.75" hidden="1" customHeight="1">
      <c r="A299" s="102">
        <v>30051</v>
      </c>
      <c r="B299" s="10">
        <v>1</v>
      </c>
      <c r="C299" s="63">
        <v>46139</v>
      </c>
      <c r="D299" s="91">
        <f t="shared" ca="1" si="13"/>
        <v>88</v>
      </c>
      <c r="E299" s="138" t="str">
        <f t="shared" ca="1" si="12"/>
        <v>CRÍTICO</v>
      </c>
      <c r="F299" s="19" t="s">
        <v>42</v>
      </c>
      <c r="G299" s="19" t="s">
        <v>43</v>
      </c>
      <c r="H299" s="19" t="s">
        <v>181</v>
      </c>
      <c r="I299" s="19" t="str">
        <f>IF(W299="ADMITIDO","ADMITIDO",IF(W299="CANCELADA","CANCELADA",IF(H299="","",IFERROR(_xlfn.XLOOKUP(H299,Listas!I:I,Listas!J:J),"OUTROS"))))</f>
        <v>DOCUMENTAÇÃO</v>
      </c>
      <c r="J299" s="12" t="s">
        <v>44</v>
      </c>
      <c r="K299" s="11" t="s">
        <v>189</v>
      </c>
      <c r="L299" s="11" t="s">
        <v>528</v>
      </c>
      <c r="M299" s="11" t="s">
        <v>529</v>
      </c>
      <c r="N299" s="11" t="s">
        <v>34</v>
      </c>
      <c r="O299" s="11" t="s">
        <v>48</v>
      </c>
      <c r="P299" s="11" t="s">
        <v>934</v>
      </c>
      <c r="Q299" s="108" t="s">
        <v>935</v>
      </c>
      <c r="R299" s="16" t="s">
        <v>936</v>
      </c>
      <c r="S299" s="18">
        <v>11954360685</v>
      </c>
      <c r="T299" s="11" t="s">
        <v>67</v>
      </c>
      <c r="U299" s="202">
        <v>46157</v>
      </c>
      <c r="V299" s="41" t="s">
        <v>937</v>
      </c>
      <c r="W299" s="23" t="s">
        <v>284</v>
      </c>
      <c r="Z299" s="15"/>
      <c r="AA299" s="149" t="s">
        <v>938</v>
      </c>
      <c r="AB299" s="10">
        <v>0</v>
      </c>
    </row>
    <row r="300" spans="1:28" ht="15.75" hidden="1" customHeight="1">
      <c r="A300" s="100">
        <v>30061</v>
      </c>
      <c r="B300" s="10">
        <v>1</v>
      </c>
      <c r="C300" s="63">
        <v>46139</v>
      </c>
      <c r="D300" s="91">
        <f t="shared" ca="1" si="13"/>
        <v>88</v>
      </c>
      <c r="E300" s="138" t="str">
        <f t="shared" ca="1" si="12"/>
        <v>CRÍTICO</v>
      </c>
      <c r="F300" s="19" t="s">
        <v>42</v>
      </c>
      <c r="G300" s="19" t="s">
        <v>43</v>
      </c>
      <c r="H300" s="19" t="s">
        <v>181</v>
      </c>
      <c r="I300" s="19" t="str">
        <f>IF(W300="ADMITIDO","ADMITIDO",IF(W300="CANCELADA","CANCELADA",IF(H300="","",IFERROR(_xlfn.XLOOKUP(H300,Listas!I:I,Listas!J:J),"OUTROS"))))</f>
        <v>DOCUMENTAÇÃO</v>
      </c>
      <c r="J300" s="12" t="s">
        <v>53</v>
      </c>
      <c r="K300" s="11" t="s">
        <v>189</v>
      </c>
      <c r="L300" s="21" t="s">
        <v>939</v>
      </c>
      <c r="M300" s="11" t="s">
        <v>337</v>
      </c>
      <c r="N300" s="11" t="s">
        <v>34</v>
      </c>
      <c r="O300" s="11" t="s">
        <v>57</v>
      </c>
      <c r="P300" s="11" t="s">
        <v>73</v>
      </c>
      <c r="Q300" s="108" t="s">
        <v>940</v>
      </c>
      <c r="R300" s="16" t="s">
        <v>941</v>
      </c>
      <c r="S300" s="18">
        <v>15991338769</v>
      </c>
      <c r="T300" s="11" t="s">
        <v>67</v>
      </c>
      <c r="U300" s="202">
        <v>46157</v>
      </c>
      <c r="V300" s="41" t="s">
        <v>942</v>
      </c>
      <c r="W300" s="23" t="s">
        <v>284</v>
      </c>
      <c r="Z300" s="15"/>
      <c r="AA300" s="149" t="s">
        <v>938</v>
      </c>
      <c r="AB300" s="10">
        <v>0</v>
      </c>
    </row>
    <row r="301" spans="1:28" ht="15.75" hidden="1" customHeight="1">
      <c r="A301" s="100">
        <v>30059</v>
      </c>
      <c r="B301" s="10">
        <v>1</v>
      </c>
      <c r="C301" s="63">
        <v>46139</v>
      </c>
      <c r="D301" s="91">
        <f t="shared" ca="1" si="13"/>
        <v>88</v>
      </c>
      <c r="E301" s="138" t="str">
        <f t="shared" ca="1" si="12"/>
        <v>CRÍTICO</v>
      </c>
      <c r="F301" s="19" t="s">
        <v>42</v>
      </c>
      <c r="G301" s="19" t="s">
        <v>43</v>
      </c>
      <c r="H301" s="19" t="s">
        <v>181</v>
      </c>
      <c r="I301" s="19" t="str">
        <f>IF(W301="ADMITIDO","ADMITIDO",IF(W301="CANCELADA","CANCELADA",IF(H301="","",IFERROR(_xlfn.XLOOKUP(H301,Listas!I:I,Listas!J:J),"OUTROS"))))</f>
        <v>DOCUMENTAÇÃO</v>
      </c>
      <c r="J301" s="12" t="s">
        <v>53</v>
      </c>
      <c r="K301" s="11" t="s">
        <v>189</v>
      </c>
      <c r="L301" s="21" t="s">
        <v>943</v>
      </c>
      <c r="M301" s="11" t="s">
        <v>33</v>
      </c>
      <c r="N301" s="11" t="s">
        <v>34</v>
      </c>
      <c r="O301" s="11" t="s">
        <v>35</v>
      </c>
      <c r="P301" s="11" t="s">
        <v>36</v>
      </c>
      <c r="Q301" s="108" t="s">
        <v>944</v>
      </c>
      <c r="R301" s="16" t="s">
        <v>945</v>
      </c>
      <c r="S301" s="18">
        <v>11969453951</v>
      </c>
      <c r="T301" s="11" t="s">
        <v>50</v>
      </c>
      <c r="U301" s="202">
        <v>46157</v>
      </c>
      <c r="V301" s="41" t="s">
        <v>946</v>
      </c>
      <c r="W301" s="44"/>
      <c r="Z301" s="15"/>
      <c r="AB301" s="10">
        <v>0</v>
      </c>
    </row>
    <row r="302" spans="1:28" ht="15.75" hidden="1" customHeight="1">
      <c r="A302" s="101">
        <v>30075</v>
      </c>
      <c r="B302" s="10">
        <v>1</v>
      </c>
      <c r="C302" s="63">
        <v>46139</v>
      </c>
      <c r="D302" s="91">
        <f t="shared" ca="1" si="13"/>
        <v>88</v>
      </c>
      <c r="E302" s="138" t="str">
        <f t="shared" si="12"/>
        <v>ADMITIDO</v>
      </c>
      <c r="F302" s="19" t="s">
        <v>28</v>
      </c>
      <c r="G302" s="19" t="s">
        <v>552</v>
      </c>
      <c r="H302" s="117" t="s">
        <v>40</v>
      </c>
      <c r="I302" s="19" t="str">
        <f>IF(W302="ADMITIDO","ADMITIDO",IF(W302="CANCELADA","CANCELADA",IF(H302="","",IFERROR(_xlfn.XLOOKUP(H302,Listas!I:I,Listas!J:J),"OUTROS"))))</f>
        <v>ADMITIDO</v>
      </c>
      <c r="J302" s="12" t="s">
        <v>737</v>
      </c>
      <c r="K302" s="11" t="s">
        <v>553</v>
      </c>
      <c r="L302" s="11" t="s">
        <v>947</v>
      </c>
      <c r="M302" s="11" t="s">
        <v>948</v>
      </c>
      <c r="N302" s="11" t="s">
        <v>34</v>
      </c>
      <c r="O302" s="11" t="s">
        <v>35</v>
      </c>
      <c r="P302" s="11" t="s">
        <v>36</v>
      </c>
      <c r="Q302" s="108"/>
      <c r="S302" s="18"/>
      <c r="T302" s="11" t="s">
        <v>949</v>
      </c>
      <c r="V302" s="42" t="s">
        <v>950</v>
      </c>
      <c r="W302" s="59" t="s">
        <v>40</v>
      </c>
      <c r="X302" s="43">
        <v>46140</v>
      </c>
      <c r="Y302" s="14">
        <v>46141</v>
      </c>
      <c r="Z302" s="15">
        <v>914198</v>
      </c>
      <c r="AB302" s="10">
        <v>0</v>
      </c>
    </row>
    <row r="303" spans="1:28" ht="15.75" hidden="1" customHeight="1">
      <c r="A303" s="100">
        <v>30074</v>
      </c>
      <c r="B303" s="10">
        <v>1</v>
      </c>
      <c r="C303" s="63">
        <v>46139</v>
      </c>
      <c r="D303" s="91">
        <f t="shared" ca="1" si="13"/>
        <v>88</v>
      </c>
      <c r="E303" s="138" t="str">
        <f t="shared" si="12"/>
        <v>ADMITIDO</v>
      </c>
      <c r="F303" s="19" t="s">
        <v>42</v>
      </c>
      <c r="G303" s="19" t="s">
        <v>240</v>
      </c>
      <c r="H303" s="19" t="s">
        <v>40</v>
      </c>
      <c r="I303" s="19" t="str">
        <f>IF(W303="ADMITIDO","ADMITIDO",IF(W303="CANCELADA","CANCELADA",IF(H303="","",IFERROR(_xlfn.XLOOKUP(H303,Listas!I:I,Listas!J:J),"OUTROS"))))</f>
        <v>ADMITIDO</v>
      </c>
      <c r="J303" s="12" t="s">
        <v>53</v>
      </c>
      <c r="K303" s="11" t="s">
        <v>241</v>
      </c>
      <c r="L303" s="11" t="s">
        <v>494</v>
      </c>
      <c r="M303" s="11" t="s">
        <v>175</v>
      </c>
      <c r="N303" s="11" t="s">
        <v>34</v>
      </c>
      <c r="O303" s="11" t="s">
        <v>35</v>
      </c>
      <c r="P303" s="11" t="s">
        <v>36</v>
      </c>
      <c r="Q303" s="108"/>
      <c r="S303" s="18"/>
      <c r="T303" s="11" t="s">
        <v>76</v>
      </c>
      <c r="U303" s="202">
        <v>46141</v>
      </c>
      <c r="V303" s="42" t="s">
        <v>951</v>
      </c>
      <c r="W303" s="19" t="s">
        <v>40</v>
      </c>
      <c r="X303" s="43">
        <v>46146</v>
      </c>
      <c r="Y303" s="14">
        <v>46148</v>
      </c>
      <c r="Z303" s="15">
        <v>914212</v>
      </c>
      <c r="AB303" s="10">
        <v>0</v>
      </c>
    </row>
    <row r="304" spans="1:28" ht="15.75" hidden="1" customHeight="1">
      <c r="A304" s="100">
        <v>30073</v>
      </c>
      <c r="B304" s="10">
        <v>1</v>
      </c>
      <c r="C304" s="63">
        <v>46139</v>
      </c>
      <c r="D304" s="91">
        <f t="shared" ca="1" si="13"/>
        <v>88</v>
      </c>
      <c r="E304" s="138" t="str">
        <f t="shared" si="12"/>
        <v>ADMITIDO</v>
      </c>
      <c r="F304" s="19" t="s">
        <v>28</v>
      </c>
      <c r="G304" s="19" t="s">
        <v>145</v>
      </c>
      <c r="H304" s="19" t="s">
        <v>40</v>
      </c>
      <c r="I304" s="19" t="str">
        <f>IF(W304="ADMITIDO","ADMITIDO",IF(W304="CANCELADA","CANCELADA",IF(H304="","",IFERROR(_xlfn.XLOOKUP(H304,Listas!I:I,Listas!J:J),"OUTROS"))))</f>
        <v>ADMITIDO</v>
      </c>
      <c r="J304" s="12" t="s">
        <v>268</v>
      </c>
      <c r="K304" s="11" t="s">
        <v>952</v>
      </c>
      <c r="L304" s="11" t="s">
        <v>953</v>
      </c>
      <c r="M304" s="11" t="s">
        <v>63</v>
      </c>
      <c r="N304" s="11" t="s">
        <v>34</v>
      </c>
      <c r="O304" s="11" t="s">
        <v>35</v>
      </c>
      <c r="P304" s="11" t="s">
        <v>36</v>
      </c>
      <c r="Q304" s="108"/>
      <c r="S304" s="18"/>
      <c r="T304" s="11" t="s">
        <v>132</v>
      </c>
      <c r="U304" s="202">
        <v>46142</v>
      </c>
      <c r="V304" s="42" t="s">
        <v>954</v>
      </c>
      <c r="W304" s="19" t="s">
        <v>40</v>
      </c>
      <c r="X304" s="43">
        <v>46147</v>
      </c>
      <c r="Y304" s="14">
        <v>46148</v>
      </c>
      <c r="Z304" s="15">
        <v>914219</v>
      </c>
      <c r="AA304" s="45"/>
      <c r="AB304" s="10">
        <v>0</v>
      </c>
    </row>
    <row r="305" spans="1:28" ht="15.75" hidden="1" customHeight="1">
      <c r="A305" s="100">
        <v>30085</v>
      </c>
      <c r="B305" s="10">
        <v>1</v>
      </c>
      <c r="C305" s="63">
        <v>46140</v>
      </c>
      <c r="D305" s="91">
        <f t="shared" ref="D305:D316" ca="1" si="14">TODAY()-C305</f>
        <v>87</v>
      </c>
      <c r="E305" s="138" t="str">
        <f t="shared" ca="1" si="12"/>
        <v>CRÍTICO</v>
      </c>
      <c r="F305" s="19" t="s">
        <v>42</v>
      </c>
      <c r="G305" s="19" t="s">
        <v>145</v>
      </c>
      <c r="H305" s="19" t="s">
        <v>181</v>
      </c>
      <c r="I305" s="19" t="str">
        <f>IF(W305="ADMITIDO","ADMITIDO",IF(W305="CANCELADA","CANCELADA",IF(H305="","",IFERROR(_xlfn.XLOOKUP(H305,Listas!I:I,Listas!J:J),"OUTROS"))))</f>
        <v>DOCUMENTAÇÃO</v>
      </c>
      <c r="J305" s="12" t="s">
        <v>53</v>
      </c>
      <c r="K305" s="11" t="s">
        <v>103</v>
      </c>
      <c r="L305" s="11" t="s">
        <v>564</v>
      </c>
      <c r="M305" s="11" t="s">
        <v>63</v>
      </c>
      <c r="N305" s="11" t="s">
        <v>34</v>
      </c>
      <c r="O305" s="11" t="s">
        <v>72</v>
      </c>
      <c r="P305" s="11" t="s">
        <v>238</v>
      </c>
      <c r="Q305" s="108" t="s">
        <v>955</v>
      </c>
      <c r="S305" s="18"/>
      <c r="W305" s="56"/>
      <c r="Z305" s="15"/>
      <c r="AA305" s="149" t="s">
        <v>956</v>
      </c>
      <c r="AB305" s="10">
        <v>0</v>
      </c>
    </row>
    <row r="306" spans="1:28" ht="15.75" hidden="1" customHeight="1">
      <c r="A306" s="100">
        <v>30084</v>
      </c>
      <c r="B306" s="10">
        <v>1</v>
      </c>
      <c r="C306" s="63">
        <v>46140</v>
      </c>
      <c r="D306" s="91">
        <f t="shared" ca="1" si="14"/>
        <v>87</v>
      </c>
      <c r="E306" s="193" t="str">
        <f t="shared" si="12"/>
        <v>EM ANÁLISE</v>
      </c>
      <c r="F306" s="19" t="s">
        <v>42</v>
      </c>
      <c r="G306" s="19" t="s">
        <v>240</v>
      </c>
      <c r="H306" s="192" t="s">
        <v>957</v>
      </c>
      <c r="I306" s="19" t="str">
        <f>IF(W306="ADMITIDO","ADMITIDO",IF(W306="CANCELADA","CANCELADA",IF(H306="","",IFERROR(_xlfn.XLOOKUP(H306,Listas!I:I,Listas!J:J),"OUTROS"))))</f>
        <v>OUTROS</v>
      </c>
      <c r="J306" s="12" t="s">
        <v>53</v>
      </c>
      <c r="K306" s="11" t="s">
        <v>241</v>
      </c>
      <c r="L306" s="11" t="s">
        <v>958</v>
      </c>
      <c r="M306" s="11" t="s">
        <v>243</v>
      </c>
      <c r="N306" s="11" t="s">
        <v>34</v>
      </c>
      <c r="O306" s="11" t="s">
        <v>48</v>
      </c>
      <c r="P306" s="11" t="s">
        <v>959</v>
      </c>
      <c r="Q306" s="108" t="s">
        <v>960</v>
      </c>
      <c r="S306" s="18"/>
      <c r="W306" s="44"/>
      <c r="Z306" s="15"/>
      <c r="AB306" s="10">
        <v>0</v>
      </c>
    </row>
    <row r="307" spans="1:28" ht="15.75" hidden="1" customHeight="1">
      <c r="A307" s="100">
        <v>30086</v>
      </c>
      <c r="B307" s="10">
        <v>1</v>
      </c>
      <c r="C307" s="63">
        <v>46140</v>
      </c>
      <c r="D307" s="91">
        <f t="shared" ca="1" si="14"/>
        <v>87</v>
      </c>
      <c r="E307" s="138" t="str">
        <f t="shared" si="12"/>
        <v>ADMITIDO</v>
      </c>
      <c r="F307" s="19" t="s">
        <v>42</v>
      </c>
      <c r="G307" s="19" t="s">
        <v>102</v>
      </c>
      <c r="H307" s="117" t="s">
        <v>40</v>
      </c>
      <c r="I307" s="19" t="str">
        <f>IF(W307="ADMITIDO","ADMITIDO",IF(W307="CANCELADA","CANCELADA",IF(H307="","",IFERROR(_xlfn.XLOOKUP(H307,Listas!I:I,Listas!J:J),"OUTROS"))))</f>
        <v>ADMITIDO</v>
      </c>
      <c r="J307" s="12" t="s">
        <v>53</v>
      </c>
      <c r="K307" s="11" t="s">
        <v>103</v>
      </c>
      <c r="L307" s="11" t="s">
        <v>961</v>
      </c>
      <c r="M307" s="11" t="s">
        <v>63</v>
      </c>
      <c r="N307" s="11" t="s">
        <v>34</v>
      </c>
      <c r="O307" s="11" t="s">
        <v>219</v>
      </c>
      <c r="P307" s="11" t="s">
        <v>962</v>
      </c>
      <c r="Q307" s="108" t="s">
        <v>963</v>
      </c>
      <c r="S307" s="18"/>
      <c r="T307" s="11" t="s">
        <v>132</v>
      </c>
      <c r="U307" s="202">
        <v>46147</v>
      </c>
      <c r="V307" s="42" t="s">
        <v>964</v>
      </c>
      <c r="W307" s="19" t="s">
        <v>40</v>
      </c>
      <c r="X307" s="43">
        <v>46149</v>
      </c>
      <c r="Y307" s="14">
        <v>46150</v>
      </c>
      <c r="Z307" s="15">
        <v>145925</v>
      </c>
      <c r="AA307" s="45"/>
      <c r="AB307" s="10">
        <v>0</v>
      </c>
    </row>
    <row r="308" spans="1:28" ht="15.75" hidden="1" customHeight="1">
      <c r="A308" s="100">
        <v>30080</v>
      </c>
      <c r="B308" s="10">
        <v>1</v>
      </c>
      <c r="C308" s="63">
        <v>46140</v>
      </c>
      <c r="D308" s="91">
        <f t="shared" ca="1" si="14"/>
        <v>87</v>
      </c>
      <c r="E308" s="138" t="str">
        <f t="shared" ca="1" si="12"/>
        <v>CRÍTICO</v>
      </c>
      <c r="F308" s="19" t="s">
        <v>42</v>
      </c>
      <c r="G308" s="19" t="s">
        <v>240</v>
      </c>
      <c r="H308" s="19" t="s">
        <v>91</v>
      </c>
      <c r="I308" s="19" t="str">
        <f>IF(W308="ADMITIDO","ADMITIDO",IF(W308="CANCELADA","CANCELADA",IF(H308="","",IFERROR(_xlfn.XLOOKUP(H308,Listas!I:I,Listas!J:J),"OUTROS"))))</f>
        <v>TRIAGEM</v>
      </c>
      <c r="J308" s="12" t="s">
        <v>44</v>
      </c>
      <c r="K308" s="11" t="s">
        <v>241</v>
      </c>
      <c r="L308" s="11" t="s">
        <v>307</v>
      </c>
      <c r="M308" s="11" t="s">
        <v>243</v>
      </c>
      <c r="N308" s="11" t="s">
        <v>34</v>
      </c>
      <c r="O308" s="11" t="s">
        <v>57</v>
      </c>
      <c r="P308" s="11" t="s">
        <v>309</v>
      </c>
      <c r="Q308" s="108"/>
      <c r="S308" s="18"/>
      <c r="W308" s="56"/>
      <c r="Z308" s="15"/>
      <c r="AB308" s="10">
        <v>0</v>
      </c>
    </row>
    <row r="309" spans="1:28" ht="15.75" hidden="1" customHeight="1">
      <c r="A309" s="100">
        <v>30087</v>
      </c>
      <c r="B309" s="10">
        <v>1</v>
      </c>
      <c r="C309" s="63">
        <v>46140</v>
      </c>
      <c r="D309" s="91">
        <f t="shared" ca="1" si="14"/>
        <v>87</v>
      </c>
      <c r="E309" s="138" t="str">
        <f t="shared" ca="1" si="12"/>
        <v>CRÍTICO</v>
      </c>
      <c r="F309" s="19" t="s">
        <v>42</v>
      </c>
      <c r="G309" s="19" t="s">
        <v>29</v>
      </c>
      <c r="H309" s="19" t="s">
        <v>91</v>
      </c>
      <c r="I309" s="19" t="str">
        <f>IF(W309="ADMITIDO","ADMITIDO",IF(W309="CANCELADA","CANCELADA",IF(H309="","",IFERROR(_xlfn.XLOOKUP(H309,Listas!I:I,Listas!J:J),"OUTROS"))))</f>
        <v>TRIAGEM</v>
      </c>
      <c r="J309" s="12" t="s">
        <v>44</v>
      </c>
      <c r="K309" s="11" t="s">
        <v>54</v>
      </c>
      <c r="L309" s="11" t="s">
        <v>664</v>
      </c>
      <c r="M309" s="11" t="s">
        <v>435</v>
      </c>
      <c r="N309" s="11" t="s">
        <v>34</v>
      </c>
      <c r="O309" s="11" t="s">
        <v>57</v>
      </c>
      <c r="P309" s="11" t="s">
        <v>98</v>
      </c>
      <c r="Q309" s="108"/>
      <c r="S309" s="18"/>
      <c r="W309" s="44"/>
      <c r="Z309" s="15"/>
      <c r="AB309" s="10">
        <v>0</v>
      </c>
    </row>
    <row r="310" spans="1:28" ht="15.75" hidden="1" customHeight="1">
      <c r="A310" s="100">
        <v>30081</v>
      </c>
      <c r="B310" s="10">
        <v>1</v>
      </c>
      <c r="C310" s="63">
        <v>46140</v>
      </c>
      <c r="D310" s="91">
        <f t="shared" ca="1" si="14"/>
        <v>87</v>
      </c>
      <c r="E310" s="138" t="str">
        <f t="shared" si="12"/>
        <v>ADMITIDO</v>
      </c>
      <c r="F310" s="19" t="s">
        <v>42</v>
      </c>
      <c r="G310" s="19" t="s">
        <v>240</v>
      </c>
      <c r="H310" s="117" t="s">
        <v>40</v>
      </c>
      <c r="I310" s="19" t="str">
        <f>IF(W310="ADMITIDO","ADMITIDO",IF(W310="CANCELADA","CANCELADA",IF(H310="","",IFERROR(_xlfn.XLOOKUP(H310,Listas!I:I,Listas!J:J),"OUTROS"))))</f>
        <v>ADMITIDO</v>
      </c>
      <c r="J310" s="12" t="s">
        <v>53</v>
      </c>
      <c r="K310" s="11" t="s">
        <v>241</v>
      </c>
      <c r="L310" s="11" t="s">
        <v>518</v>
      </c>
      <c r="M310" s="11" t="s">
        <v>63</v>
      </c>
      <c r="N310" s="11" t="s">
        <v>34</v>
      </c>
      <c r="O310" s="11" t="s">
        <v>48</v>
      </c>
      <c r="P310" s="11" t="s">
        <v>120</v>
      </c>
      <c r="Q310" s="108"/>
      <c r="S310" s="18"/>
      <c r="T310" s="11" t="s">
        <v>76</v>
      </c>
      <c r="U310" s="202">
        <v>46153</v>
      </c>
      <c r="V310" s="64" t="s">
        <v>965</v>
      </c>
      <c r="W310" s="19" t="s">
        <v>40</v>
      </c>
      <c r="X310" s="43">
        <v>46155</v>
      </c>
      <c r="Y310" s="14">
        <v>46160</v>
      </c>
      <c r="Z310" s="15">
        <v>145964</v>
      </c>
      <c r="AA310" s="45"/>
      <c r="AB310" s="10">
        <v>0</v>
      </c>
    </row>
    <row r="311" spans="1:28" ht="15.75" hidden="1" customHeight="1">
      <c r="A311" s="100">
        <v>30077</v>
      </c>
      <c r="B311" s="10">
        <v>1</v>
      </c>
      <c r="C311" s="63">
        <v>46140</v>
      </c>
      <c r="D311" s="91">
        <f t="shared" ca="1" si="14"/>
        <v>87</v>
      </c>
      <c r="E311" s="138" t="str">
        <f t="shared" ca="1" si="12"/>
        <v>CRÍTICO</v>
      </c>
      <c r="F311" s="19" t="s">
        <v>42</v>
      </c>
      <c r="G311" s="19" t="s">
        <v>240</v>
      </c>
      <c r="H311" s="19" t="s">
        <v>91</v>
      </c>
      <c r="I311" s="19" t="str">
        <f>IF(W311="ADMITIDO","ADMITIDO",IF(W311="CANCELADA","CANCELADA",IF(H311="","",IFERROR(_xlfn.XLOOKUP(H311,Listas!I:I,Listas!J:J),"OUTROS"))))</f>
        <v>TRIAGEM</v>
      </c>
      <c r="J311" s="12" t="s">
        <v>53</v>
      </c>
      <c r="K311" s="11" t="s">
        <v>241</v>
      </c>
      <c r="L311" s="11" t="s">
        <v>312</v>
      </c>
      <c r="M311" s="11" t="s">
        <v>243</v>
      </c>
      <c r="N311" s="11" t="s">
        <v>34</v>
      </c>
      <c r="O311" s="11" t="s">
        <v>57</v>
      </c>
      <c r="P311" s="11" t="s">
        <v>480</v>
      </c>
      <c r="Q311" s="108"/>
      <c r="S311" s="18"/>
      <c r="T311" s="38" t="s">
        <v>109</v>
      </c>
      <c r="U311" s="211">
        <v>46153</v>
      </c>
      <c r="V311" s="49" t="s">
        <v>966</v>
      </c>
      <c r="W311" s="173" t="s">
        <v>967</v>
      </c>
      <c r="Z311" s="15"/>
      <c r="AB311" s="10">
        <v>0</v>
      </c>
    </row>
    <row r="312" spans="1:28" ht="15.75" hidden="1" customHeight="1">
      <c r="A312" s="100">
        <v>30079</v>
      </c>
      <c r="B312" s="10">
        <v>1</v>
      </c>
      <c r="C312" s="63">
        <v>46140</v>
      </c>
      <c r="D312" s="91">
        <f t="shared" ca="1" si="14"/>
        <v>87</v>
      </c>
      <c r="E312" s="138" t="str">
        <f t="shared" si="12"/>
        <v>CANCELADA</v>
      </c>
      <c r="F312" s="19" t="s">
        <v>42</v>
      </c>
      <c r="G312" s="19" t="s">
        <v>240</v>
      </c>
      <c r="H312" s="19" t="s">
        <v>52</v>
      </c>
      <c r="I312" s="117" t="str">
        <f>IF(W312="ADMITIDO","ADMITIDO",IF(W312="CANCELADA","CANCELADA",IF(H312="","",IFERROR(_xlfn.XLOOKUP(H312,Listas!I:I,Listas!J:J),"OUTROS"))))</f>
        <v>CANCELADA</v>
      </c>
      <c r="J312" s="12" t="s">
        <v>53</v>
      </c>
      <c r="K312" s="11" t="s">
        <v>241</v>
      </c>
      <c r="L312" s="11" t="s">
        <v>312</v>
      </c>
      <c r="M312" s="11" t="s">
        <v>243</v>
      </c>
      <c r="N312" s="11" t="s">
        <v>34</v>
      </c>
      <c r="O312" s="11" t="s">
        <v>48</v>
      </c>
      <c r="P312" s="11" t="s">
        <v>131</v>
      </c>
      <c r="Q312" s="108"/>
      <c r="S312" s="46"/>
      <c r="W312" s="38" t="s">
        <v>52</v>
      </c>
      <c r="X312" s="43"/>
      <c r="Z312" s="15"/>
      <c r="AB312" s="10">
        <v>0</v>
      </c>
    </row>
    <row r="313" spans="1:28" ht="15.75" hidden="1" customHeight="1">
      <c r="A313" s="100">
        <v>30111</v>
      </c>
      <c r="B313" s="10">
        <v>1</v>
      </c>
      <c r="C313" s="63">
        <v>46140</v>
      </c>
      <c r="D313" s="91">
        <f t="shared" ca="1" si="14"/>
        <v>87</v>
      </c>
      <c r="E313" s="138" t="str">
        <f t="shared" si="12"/>
        <v>ADMITIDO</v>
      </c>
      <c r="F313" s="19" t="s">
        <v>119</v>
      </c>
      <c r="G313" s="19" t="s">
        <v>145</v>
      </c>
      <c r="H313" s="117" t="s">
        <v>40</v>
      </c>
      <c r="I313" s="19" t="str">
        <f>IF(W313="ADMITIDO","ADMITIDO",IF(W313="CANCELADA","CANCELADA",IF(H313="","",IFERROR(_xlfn.XLOOKUP(H313,Listas!I:I,Listas!J:J),"OUTROS"))))</f>
        <v>ADMITIDO</v>
      </c>
      <c r="J313" s="12" t="s">
        <v>968</v>
      </c>
      <c r="K313" s="11" t="s">
        <v>824</v>
      </c>
      <c r="L313" s="11" t="s">
        <v>860</v>
      </c>
      <c r="M313" s="11" t="s">
        <v>119</v>
      </c>
      <c r="N313" s="11" t="s">
        <v>34</v>
      </c>
      <c r="O313" s="11" t="s">
        <v>48</v>
      </c>
      <c r="P313" s="11" t="s">
        <v>441</v>
      </c>
      <c r="Q313" s="108"/>
      <c r="S313" s="18"/>
      <c r="T313" s="40" t="s">
        <v>132</v>
      </c>
      <c r="U313" s="219">
        <v>46146</v>
      </c>
      <c r="V313" s="128" t="s">
        <v>969</v>
      </c>
      <c r="W313" s="19" t="s">
        <v>40</v>
      </c>
      <c r="X313" s="43">
        <v>46148</v>
      </c>
      <c r="Y313" s="14">
        <v>46148</v>
      </c>
      <c r="Z313" s="15">
        <v>914233</v>
      </c>
      <c r="AA313" s="45"/>
      <c r="AB313" s="10">
        <v>0</v>
      </c>
    </row>
    <row r="314" spans="1:28" ht="15.75" hidden="1" customHeight="1">
      <c r="A314" s="100">
        <v>30117</v>
      </c>
      <c r="B314" s="10">
        <v>1</v>
      </c>
      <c r="C314" s="63">
        <v>46140</v>
      </c>
      <c r="D314" s="91">
        <f t="shared" ca="1" si="14"/>
        <v>87</v>
      </c>
      <c r="E314" s="138" t="str">
        <f t="shared" ca="1" si="12"/>
        <v>CRÍTICO</v>
      </c>
      <c r="F314" s="19" t="s">
        <v>119</v>
      </c>
      <c r="G314" s="19" t="s">
        <v>821</v>
      </c>
      <c r="H314" s="19" t="s">
        <v>214</v>
      </c>
      <c r="I314" s="19" t="str">
        <f>IF(W314="ADMITIDO","ADMITIDO",IF(W314="CANCELADA","CANCELADA",IF(H314="","",IFERROR(_xlfn.XLOOKUP(H314,Listas!I:I,Listas!J:J),"OUTROS"))))</f>
        <v>TRIAGEM</v>
      </c>
      <c r="J314" s="12" t="s">
        <v>970</v>
      </c>
      <c r="K314" s="11" t="s">
        <v>824</v>
      </c>
      <c r="L314" s="11" t="s">
        <v>860</v>
      </c>
      <c r="M314" s="11" t="s">
        <v>119</v>
      </c>
      <c r="N314" s="11" t="s">
        <v>34</v>
      </c>
      <c r="O314" s="11" t="s">
        <v>48</v>
      </c>
      <c r="P314" s="11" t="s">
        <v>441</v>
      </c>
      <c r="Q314" s="108" t="s">
        <v>971</v>
      </c>
      <c r="S314" s="18"/>
      <c r="T314" s="174"/>
      <c r="U314" s="211"/>
      <c r="V314" s="49"/>
      <c r="W314" s="187"/>
      <c r="Z314" s="15"/>
      <c r="AB314" s="10">
        <v>0</v>
      </c>
    </row>
    <row r="315" spans="1:28" ht="15.75" hidden="1" customHeight="1">
      <c r="A315" s="100">
        <v>30113</v>
      </c>
      <c r="B315" s="10">
        <v>1</v>
      </c>
      <c r="C315" s="63">
        <v>46140</v>
      </c>
      <c r="D315" s="91">
        <f t="shared" ca="1" si="14"/>
        <v>87</v>
      </c>
      <c r="E315" s="138" t="str">
        <f t="shared" si="12"/>
        <v>CANCELADA</v>
      </c>
      <c r="F315" s="19" t="s">
        <v>42</v>
      </c>
      <c r="G315" s="19" t="s">
        <v>43</v>
      </c>
      <c r="H315" s="19" t="s">
        <v>52</v>
      </c>
      <c r="I315" s="19" t="str">
        <f>IF(W315="ADMITIDO","ADMITIDO",IF(W315="CANCELADA","CANCELADA",IF(H315="","",IFERROR(_xlfn.XLOOKUP(H315,Listas!I:I,Listas!J:J),"OUTROS"))))</f>
        <v>CANCELADA</v>
      </c>
      <c r="J315" s="12" t="s">
        <v>53</v>
      </c>
      <c r="K315" s="11" t="s">
        <v>189</v>
      </c>
      <c r="L315" s="21" t="s">
        <v>972</v>
      </c>
      <c r="M315" s="11" t="s">
        <v>33</v>
      </c>
      <c r="N315" s="11" t="s">
        <v>34</v>
      </c>
      <c r="O315" s="11" t="s">
        <v>48</v>
      </c>
      <c r="P315" s="11" t="s">
        <v>131</v>
      </c>
      <c r="Q315" s="108" t="s">
        <v>973</v>
      </c>
      <c r="S315" s="46"/>
      <c r="W315" s="11" t="s">
        <v>52</v>
      </c>
      <c r="X315" s="43"/>
      <c r="Z315" s="15"/>
      <c r="AB315" s="10">
        <v>0</v>
      </c>
    </row>
    <row r="316" spans="1:28" ht="15.75" customHeight="1">
      <c r="A316" s="100">
        <v>30083</v>
      </c>
      <c r="B316" s="10">
        <v>1</v>
      </c>
      <c r="C316" s="63">
        <v>46140</v>
      </c>
      <c r="D316" s="91">
        <f t="shared" ca="1" si="14"/>
        <v>87</v>
      </c>
      <c r="E316" s="138" t="str">
        <f t="shared" ca="1" si="12"/>
        <v>CRÍTICO</v>
      </c>
      <c r="F316" s="19" t="s">
        <v>42</v>
      </c>
      <c r="G316" s="19" t="s">
        <v>29</v>
      </c>
      <c r="H316" s="117" t="s">
        <v>181</v>
      </c>
      <c r="I316" s="19" t="str">
        <f>IF(W316="ADMITIDO","ADMITIDO",IF(W316="CANCELADA","CANCELADA",IF(H316="","",IFERROR(_xlfn.XLOOKUP(H316,Listas!I:I,Listas!J:J),"OUTROS"))))</f>
        <v>DOCUMENTAÇÃO</v>
      </c>
      <c r="J316" s="12" t="s">
        <v>974</v>
      </c>
      <c r="K316" s="11" t="s">
        <v>54</v>
      </c>
      <c r="L316" s="11" t="s">
        <v>865</v>
      </c>
      <c r="M316" s="11" t="s">
        <v>93</v>
      </c>
      <c r="N316" s="11" t="s">
        <v>34</v>
      </c>
      <c r="O316" s="11" t="s">
        <v>48</v>
      </c>
      <c r="P316" s="11" t="s">
        <v>131</v>
      </c>
      <c r="Q316" s="108"/>
      <c r="S316" s="18"/>
      <c r="T316" s="177" t="s">
        <v>38</v>
      </c>
      <c r="U316" s="212">
        <v>46154</v>
      </c>
      <c r="V316" s="53" t="s">
        <v>975</v>
      </c>
      <c r="W316" s="187" t="s">
        <v>188</v>
      </c>
      <c r="X316" s="14" t="s">
        <v>293</v>
      </c>
      <c r="Y316" s="14">
        <v>46161</v>
      </c>
      <c r="Z316" s="15">
        <v>145971</v>
      </c>
      <c r="AB316" s="10">
        <v>0</v>
      </c>
    </row>
    <row r="317" spans="1:28" ht="15.75" hidden="1" customHeight="1">
      <c r="A317" s="100">
        <v>30121</v>
      </c>
      <c r="B317" s="10">
        <v>1</v>
      </c>
      <c r="C317" s="63">
        <v>46141</v>
      </c>
      <c r="D317" s="91">
        <f t="shared" ref="D317:D350" ca="1" si="15">TODAY()-C317</f>
        <v>86</v>
      </c>
      <c r="E317" s="138" t="str">
        <f t="shared" si="12"/>
        <v>ADMITIDO</v>
      </c>
      <c r="F317" s="19" t="s">
        <v>28</v>
      </c>
      <c r="G317" s="19" t="s">
        <v>145</v>
      </c>
      <c r="H317" s="117" t="s">
        <v>40</v>
      </c>
      <c r="I317" s="19" t="str">
        <f>IF(W317="ADMITIDO","ADMITIDO",IF(W317="CANCELADA","CANCELADA",IF(H317="","",IFERROR(_xlfn.XLOOKUP(H317,Listas!I:I,Listas!J:J),"OUTROS"))))</f>
        <v>ADMITIDO</v>
      </c>
      <c r="J317" s="12" t="s">
        <v>172</v>
      </c>
      <c r="K317" s="11" t="s">
        <v>330</v>
      </c>
      <c r="L317" s="11" t="s">
        <v>976</v>
      </c>
      <c r="M317" s="11" t="s">
        <v>977</v>
      </c>
      <c r="N317" s="11" t="s">
        <v>34</v>
      </c>
      <c r="O317" s="11" t="s">
        <v>978</v>
      </c>
      <c r="P317" s="11" t="s">
        <v>979</v>
      </c>
      <c r="Q317" s="108"/>
      <c r="R317" s="19" t="s">
        <v>145</v>
      </c>
      <c r="S317" s="18"/>
      <c r="T317" s="11" t="s">
        <v>132</v>
      </c>
      <c r="U317" s="212">
        <v>46140</v>
      </c>
      <c r="V317" s="181" t="s">
        <v>980</v>
      </c>
      <c r="W317" s="19" t="s">
        <v>40</v>
      </c>
      <c r="X317" s="43">
        <v>46154</v>
      </c>
      <c r="Y317" s="14">
        <v>46156</v>
      </c>
      <c r="Z317" s="15">
        <v>83286</v>
      </c>
      <c r="AA317" s="45"/>
      <c r="AB317" s="10">
        <v>0</v>
      </c>
    </row>
    <row r="318" spans="1:28" ht="15.75" hidden="1" customHeight="1">
      <c r="A318" s="100">
        <v>30128</v>
      </c>
      <c r="B318" s="10">
        <v>1</v>
      </c>
      <c r="C318" s="63">
        <v>46141</v>
      </c>
      <c r="D318" s="91">
        <f t="shared" ca="1" si="15"/>
        <v>86</v>
      </c>
      <c r="E318" s="138" t="str">
        <f t="shared" si="12"/>
        <v>ADMITIDO</v>
      </c>
      <c r="F318" s="19" t="s">
        <v>28</v>
      </c>
      <c r="G318" s="19" t="s">
        <v>145</v>
      </c>
      <c r="H318" s="19" t="s">
        <v>40</v>
      </c>
      <c r="I318" s="19" t="str">
        <f>IF(W318="ADMITIDO","ADMITIDO",IF(W318="CANCELADA","CANCELADA",IF(H318="","",IFERROR(_xlfn.XLOOKUP(H318,Listas!I:I,Listas!J:J),"OUTROS"))))</f>
        <v>ADMITIDO</v>
      </c>
      <c r="J318" s="12" t="s">
        <v>981</v>
      </c>
      <c r="K318" s="11" t="s">
        <v>982</v>
      </c>
      <c r="L318" s="11" t="s">
        <v>983</v>
      </c>
      <c r="M318" s="11" t="s">
        <v>63</v>
      </c>
      <c r="N318" s="11" t="s">
        <v>56</v>
      </c>
      <c r="O318" s="11" t="s">
        <v>984</v>
      </c>
      <c r="P318" s="11" t="s">
        <v>985</v>
      </c>
      <c r="Q318" s="108"/>
      <c r="S318" s="18"/>
      <c r="T318" s="11" t="s">
        <v>132</v>
      </c>
      <c r="U318" s="202">
        <v>46141</v>
      </c>
      <c r="V318" s="42" t="s">
        <v>986</v>
      </c>
      <c r="W318" s="19" t="s">
        <v>40</v>
      </c>
      <c r="X318" s="43">
        <v>46146</v>
      </c>
      <c r="Y318" s="14">
        <v>46146</v>
      </c>
      <c r="Z318" s="15">
        <v>145907</v>
      </c>
      <c r="AB318" s="10">
        <v>0</v>
      </c>
    </row>
    <row r="319" spans="1:28" ht="15.75" hidden="1" customHeight="1">
      <c r="A319" s="100">
        <v>30127</v>
      </c>
      <c r="B319" s="10">
        <v>1</v>
      </c>
      <c r="C319" s="63">
        <v>46141</v>
      </c>
      <c r="D319" s="91">
        <f t="shared" ca="1" si="15"/>
        <v>86</v>
      </c>
      <c r="E319" s="138" t="str">
        <f t="shared" si="12"/>
        <v>ADMITIDO</v>
      </c>
      <c r="F319" s="19" t="s">
        <v>28</v>
      </c>
      <c r="G319" s="19" t="s">
        <v>145</v>
      </c>
      <c r="H319" s="19" t="str">
        <f>W319</f>
        <v>ADMITIDO</v>
      </c>
      <c r="I319" s="19" t="str">
        <f>IF(W319="ADMITIDO","ADMITIDO",IF(W319="CANCELADA","CANCELADA",IF(H319="","",IFERROR(_xlfn.XLOOKUP(H319,Listas!I:I,Listas!J:J),"OUTROS"))))</f>
        <v>ADMITIDO</v>
      </c>
      <c r="J319" s="12" t="s">
        <v>987</v>
      </c>
      <c r="K319" s="11" t="s">
        <v>423</v>
      </c>
      <c r="L319" s="11" t="s">
        <v>988</v>
      </c>
      <c r="M319" s="11" t="s">
        <v>63</v>
      </c>
      <c r="N319" s="11" t="s">
        <v>34</v>
      </c>
      <c r="O319" s="11" t="s">
        <v>48</v>
      </c>
      <c r="P319" s="11" t="s">
        <v>989</v>
      </c>
      <c r="Q319" s="108"/>
      <c r="S319" s="18"/>
      <c r="T319" s="11" t="s">
        <v>76</v>
      </c>
      <c r="U319" s="202" t="s">
        <v>990</v>
      </c>
      <c r="V319" s="42" t="s">
        <v>991</v>
      </c>
      <c r="W319" s="19" t="s">
        <v>40</v>
      </c>
      <c r="X319" s="43">
        <v>46142</v>
      </c>
      <c r="Y319" s="14">
        <v>46146</v>
      </c>
      <c r="Z319" s="15">
        <v>914208</v>
      </c>
      <c r="AB319" s="10">
        <v>0</v>
      </c>
    </row>
    <row r="320" spans="1:28" ht="15.75" hidden="1" customHeight="1">
      <c r="A320" s="100">
        <v>30095</v>
      </c>
      <c r="B320" s="10">
        <v>1</v>
      </c>
      <c r="C320" s="63">
        <v>46141</v>
      </c>
      <c r="D320" s="91">
        <f t="shared" ca="1" si="15"/>
        <v>86</v>
      </c>
      <c r="E320" s="138" t="str">
        <f t="shared" si="12"/>
        <v>ADMITIDO</v>
      </c>
      <c r="F320" s="19" t="s">
        <v>42</v>
      </c>
      <c r="G320" s="19" t="s">
        <v>29</v>
      </c>
      <c r="H320" s="19" t="str">
        <f>W320</f>
        <v>ADMITIDO</v>
      </c>
      <c r="I320" s="19" t="str">
        <f>IF(W320="ADMITIDO","ADMITIDO",IF(W320="CANCELADA","CANCELADA",IF(H320="","",IFERROR(_xlfn.XLOOKUP(H320,Listas!I:I,Listas!J:J),"OUTROS"))))</f>
        <v>ADMITIDO</v>
      </c>
      <c r="J320" s="12" t="s">
        <v>992</v>
      </c>
      <c r="K320" s="11" t="s">
        <v>228</v>
      </c>
      <c r="L320" s="11" t="s">
        <v>229</v>
      </c>
      <c r="M320" s="11" t="s">
        <v>88</v>
      </c>
      <c r="N320" s="11" t="s">
        <v>34</v>
      </c>
      <c r="O320" s="11" t="s">
        <v>35</v>
      </c>
      <c r="P320" s="11" t="s">
        <v>287</v>
      </c>
      <c r="Q320" s="108" t="s">
        <v>993</v>
      </c>
      <c r="S320" s="18" t="s">
        <v>994</v>
      </c>
      <c r="T320" s="11" t="s">
        <v>38</v>
      </c>
      <c r="U320" s="202">
        <v>46150</v>
      </c>
      <c r="V320" s="64" t="s">
        <v>995</v>
      </c>
      <c r="W320" s="19" t="s">
        <v>40</v>
      </c>
      <c r="X320" s="43">
        <v>46125</v>
      </c>
      <c r="Y320" s="14">
        <v>46126</v>
      </c>
      <c r="Z320" s="15">
        <v>145957</v>
      </c>
      <c r="AB320" s="10">
        <v>0</v>
      </c>
    </row>
    <row r="321" spans="1:28" ht="15.75" hidden="1" customHeight="1">
      <c r="A321" s="100">
        <v>30101</v>
      </c>
      <c r="B321" s="10">
        <v>1</v>
      </c>
      <c r="C321" s="63">
        <v>46141</v>
      </c>
      <c r="D321" s="91">
        <f t="shared" ca="1" si="15"/>
        <v>86</v>
      </c>
      <c r="E321" s="138" t="str">
        <f t="shared" si="12"/>
        <v>ADMITIDO</v>
      </c>
      <c r="F321" s="19" t="s">
        <v>28</v>
      </c>
      <c r="G321" s="19" t="s">
        <v>60</v>
      </c>
      <c r="H321" s="117" t="str">
        <f>W321</f>
        <v>ADMITIDO</v>
      </c>
      <c r="I321" s="19" t="str">
        <f>IF(W321="ADMITIDO","ADMITIDO",IF(W321="CANCELADA","CANCELADA",IF(H321="","",IFERROR(_xlfn.XLOOKUP(H321,Listas!I:I,Listas!J:J),"OUTROS"))))</f>
        <v>ADMITIDO</v>
      </c>
      <c r="J321" s="12" t="s">
        <v>616</v>
      </c>
      <c r="K321" s="11" t="s">
        <v>330</v>
      </c>
      <c r="L321" s="11" t="s">
        <v>996</v>
      </c>
      <c r="M321" s="11" t="s">
        <v>63</v>
      </c>
      <c r="N321" s="11" t="s">
        <v>34</v>
      </c>
      <c r="O321" s="11" t="s">
        <v>35</v>
      </c>
      <c r="P321" s="11" t="s">
        <v>36</v>
      </c>
      <c r="Q321" s="108"/>
      <c r="S321" s="18"/>
      <c r="T321" s="11" t="s">
        <v>132</v>
      </c>
      <c r="U321" s="202">
        <v>46148</v>
      </c>
      <c r="V321" s="42" t="s">
        <v>997</v>
      </c>
      <c r="W321" s="19" t="s">
        <v>40</v>
      </c>
      <c r="X321" s="43">
        <v>46150</v>
      </c>
      <c r="Y321" s="14">
        <v>46153</v>
      </c>
      <c r="Z321" s="15">
        <v>914246</v>
      </c>
      <c r="AB321" s="10">
        <v>0</v>
      </c>
    </row>
    <row r="322" spans="1:28" ht="15.75" hidden="1" customHeight="1">
      <c r="A322" s="100">
        <v>30114</v>
      </c>
      <c r="B322" s="10">
        <v>1</v>
      </c>
      <c r="C322" s="63">
        <v>46141</v>
      </c>
      <c r="D322" s="91">
        <f t="shared" ca="1" si="15"/>
        <v>86</v>
      </c>
      <c r="E322" s="138" t="str">
        <f t="shared" si="12"/>
        <v>ADMITIDO</v>
      </c>
      <c r="F322" s="19" t="s">
        <v>28</v>
      </c>
      <c r="G322" s="19" t="s">
        <v>102</v>
      </c>
      <c r="H322" s="19" t="str">
        <f>W322</f>
        <v>ADMITIDO</v>
      </c>
      <c r="I322" s="19" t="str">
        <f>IF(W322="ADMITIDO","ADMITIDO",IF(W322="CANCELADA","CANCELADA",IF(H322="","",IFERROR(_xlfn.XLOOKUP(H322,Listas!I:I,Listas!J:J),"OUTROS"))))</f>
        <v>ADMITIDO</v>
      </c>
      <c r="J322" s="12" t="s">
        <v>268</v>
      </c>
      <c r="K322" s="11" t="s">
        <v>371</v>
      </c>
      <c r="L322" s="11" t="s">
        <v>998</v>
      </c>
      <c r="M322" s="11" t="s">
        <v>999</v>
      </c>
      <c r="N322" s="11" t="s">
        <v>34</v>
      </c>
      <c r="O322" s="11" t="s">
        <v>35</v>
      </c>
      <c r="P322" s="11" t="s">
        <v>36</v>
      </c>
      <c r="Q322" s="108" t="s">
        <v>1000</v>
      </c>
      <c r="S322" s="18"/>
      <c r="T322" s="11" t="s">
        <v>76</v>
      </c>
      <c r="U322" s="211">
        <v>46142</v>
      </c>
      <c r="V322" s="132" t="s">
        <v>1001</v>
      </c>
      <c r="W322" s="19" t="s">
        <v>40</v>
      </c>
      <c r="X322" s="43">
        <v>46147</v>
      </c>
      <c r="Y322" s="14">
        <v>46149</v>
      </c>
      <c r="Z322" s="15">
        <v>914222</v>
      </c>
      <c r="AA322" s="45"/>
      <c r="AB322" s="10">
        <v>0</v>
      </c>
    </row>
    <row r="323" spans="1:28" ht="15.75" customHeight="1">
      <c r="A323" s="100">
        <v>30116</v>
      </c>
      <c r="B323" s="10">
        <v>1</v>
      </c>
      <c r="C323" s="63">
        <v>46141</v>
      </c>
      <c r="D323" s="91">
        <f t="shared" ca="1" si="15"/>
        <v>86</v>
      </c>
      <c r="E323" s="138" t="str">
        <f t="shared" ref="E323:E386" ca="1" si="16">IF(W323="ADMITIDO","ADMITIDO",IF(W323="CANCELADA","CANCELADA",IF(H323="","",IF(H323="ADMITIDO","ADMITIDO",IF(H323="CANCELADA","CANCELADA",IF(OR(H323="ANALISE CANCELAMENTO",H323="ANÁLISE CANCELAMENTO"),"EM ANÁLISE",IF(D323="","",IF(D323&lt;=7,"NO PRAZO",IF(D323&lt;=14,"ATENÇÃO","CRÍTICO")))))))))</f>
        <v>CRÍTICO</v>
      </c>
      <c r="F323" s="19" t="s">
        <v>42</v>
      </c>
      <c r="G323" s="19" t="s">
        <v>663</v>
      </c>
      <c r="H323" s="19" t="s">
        <v>181</v>
      </c>
      <c r="I323" s="19" t="str">
        <f>IF(W323="ADMITIDO","ADMITIDO",IF(W323="CANCELADA","CANCELADA",IF(H323="","",IFERROR(_xlfn.XLOOKUP(H323,Listas!I:I,Listas!J:J),"OUTROS"))))</f>
        <v>DOCUMENTAÇÃO</v>
      </c>
      <c r="J323" s="12" t="s">
        <v>53</v>
      </c>
      <c r="K323" s="11" t="s">
        <v>54</v>
      </c>
      <c r="L323" s="11" t="s">
        <v>164</v>
      </c>
      <c r="M323" s="11" t="s">
        <v>88</v>
      </c>
      <c r="N323" s="11" t="s">
        <v>34</v>
      </c>
      <c r="O323" s="11" t="s">
        <v>57</v>
      </c>
      <c r="P323" s="11" t="s">
        <v>94</v>
      </c>
      <c r="Q323" s="108"/>
      <c r="S323" s="133" t="s">
        <v>1002</v>
      </c>
      <c r="T323" s="35" t="s">
        <v>38</v>
      </c>
      <c r="U323" s="202">
        <v>46155</v>
      </c>
      <c r="V323" s="125" t="s">
        <v>1003</v>
      </c>
      <c r="W323" s="188" t="s">
        <v>188</v>
      </c>
      <c r="X323" s="14" t="s">
        <v>293</v>
      </c>
      <c r="Y323" s="14">
        <v>46161</v>
      </c>
      <c r="Z323" s="15">
        <v>145979</v>
      </c>
      <c r="AA323" s="45"/>
      <c r="AB323" s="10">
        <v>0</v>
      </c>
    </row>
    <row r="324" spans="1:28" ht="15.75" hidden="1" customHeight="1">
      <c r="A324" s="100">
        <v>30124</v>
      </c>
      <c r="B324" s="10">
        <v>1</v>
      </c>
      <c r="C324" s="63">
        <v>46141</v>
      </c>
      <c r="D324" s="91">
        <f t="shared" ca="1" si="15"/>
        <v>86</v>
      </c>
      <c r="E324" s="138" t="str">
        <f t="shared" si="16"/>
        <v>ADMITIDO</v>
      </c>
      <c r="F324" s="19" t="s">
        <v>42</v>
      </c>
      <c r="G324" s="19" t="s">
        <v>29</v>
      </c>
      <c r="H324" s="19" t="s">
        <v>40</v>
      </c>
      <c r="I324" s="19" t="str">
        <f>IF(W324="ADMITIDO","ADMITIDO",IF(W324="CANCELADA","CANCELADA",IF(H324="","",IFERROR(_xlfn.XLOOKUP(H324,Listas!I:I,Listas!J:J),"OUTROS"))))</f>
        <v>ADMITIDO</v>
      </c>
      <c r="J324" s="12" t="s">
        <v>53</v>
      </c>
      <c r="K324" s="11" t="s">
        <v>54</v>
      </c>
      <c r="L324" s="11" t="s">
        <v>164</v>
      </c>
      <c r="M324" s="11" t="s">
        <v>88</v>
      </c>
      <c r="N324" s="11" t="s">
        <v>34</v>
      </c>
      <c r="O324" s="11" t="s">
        <v>57</v>
      </c>
      <c r="P324" s="11" t="s">
        <v>231</v>
      </c>
      <c r="Q324" s="108"/>
      <c r="S324" s="18"/>
      <c r="T324" s="11" t="s">
        <v>38</v>
      </c>
      <c r="U324" s="218">
        <v>46142</v>
      </c>
      <c r="V324" s="182" t="s">
        <v>1004</v>
      </c>
      <c r="W324" s="19" t="s">
        <v>40</v>
      </c>
      <c r="X324" s="43">
        <v>46146</v>
      </c>
      <c r="Y324" s="14">
        <v>46145</v>
      </c>
      <c r="Z324" s="15">
        <v>145915</v>
      </c>
      <c r="AB324" s="10">
        <v>0</v>
      </c>
    </row>
    <row r="325" spans="1:28" ht="15.75" hidden="1" customHeight="1">
      <c r="A325" s="100">
        <v>30137</v>
      </c>
      <c r="B325" s="10">
        <v>1</v>
      </c>
      <c r="C325" s="63">
        <v>46141</v>
      </c>
      <c r="D325" s="91">
        <f t="shared" ca="1" si="15"/>
        <v>86</v>
      </c>
      <c r="E325" s="138" t="str">
        <f t="shared" si="16"/>
        <v>ADMITIDO</v>
      </c>
      <c r="F325" s="19" t="s">
        <v>42</v>
      </c>
      <c r="G325" s="19" t="s">
        <v>29</v>
      </c>
      <c r="H325" s="117" t="s">
        <v>40</v>
      </c>
      <c r="I325" s="19" t="str">
        <f>IF(W325="ADMITIDO","ADMITIDO",IF(W325="CANCELADA","CANCELADA",IF(H325="","",IFERROR(_xlfn.XLOOKUP(H325,Listas!I:I,Listas!J:J),"OUTROS"))))</f>
        <v>ADMITIDO</v>
      </c>
      <c r="J325" s="12" t="s">
        <v>53</v>
      </c>
      <c r="K325" s="11" t="s">
        <v>54</v>
      </c>
      <c r="L325" s="11" t="s">
        <v>164</v>
      </c>
      <c r="M325" s="11" t="s">
        <v>88</v>
      </c>
      <c r="N325" s="11" t="s">
        <v>34</v>
      </c>
      <c r="O325" s="11" t="s">
        <v>57</v>
      </c>
      <c r="P325" s="11" t="s">
        <v>94</v>
      </c>
      <c r="Q325" s="108"/>
      <c r="S325" s="18"/>
      <c r="T325" s="35" t="s">
        <v>38</v>
      </c>
      <c r="U325" s="202">
        <v>46154</v>
      </c>
      <c r="V325" s="42" t="s">
        <v>1005</v>
      </c>
      <c r="W325" s="59" t="s">
        <v>40</v>
      </c>
      <c r="X325" s="43">
        <v>46157</v>
      </c>
      <c r="Y325" s="14">
        <v>46157</v>
      </c>
      <c r="Z325" s="15">
        <v>145968</v>
      </c>
      <c r="AA325" s="45"/>
      <c r="AB325" s="10">
        <v>0</v>
      </c>
    </row>
    <row r="326" spans="1:28" ht="15.75" hidden="1" customHeight="1">
      <c r="A326" s="100">
        <v>30138</v>
      </c>
      <c r="B326" s="10">
        <v>1</v>
      </c>
      <c r="C326" s="63">
        <v>46141</v>
      </c>
      <c r="D326" s="91">
        <f t="shared" ca="1" si="15"/>
        <v>86</v>
      </c>
      <c r="E326" s="138" t="str">
        <f t="shared" si="16"/>
        <v>ADMITIDO</v>
      </c>
      <c r="F326" s="19" t="s">
        <v>42</v>
      </c>
      <c r="G326" s="19" t="s">
        <v>29</v>
      </c>
      <c r="H326" s="117" t="s">
        <v>40</v>
      </c>
      <c r="I326" s="19" t="str">
        <f>IF(W326="ADMITIDO","ADMITIDO",IF(W326="CANCELADA","CANCELADA",IF(H326="","",IFERROR(_xlfn.XLOOKUP(H326,Listas!I:I,Listas!J:J),"OUTROS"))))</f>
        <v>ADMITIDO</v>
      </c>
      <c r="J326" s="12" t="s">
        <v>53</v>
      </c>
      <c r="K326" s="11" t="s">
        <v>54</v>
      </c>
      <c r="L326" s="11" t="s">
        <v>164</v>
      </c>
      <c r="M326" s="11" t="s">
        <v>88</v>
      </c>
      <c r="N326" s="11" t="s">
        <v>34</v>
      </c>
      <c r="O326" s="11" t="s">
        <v>57</v>
      </c>
      <c r="P326" s="11" t="s">
        <v>94</v>
      </c>
      <c r="Q326" s="108"/>
      <c r="S326" s="18" t="s">
        <v>1006</v>
      </c>
      <c r="T326" s="11" t="s">
        <v>38</v>
      </c>
      <c r="U326" s="219">
        <v>46154</v>
      </c>
      <c r="V326" s="128" t="s">
        <v>1007</v>
      </c>
      <c r="W326" s="19" t="s">
        <v>40</v>
      </c>
      <c r="X326" s="43">
        <v>46155</v>
      </c>
      <c r="Y326" s="14">
        <v>46156</v>
      </c>
      <c r="Z326" s="15">
        <v>145945</v>
      </c>
      <c r="AB326" s="10">
        <v>0</v>
      </c>
    </row>
    <row r="327" spans="1:28" ht="15.75" hidden="1" customHeight="1">
      <c r="A327" s="100">
        <v>30088</v>
      </c>
      <c r="B327" s="10">
        <v>1</v>
      </c>
      <c r="C327" s="63">
        <v>46141</v>
      </c>
      <c r="D327" s="91">
        <f t="shared" ca="1" si="15"/>
        <v>86</v>
      </c>
      <c r="E327" s="138" t="str">
        <f t="shared" ca="1" si="16"/>
        <v>CRÍTICO</v>
      </c>
      <c r="F327" s="19" t="s">
        <v>42</v>
      </c>
      <c r="G327" s="19" t="s">
        <v>43</v>
      </c>
      <c r="H327" s="19" t="s">
        <v>181</v>
      </c>
      <c r="I327" s="19" t="str">
        <f>IF(W327="ADMITIDO","ADMITIDO",IF(W327="CANCELADA","CANCELADA",IF(H327="","",IFERROR(_xlfn.XLOOKUP(H327,Listas!I:I,Listas!J:J),"OUTROS"))))</f>
        <v>DOCUMENTAÇÃO</v>
      </c>
      <c r="J327" s="12" t="s">
        <v>53</v>
      </c>
      <c r="K327" s="11" t="s">
        <v>189</v>
      </c>
      <c r="L327" s="11" t="s">
        <v>511</v>
      </c>
      <c r="M327" s="11" t="s">
        <v>512</v>
      </c>
      <c r="N327" s="11" t="s">
        <v>34</v>
      </c>
      <c r="O327" s="11" t="s">
        <v>48</v>
      </c>
      <c r="P327" s="11" t="s">
        <v>414</v>
      </c>
      <c r="Q327" s="108"/>
      <c r="R327" s="16" t="s">
        <v>1008</v>
      </c>
      <c r="S327" s="18">
        <v>11975626574</v>
      </c>
      <c r="T327" s="35" t="s">
        <v>67</v>
      </c>
      <c r="U327" s="202">
        <v>46154</v>
      </c>
      <c r="V327" s="41" t="s">
        <v>1009</v>
      </c>
      <c r="W327" s="178" t="s">
        <v>284</v>
      </c>
      <c r="Z327" s="15"/>
      <c r="AA327" s="149" t="s">
        <v>1010</v>
      </c>
      <c r="AB327" s="10">
        <v>0</v>
      </c>
    </row>
    <row r="328" spans="1:28" ht="15.75" hidden="1" customHeight="1">
      <c r="A328" s="100">
        <v>30115</v>
      </c>
      <c r="B328" s="10">
        <v>1</v>
      </c>
      <c r="C328" s="63">
        <v>46141</v>
      </c>
      <c r="D328" s="91">
        <f t="shared" ca="1" si="15"/>
        <v>86</v>
      </c>
      <c r="E328" s="138" t="str">
        <f t="shared" ca="1" si="16"/>
        <v>CRÍTICO</v>
      </c>
      <c r="F328" s="19" t="s">
        <v>42</v>
      </c>
      <c r="G328" s="19" t="s">
        <v>240</v>
      </c>
      <c r="H328" s="19" t="s">
        <v>91</v>
      </c>
      <c r="I328" s="19" t="str">
        <f>IF(W328="ADMITIDO","ADMITIDO",IF(W328="CANCELADA","CANCELADA",IF(H328="","",IFERROR(_xlfn.XLOOKUP(H328,Listas!I:I,Listas!J:J),"OUTROS"))))</f>
        <v>TRIAGEM</v>
      </c>
      <c r="J328" s="12" t="s">
        <v>44</v>
      </c>
      <c r="K328" s="11" t="s">
        <v>241</v>
      </c>
      <c r="L328" s="11" t="s">
        <v>351</v>
      </c>
      <c r="M328" s="11" t="s">
        <v>63</v>
      </c>
      <c r="N328" s="11" t="s">
        <v>34</v>
      </c>
      <c r="O328" s="11" t="s">
        <v>57</v>
      </c>
      <c r="P328" s="11" t="s">
        <v>470</v>
      </c>
      <c r="Q328" s="108" t="s">
        <v>1011</v>
      </c>
      <c r="S328" s="18"/>
      <c r="T328" s="35"/>
      <c r="U328" s="211"/>
      <c r="V328" s="49"/>
      <c r="W328" s="131"/>
      <c r="Z328" s="15"/>
      <c r="AB328" s="10">
        <v>0</v>
      </c>
    </row>
    <row r="329" spans="1:28" ht="15.75" hidden="1" customHeight="1">
      <c r="A329" s="100">
        <v>30094</v>
      </c>
      <c r="B329" s="10">
        <v>1</v>
      </c>
      <c r="C329" s="63">
        <v>46141</v>
      </c>
      <c r="D329" s="91">
        <f t="shared" ca="1" si="15"/>
        <v>86</v>
      </c>
      <c r="E329" s="138" t="str">
        <f t="shared" si="16"/>
        <v>ADMITIDO</v>
      </c>
      <c r="F329" s="19" t="s">
        <v>42</v>
      </c>
      <c r="G329" s="19" t="s">
        <v>69</v>
      </c>
      <c r="H329" s="117" t="s">
        <v>40</v>
      </c>
      <c r="I329" s="19" t="str">
        <f>IF(W329="ADMITIDO","ADMITIDO",IF(W329="CANCELADA","CANCELADA",IF(H329="","",IFERROR(_xlfn.XLOOKUP(H329,Listas!I:I,Listas!J:J),"OUTROS"))))</f>
        <v>ADMITIDO</v>
      </c>
      <c r="J329" s="12" t="s">
        <v>44</v>
      </c>
      <c r="K329" s="11" t="s">
        <v>158</v>
      </c>
      <c r="L329" s="11" t="s">
        <v>1012</v>
      </c>
      <c r="M329" s="11" t="s">
        <v>63</v>
      </c>
      <c r="N329" s="11" t="s">
        <v>34</v>
      </c>
      <c r="O329" s="11" t="s">
        <v>589</v>
      </c>
      <c r="P329" s="11" t="s">
        <v>98</v>
      </c>
      <c r="Q329" s="108"/>
      <c r="R329" s="13" t="s">
        <v>65</v>
      </c>
      <c r="T329" s="174" t="s">
        <v>109</v>
      </c>
      <c r="U329" s="211">
        <v>46153</v>
      </c>
      <c r="V329" s="132" t="s">
        <v>1013</v>
      </c>
      <c r="W329" s="59" t="s">
        <v>40</v>
      </c>
      <c r="X329" s="43">
        <v>46156</v>
      </c>
      <c r="Y329" s="14">
        <v>46160</v>
      </c>
      <c r="Z329" s="15">
        <v>145969</v>
      </c>
      <c r="AA329" s="45"/>
      <c r="AB329" s="10">
        <v>0</v>
      </c>
    </row>
    <row r="330" spans="1:28" ht="15.75" hidden="1" customHeight="1">
      <c r="A330" s="100">
        <v>30106</v>
      </c>
      <c r="B330" s="10">
        <v>1</v>
      </c>
      <c r="C330" s="63">
        <v>46141</v>
      </c>
      <c r="D330" s="91">
        <f t="shared" ca="1" si="15"/>
        <v>86</v>
      </c>
      <c r="E330" s="138" t="str">
        <f t="shared" si="16"/>
        <v>CANCELADA</v>
      </c>
      <c r="F330" s="19" t="s">
        <v>42</v>
      </c>
      <c r="G330" s="19" t="s">
        <v>69</v>
      </c>
      <c r="H330" s="117" t="s">
        <v>52</v>
      </c>
      <c r="I330" s="19" t="str">
        <f>IF(W330="ADMITIDO","ADMITIDO",IF(W330="CANCELADA","CANCELADA",IF(H330="","",IFERROR(_xlfn.XLOOKUP(H330,Listas!I:I,Listas!J:J),"OUTROS"))))</f>
        <v>CANCELADA</v>
      </c>
      <c r="J330" s="12" t="s">
        <v>53</v>
      </c>
      <c r="K330" s="11" t="s">
        <v>70</v>
      </c>
      <c r="L330" s="11" t="s">
        <v>747</v>
      </c>
      <c r="M330" s="11" t="s">
        <v>63</v>
      </c>
      <c r="N330" s="11" t="s">
        <v>34</v>
      </c>
      <c r="O330" s="11" t="s">
        <v>57</v>
      </c>
      <c r="P330" s="11" t="s">
        <v>561</v>
      </c>
      <c r="Q330" s="108" t="s">
        <v>1014</v>
      </c>
      <c r="S330" s="46"/>
      <c r="W330" s="40" t="s">
        <v>52</v>
      </c>
      <c r="X330" s="43"/>
      <c r="Z330" s="15"/>
      <c r="AB330" s="10">
        <v>0</v>
      </c>
    </row>
    <row r="331" spans="1:28" ht="15.75" hidden="1" customHeight="1">
      <c r="A331" s="100">
        <v>30105</v>
      </c>
      <c r="B331" s="10">
        <v>1</v>
      </c>
      <c r="C331" s="63">
        <v>46141</v>
      </c>
      <c r="D331" s="91">
        <f t="shared" ca="1" si="15"/>
        <v>86</v>
      </c>
      <c r="E331" s="138" t="str">
        <f t="shared" ca="1" si="16"/>
        <v>CRÍTICO</v>
      </c>
      <c r="F331" s="19" t="s">
        <v>28</v>
      </c>
      <c r="G331" s="19" t="s">
        <v>240</v>
      </c>
      <c r="H331" s="19" t="s">
        <v>91</v>
      </c>
      <c r="I331" s="19" t="str">
        <f>IF(W331="ADMITIDO","ADMITIDO",IF(W331="CANCELADA","CANCELADA",IF(H331="","",IFERROR(_xlfn.XLOOKUP(H331,Listas!I:I,Listas!J:J),"OUTROS"))))</f>
        <v>TRIAGEM</v>
      </c>
      <c r="J331" s="12" t="s">
        <v>268</v>
      </c>
      <c r="K331" s="11" t="s">
        <v>676</v>
      </c>
      <c r="L331" s="11" t="s">
        <v>424</v>
      </c>
      <c r="M331" s="11" t="s">
        <v>243</v>
      </c>
      <c r="N331" s="11" t="s">
        <v>56</v>
      </c>
      <c r="O331" s="11" t="s">
        <v>35</v>
      </c>
      <c r="P331" s="11" t="s">
        <v>176</v>
      </c>
      <c r="Q331" s="108"/>
      <c r="S331" s="18"/>
      <c r="T331" s="40"/>
      <c r="U331" s="212"/>
      <c r="V331" s="53"/>
      <c r="W331" s="173"/>
      <c r="Z331" s="15"/>
      <c r="AB331" s="10">
        <v>0</v>
      </c>
    </row>
    <row r="332" spans="1:28" ht="15.75" hidden="1" customHeight="1">
      <c r="A332" s="100">
        <v>30118</v>
      </c>
      <c r="B332" s="10">
        <v>1</v>
      </c>
      <c r="C332" s="63">
        <v>46141</v>
      </c>
      <c r="D332" s="91">
        <f t="shared" ca="1" si="15"/>
        <v>86</v>
      </c>
      <c r="E332" s="138" t="str">
        <f t="shared" si="16"/>
        <v>ADMITIDO</v>
      </c>
      <c r="F332" s="19" t="s">
        <v>28</v>
      </c>
      <c r="G332" s="19" t="s">
        <v>29</v>
      </c>
      <c r="H332" s="117" t="s">
        <v>40</v>
      </c>
      <c r="I332" s="19" t="str">
        <f>IF(W332="ADMITIDO","ADMITIDO",IF(W332="CANCELADA","CANCELADA",IF(H332="","",IFERROR(_xlfn.XLOOKUP(H332,Listas!I:I,Listas!J:J),"OUTROS"))))</f>
        <v>ADMITIDO</v>
      </c>
      <c r="J332" s="12" t="s">
        <v>202</v>
      </c>
      <c r="K332" s="11" t="s">
        <v>31</v>
      </c>
      <c r="L332" s="11" t="s">
        <v>204</v>
      </c>
      <c r="M332" s="11" t="s">
        <v>205</v>
      </c>
      <c r="N332" s="11" t="s">
        <v>34</v>
      </c>
      <c r="O332" s="11" t="s">
        <v>35</v>
      </c>
      <c r="P332" s="11" t="s">
        <v>36</v>
      </c>
      <c r="Q332" s="108"/>
      <c r="S332" s="18" t="s">
        <v>1015</v>
      </c>
      <c r="T332" s="11" t="s">
        <v>38</v>
      </c>
      <c r="U332" s="202">
        <v>46147</v>
      </c>
      <c r="V332" s="132" t="s">
        <v>1016</v>
      </c>
      <c r="W332" s="19" t="s">
        <v>40</v>
      </c>
      <c r="X332" s="43">
        <v>46153</v>
      </c>
      <c r="Y332" s="14">
        <v>46154</v>
      </c>
      <c r="Z332" s="15">
        <v>914254</v>
      </c>
      <c r="AB332" s="10">
        <v>0</v>
      </c>
    </row>
    <row r="333" spans="1:28" ht="15.75" hidden="1" customHeight="1">
      <c r="A333" s="100">
        <v>30136</v>
      </c>
      <c r="B333" s="10">
        <v>1</v>
      </c>
      <c r="C333" s="63">
        <v>46141</v>
      </c>
      <c r="D333" s="91">
        <f t="shared" ca="1" si="15"/>
        <v>86</v>
      </c>
      <c r="E333" s="138" t="str">
        <f t="shared" ca="1" si="16"/>
        <v>CRÍTICO</v>
      </c>
      <c r="F333" s="19" t="s">
        <v>42</v>
      </c>
      <c r="G333" s="19" t="s">
        <v>29</v>
      </c>
      <c r="H333" s="19" t="s">
        <v>91</v>
      </c>
      <c r="I333" s="19" t="str">
        <f>IF(W333="ADMITIDO","ADMITIDO",IF(W333="CANCELADA","CANCELADA",IF(H333="","",IFERROR(_xlfn.XLOOKUP(H333,Listas!I:I,Listas!J:J),"OUTROS"))))</f>
        <v>TRIAGEM</v>
      </c>
      <c r="J333" s="12" t="s">
        <v>53</v>
      </c>
      <c r="K333" s="11" t="s">
        <v>54</v>
      </c>
      <c r="L333" s="11" t="s">
        <v>1017</v>
      </c>
      <c r="M333" s="11" t="s">
        <v>435</v>
      </c>
      <c r="N333" s="11" t="s">
        <v>34</v>
      </c>
      <c r="O333" s="11" t="s">
        <v>57</v>
      </c>
      <c r="P333" s="11" t="s">
        <v>308</v>
      </c>
      <c r="Q333" s="108"/>
      <c r="S333" s="18"/>
      <c r="U333" s="213"/>
      <c r="W333" s="56"/>
      <c r="X333" s="43"/>
      <c r="Z333" s="15"/>
      <c r="AB333" s="10">
        <v>0</v>
      </c>
    </row>
    <row r="334" spans="1:28" ht="15.75" hidden="1" customHeight="1">
      <c r="A334" s="100">
        <v>30129</v>
      </c>
      <c r="B334" s="10">
        <v>1</v>
      </c>
      <c r="C334" s="63">
        <v>46141</v>
      </c>
      <c r="D334" s="91">
        <f t="shared" ca="1" si="15"/>
        <v>86</v>
      </c>
      <c r="E334" s="138" t="str">
        <f t="shared" ca="1" si="16"/>
        <v>CRÍTICO</v>
      </c>
      <c r="F334" s="19" t="s">
        <v>42</v>
      </c>
      <c r="G334" s="19" t="s">
        <v>29</v>
      </c>
      <c r="H334" s="19" t="s">
        <v>91</v>
      </c>
      <c r="I334" s="19" t="str">
        <f>IF(W334="ADMITIDO","ADMITIDO",IF(W334="CANCELADA","CANCELADA",IF(H334="","",IFERROR(_xlfn.XLOOKUP(H334,Listas!I:I,Listas!J:J),"OUTROS"))))</f>
        <v>TRIAGEM</v>
      </c>
      <c r="J334" s="12" t="s">
        <v>44</v>
      </c>
      <c r="K334" s="11" t="s">
        <v>54</v>
      </c>
      <c r="L334" s="11" t="s">
        <v>1017</v>
      </c>
      <c r="M334" s="11" t="s">
        <v>435</v>
      </c>
      <c r="N334" s="11" t="s">
        <v>34</v>
      </c>
      <c r="O334" s="11" t="s">
        <v>57</v>
      </c>
      <c r="P334" s="11" t="s">
        <v>308</v>
      </c>
      <c r="Q334" s="108"/>
      <c r="S334" s="18"/>
      <c r="U334" s="215"/>
      <c r="V334" s="49"/>
      <c r="W334" s="44"/>
      <c r="X334" s="43"/>
      <c r="Z334" s="15"/>
      <c r="AB334" s="10">
        <v>0</v>
      </c>
    </row>
    <row r="335" spans="1:28" ht="15.75" hidden="1" customHeight="1">
      <c r="A335" s="100">
        <v>30089</v>
      </c>
      <c r="B335" s="10">
        <v>1</v>
      </c>
      <c r="C335" s="63">
        <v>46141</v>
      </c>
      <c r="D335" s="91">
        <f t="shared" ca="1" si="15"/>
        <v>86</v>
      </c>
      <c r="E335" s="138" t="str">
        <f t="shared" si="16"/>
        <v>ADMITIDO</v>
      </c>
      <c r="F335" s="19" t="s">
        <v>171</v>
      </c>
      <c r="G335" s="19" t="s">
        <v>29</v>
      </c>
      <c r="H335" s="117" t="s">
        <v>40</v>
      </c>
      <c r="I335" s="19" t="str">
        <f>IF(W335="ADMITIDO","ADMITIDO",IF(W335="CANCELADA","CANCELADA",IF(H335="","",IFERROR(_xlfn.XLOOKUP(H335,Listas!I:I,Listas!J:J),"OUTROS"))))</f>
        <v>ADMITIDO</v>
      </c>
      <c r="J335" s="12" t="s">
        <v>172</v>
      </c>
      <c r="K335" s="11" t="s">
        <v>203</v>
      </c>
      <c r="L335" s="11" t="s">
        <v>1018</v>
      </c>
      <c r="M335" s="11" t="s">
        <v>205</v>
      </c>
      <c r="N335" s="11" t="s">
        <v>56</v>
      </c>
      <c r="O335" s="11" t="s">
        <v>35</v>
      </c>
      <c r="P335" s="11" t="s">
        <v>176</v>
      </c>
      <c r="Q335" s="108" t="s">
        <v>1019</v>
      </c>
      <c r="S335" s="18" t="s">
        <v>1020</v>
      </c>
      <c r="T335" s="35" t="s">
        <v>38</v>
      </c>
      <c r="U335" s="202">
        <v>46153</v>
      </c>
      <c r="V335" s="183" t="s">
        <v>1021</v>
      </c>
      <c r="W335" s="119" t="s">
        <v>40</v>
      </c>
      <c r="X335" s="43">
        <v>46155</v>
      </c>
      <c r="Y335" s="14">
        <v>46156</v>
      </c>
      <c r="Z335" s="15">
        <v>83282</v>
      </c>
      <c r="AA335" s="45"/>
      <c r="AB335" s="10">
        <v>0</v>
      </c>
    </row>
    <row r="336" spans="1:28" ht="15.75" hidden="1" customHeight="1">
      <c r="A336" s="101">
        <v>30102</v>
      </c>
      <c r="B336" s="10">
        <v>1</v>
      </c>
      <c r="C336" s="63">
        <v>46141</v>
      </c>
      <c r="D336" s="91">
        <f t="shared" ca="1" si="15"/>
        <v>86</v>
      </c>
      <c r="E336" s="138" t="str">
        <f t="shared" si="16"/>
        <v>ADMITIDO</v>
      </c>
      <c r="F336" s="19" t="s">
        <v>28</v>
      </c>
      <c r="G336" s="19" t="s">
        <v>60</v>
      </c>
      <c r="H336" s="19" t="s">
        <v>40</v>
      </c>
      <c r="I336" s="19" t="str">
        <f>IF(W336="ADMITIDO","ADMITIDO",IF(W336="CANCELADA","CANCELADA",IF(H336="","",IFERROR(_xlfn.XLOOKUP(H336,Listas!I:I,Listas!J:J),"OUTROS"))))</f>
        <v>ADMITIDO</v>
      </c>
      <c r="J336" s="12" t="s">
        <v>268</v>
      </c>
      <c r="K336" s="11" t="s">
        <v>318</v>
      </c>
      <c r="L336" s="11" t="s">
        <v>237</v>
      </c>
      <c r="M336" s="11" t="s">
        <v>63</v>
      </c>
      <c r="N336" s="11" t="s">
        <v>56</v>
      </c>
      <c r="O336" s="11" t="s">
        <v>35</v>
      </c>
      <c r="P336" s="11" t="s">
        <v>176</v>
      </c>
      <c r="Q336" s="108" t="s">
        <v>1022</v>
      </c>
      <c r="S336" s="18"/>
      <c r="T336" s="11" t="s">
        <v>76</v>
      </c>
      <c r="U336" s="212">
        <v>46149</v>
      </c>
      <c r="V336" s="179" t="s">
        <v>1023</v>
      </c>
      <c r="W336" s="19" t="s">
        <v>40</v>
      </c>
      <c r="X336" s="43">
        <v>46153</v>
      </c>
      <c r="Y336" s="14">
        <v>46154</v>
      </c>
      <c r="Z336" s="15">
        <v>914258</v>
      </c>
      <c r="AB336" s="10">
        <v>0</v>
      </c>
    </row>
    <row r="337" spans="1:28" ht="15.75" hidden="1" customHeight="1">
      <c r="A337" s="100">
        <v>30126</v>
      </c>
      <c r="B337" s="10">
        <v>1</v>
      </c>
      <c r="C337" s="63">
        <v>46141</v>
      </c>
      <c r="D337" s="91">
        <f t="shared" ca="1" si="15"/>
        <v>86</v>
      </c>
      <c r="E337" s="138" t="str">
        <f t="shared" si="16"/>
        <v>ADMITIDO</v>
      </c>
      <c r="F337" s="19" t="s">
        <v>28</v>
      </c>
      <c r="G337" s="19" t="s">
        <v>60</v>
      </c>
      <c r="H337" s="117" t="s">
        <v>40</v>
      </c>
      <c r="I337" s="19" t="str">
        <f>IF(W337="ADMITIDO","ADMITIDO",IF(W337="CANCELADA","CANCELADA",IF(H337="","",IFERROR(_xlfn.XLOOKUP(H337,Listas!I:I,Listas!J:J),"OUTROS"))))</f>
        <v>ADMITIDO</v>
      </c>
      <c r="J337" s="12" t="s">
        <v>1024</v>
      </c>
      <c r="K337" s="11" t="s">
        <v>952</v>
      </c>
      <c r="L337" s="11" t="s">
        <v>600</v>
      </c>
      <c r="M337" s="11" t="s">
        <v>63</v>
      </c>
      <c r="N337" s="11" t="s">
        <v>34</v>
      </c>
      <c r="O337" s="11" t="s">
        <v>35</v>
      </c>
      <c r="P337" s="11" t="s">
        <v>565</v>
      </c>
      <c r="Q337" s="108" t="s">
        <v>1025</v>
      </c>
      <c r="S337" s="18"/>
      <c r="T337" s="11" t="s">
        <v>76</v>
      </c>
      <c r="U337" s="202">
        <v>46147</v>
      </c>
      <c r="V337" s="132" t="s">
        <v>1026</v>
      </c>
      <c r="W337" s="19" t="s">
        <v>40</v>
      </c>
      <c r="X337" s="43">
        <v>46149</v>
      </c>
      <c r="Y337" s="14">
        <v>46150</v>
      </c>
      <c r="Z337" s="15">
        <v>914237</v>
      </c>
      <c r="AA337" s="45"/>
      <c r="AB337" s="10">
        <v>0</v>
      </c>
    </row>
    <row r="338" spans="1:28" ht="15.75" hidden="1" customHeight="1">
      <c r="A338" s="100">
        <v>30110</v>
      </c>
      <c r="B338" s="10">
        <v>1</v>
      </c>
      <c r="C338" s="63">
        <v>46141</v>
      </c>
      <c r="D338" s="91">
        <f t="shared" ca="1" si="15"/>
        <v>86</v>
      </c>
      <c r="E338" s="138" t="str">
        <f t="shared" si="16"/>
        <v>ADMITIDO</v>
      </c>
      <c r="F338" s="19" t="s">
        <v>28</v>
      </c>
      <c r="G338" s="19" t="s">
        <v>552</v>
      </c>
      <c r="H338" s="19" t="s">
        <v>1027</v>
      </c>
      <c r="I338" s="19" t="str">
        <f>IF(W338="ADMITIDO","ADMITIDO",IF(W338="CANCELADA","CANCELADA",IF(H338="","",IFERROR(_xlfn.XLOOKUP(H338,Listas!I:I,Listas!J:J),"OUTROS"))))</f>
        <v>ADMITIDO</v>
      </c>
      <c r="J338" s="12" t="s">
        <v>146</v>
      </c>
      <c r="K338" s="11" t="s">
        <v>553</v>
      </c>
      <c r="L338" s="11" t="s">
        <v>1028</v>
      </c>
      <c r="M338" s="11" t="s">
        <v>1029</v>
      </c>
      <c r="N338" s="11" t="s">
        <v>34</v>
      </c>
      <c r="O338" s="11" t="s">
        <v>35</v>
      </c>
      <c r="P338" s="11" t="s">
        <v>36</v>
      </c>
      <c r="Q338" s="108"/>
      <c r="S338" s="18"/>
      <c r="T338" s="11" t="s">
        <v>949</v>
      </c>
      <c r="U338" s="220">
        <v>46149</v>
      </c>
      <c r="V338" s="41" t="s">
        <v>1030</v>
      </c>
      <c r="W338" s="56" t="s">
        <v>40</v>
      </c>
      <c r="X338" s="43" t="s">
        <v>1031</v>
      </c>
      <c r="Y338" s="14" t="s">
        <v>773</v>
      </c>
      <c r="Z338" s="15">
        <v>914287</v>
      </c>
      <c r="AB338" s="10">
        <v>0</v>
      </c>
    </row>
    <row r="339" spans="1:28" ht="15.75" hidden="1" customHeight="1">
      <c r="A339" s="100">
        <v>30096</v>
      </c>
      <c r="B339" s="10">
        <v>1</v>
      </c>
      <c r="C339" s="63">
        <v>46141</v>
      </c>
      <c r="D339" s="91">
        <f t="shared" ca="1" si="15"/>
        <v>86</v>
      </c>
      <c r="E339" s="138" t="str">
        <f t="shared" ca="1" si="16"/>
        <v>CRÍTICO</v>
      </c>
      <c r="F339" s="19" t="s">
        <v>42</v>
      </c>
      <c r="G339" s="19" t="s">
        <v>43</v>
      </c>
      <c r="H339" s="19" t="s">
        <v>91</v>
      </c>
      <c r="I339" s="19" t="str">
        <f>IF(W339="ADMITIDO","ADMITIDO",IF(W339="CANCELADA","CANCELADA",IF(H339="","",IFERROR(_xlfn.XLOOKUP(H339,Listas!I:I,Listas!J:J),"OUTROS"))))</f>
        <v>TRIAGEM</v>
      </c>
      <c r="J339" s="12" t="s">
        <v>53</v>
      </c>
      <c r="K339" s="11" t="s">
        <v>189</v>
      </c>
      <c r="L339" s="11" t="s">
        <v>208</v>
      </c>
      <c r="M339" s="11" t="s">
        <v>209</v>
      </c>
      <c r="N339" s="11" t="s">
        <v>34</v>
      </c>
      <c r="O339" s="11" t="s">
        <v>48</v>
      </c>
      <c r="P339" s="11" t="s">
        <v>1032</v>
      </c>
      <c r="Q339" s="108"/>
      <c r="S339" s="18"/>
      <c r="U339" s="213"/>
      <c r="W339" s="44"/>
      <c r="X339" s="43"/>
      <c r="Z339" s="15"/>
      <c r="AB339" s="10">
        <v>0</v>
      </c>
    </row>
    <row r="340" spans="1:28" ht="15.75" hidden="1" customHeight="1">
      <c r="A340" s="100">
        <v>30098</v>
      </c>
      <c r="B340" s="10">
        <v>1</v>
      </c>
      <c r="C340" s="63">
        <v>46141</v>
      </c>
      <c r="D340" s="91">
        <f t="shared" ca="1" si="15"/>
        <v>86</v>
      </c>
      <c r="E340" s="138" t="str">
        <f t="shared" si="16"/>
        <v>ADMITIDO</v>
      </c>
      <c r="F340" s="19" t="s">
        <v>28</v>
      </c>
      <c r="G340" s="19" t="s">
        <v>29</v>
      </c>
      <c r="H340" s="19" t="s">
        <v>40</v>
      </c>
      <c r="I340" s="19" t="str">
        <f>IF(W340="ADMITIDO","ADMITIDO",IF(W340="CANCELADA","CANCELADA",IF(H340="","",IFERROR(_xlfn.XLOOKUP(H340,Listas!I:I,Listas!J:J),"OUTROS"))))</f>
        <v>ADMITIDO</v>
      </c>
      <c r="J340" s="12" t="s">
        <v>609</v>
      </c>
      <c r="K340" s="11" t="s">
        <v>203</v>
      </c>
      <c r="L340" s="11" t="s">
        <v>92</v>
      </c>
      <c r="M340" s="11" t="s">
        <v>93</v>
      </c>
      <c r="N340" s="11" t="s">
        <v>56</v>
      </c>
      <c r="O340" s="11" t="s">
        <v>35</v>
      </c>
      <c r="P340" s="11" t="s">
        <v>176</v>
      </c>
      <c r="Q340" s="108"/>
      <c r="S340" s="18"/>
      <c r="T340" s="11" t="s">
        <v>38</v>
      </c>
      <c r="U340" s="213">
        <v>46142</v>
      </c>
      <c r="V340" s="128" t="s">
        <v>1033</v>
      </c>
      <c r="W340" s="190" t="s">
        <v>40</v>
      </c>
      <c r="X340" s="43">
        <v>46148</v>
      </c>
      <c r="Y340" s="14">
        <v>46149</v>
      </c>
      <c r="Z340" s="15">
        <v>914226</v>
      </c>
      <c r="AA340" s="45"/>
      <c r="AB340" s="10">
        <v>0</v>
      </c>
    </row>
    <row r="341" spans="1:28" ht="15.75" hidden="1" customHeight="1">
      <c r="A341" s="101">
        <v>30100</v>
      </c>
      <c r="B341" s="10">
        <v>1</v>
      </c>
      <c r="C341" s="63">
        <v>46141</v>
      </c>
      <c r="D341" s="91">
        <f t="shared" ca="1" si="15"/>
        <v>86</v>
      </c>
      <c r="E341" s="138" t="str">
        <f t="shared" ca="1" si="16"/>
        <v>CRÍTICO</v>
      </c>
      <c r="F341" s="19" t="s">
        <v>28</v>
      </c>
      <c r="G341" s="19" t="s">
        <v>60</v>
      </c>
      <c r="H341" s="19" t="s">
        <v>91</v>
      </c>
      <c r="I341" s="19" t="str">
        <f>IF(W341="ADMITIDO","ADMITIDO",IF(W341="CANCELADA","CANCELADA",IF(H341="","",IFERROR(_xlfn.XLOOKUP(H341,Listas!I:I,Listas!J:J),"OUTROS"))))</f>
        <v>TRIAGEM</v>
      </c>
      <c r="J341" s="12" t="s">
        <v>268</v>
      </c>
      <c r="K341" s="11" t="s">
        <v>676</v>
      </c>
      <c r="L341" s="11" t="s">
        <v>855</v>
      </c>
      <c r="M341" s="11" t="s">
        <v>63</v>
      </c>
      <c r="N341" s="11" t="s">
        <v>56</v>
      </c>
      <c r="O341" s="11" t="s">
        <v>35</v>
      </c>
      <c r="P341" s="11" t="s">
        <v>176</v>
      </c>
      <c r="Q341" s="108"/>
      <c r="S341" s="18"/>
      <c r="U341" s="213"/>
      <c r="W341" s="56" t="s">
        <v>284</v>
      </c>
      <c r="X341" s="43"/>
      <c r="Z341" s="15"/>
      <c r="AB341" s="10">
        <v>0</v>
      </c>
    </row>
    <row r="342" spans="1:28" ht="15.75" hidden="1" customHeight="1">
      <c r="A342" s="100">
        <v>30090</v>
      </c>
      <c r="B342" s="10">
        <v>1</v>
      </c>
      <c r="C342" s="63">
        <v>46141</v>
      </c>
      <c r="D342" s="91">
        <f t="shared" ca="1" si="15"/>
        <v>86</v>
      </c>
      <c r="E342" s="138" t="str">
        <f t="shared" si="16"/>
        <v>CANCELADA</v>
      </c>
      <c r="F342" s="19" t="s">
        <v>42</v>
      </c>
      <c r="G342" s="19" t="s">
        <v>60</v>
      </c>
      <c r="H342" s="19" t="s">
        <v>52</v>
      </c>
      <c r="I342" s="19" t="str">
        <f>IF(W342="ADMITIDO","ADMITIDO",IF(W342="CANCELADA","CANCELADA",IF(H342="","",IFERROR(_xlfn.XLOOKUP(H342,Listas!I:I,Listas!J:J),"OUTROS"))))</f>
        <v>CANCELADA</v>
      </c>
      <c r="J342" s="12" t="s">
        <v>53</v>
      </c>
      <c r="K342" s="11" t="s">
        <v>61</v>
      </c>
      <c r="L342" s="11" t="s">
        <v>255</v>
      </c>
      <c r="M342" s="11" t="s">
        <v>63</v>
      </c>
      <c r="N342" s="11" t="s">
        <v>34</v>
      </c>
      <c r="O342" s="11" t="s">
        <v>219</v>
      </c>
      <c r="P342" s="11" t="s">
        <v>73</v>
      </c>
      <c r="Q342" s="108"/>
      <c r="S342" s="18"/>
      <c r="V342" s="53"/>
      <c r="W342" s="40" t="s">
        <v>52</v>
      </c>
      <c r="Z342" s="15"/>
      <c r="AB342" s="10">
        <v>0</v>
      </c>
    </row>
    <row r="343" spans="1:28" ht="15.75" hidden="1" customHeight="1">
      <c r="A343" s="100">
        <v>30092</v>
      </c>
      <c r="B343" s="10">
        <v>1</v>
      </c>
      <c r="C343" s="63">
        <v>46141</v>
      </c>
      <c r="D343" s="91">
        <f t="shared" ca="1" si="15"/>
        <v>86</v>
      </c>
      <c r="E343" s="138" t="str">
        <f t="shared" si="16"/>
        <v>CANCELADA</v>
      </c>
      <c r="F343" s="19" t="s">
        <v>42</v>
      </c>
      <c r="G343" s="19" t="s">
        <v>60</v>
      </c>
      <c r="H343" s="19" t="s">
        <v>52</v>
      </c>
      <c r="I343" s="19" t="str">
        <f>IF(W343="ADMITIDO","ADMITIDO",IF(W343="CANCELADA","CANCELADA",IF(H343="","",IFERROR(_xlfn.XLOOKUP(H343,Listas!I:I,Listas!J:J),"OUTROS"))))</f>
        <v>CANCELADA</v>
      </c>
      <c r="J343" s="12" t="s">
        <v>44</v>
      </c>
      <c r="K343" s="11" t="s">
        <v>61</v>
      </c>
      <c r="L343" s="11" t="s">
        <v>255</v>
      </c>
      <c r="M343" s="11" t="s">
        <v>63</v>
      </c>
      <c r="N343" s="11" t="s">
        <v>34</v>
      </c>
      <c r="O343" s="11" t="s">
        <v>57</v>
      </c>
      <c r="P343" s="11" t="s">
        <v>98</v>
      </c>
      <c r="Q343" s="108"/>
      <c r="S343" s="18"/>
      <c r="W343" s="38" t="s">
        <v>52</v>
      </c>
      <c r="Z343" s="15"/>
      <c r="AB343" s="10">
        <v>0</v>
      </c>
    </row>
    <row r="344" spans="1:28" ht="15.75" hidden="1" customHeight="1">
      <c r="A344" s="100">
        <v>30107</v>
      </c>
      <c r="B344" s="10">
        <v>1</v>
      </c>
      <c r="C344" s="63">
        <v>46141</v>
      </c>
      <c r="D344" s="91">
        <f t="shared" ca="1" si="15"/>
        <v>86</v>
      </c>
      <c r="E344" s="138" t="str">
        <f t="shared" si="16"/>
        <v>ADMITIDO</v>
      </c>
      <c r="F344" s="19" t="s">
        <v>28</v>
      </c>
      <c r="G344" s="19" t="s">
        <v>145</v>
      </c>
      <c r="H344" s="19" t="s">
        <v>40</v>
      </c>
      <c r="I344" s="19" t="str">
        <f>IF(W344="ADMITIDO","ADMITIDO",IF(W344="CANCELADA","CANCELADA",IF(H344="","",IFERROR(_xlfn.XLOOKUP(H344,Listas!I:I,Listas!J:J),"OUTROS"))))</f>
        <v>ADMITIDO</v>
      </c>
      <c r="J344" s="12" t="s">
        <v>683</v>
      </c>
      <c r="K344" s="11" t="s">
        <v>371</v>
      </c>
      <c r="L344" s="11" t="s">
        <v>1034</v>
      </c>
      <c r="M344" s="11" t="s">
        <v>63</v>
      </c>
      <c r="N344" s="11" t="s">
        <v>34</v>
      </c>
      <c r="O344" s="11" t="s">
        <v>35</v>
      </c>
      <c r="P344" s="11" t="s">
        <v>612</v>
      </c>
      <c r="Q344" s="108" t="s">
        <v>1035</v>
      </c>
      <c r="R344" s="74" t="s">
        <v>107</v>
      </c>
      <c r="S344" s="18"/>
      <c r="T344" s="11" t="s">
        <v>132</v>
      </c>
      <c r="U344" s="202">
        <v>46149</v>
      </c>
      <c r="V344" s="184" t="s">
        <v>1036</v>
      </c>
      <c r="W344" s="19" t="s">
        <v>40</v>
      </c>
      <c r="X344" s="43">
        <v>46154</v>
      </c>
      <c r="Y344" s="14">
        <v>46156</v>
      </c>
      <c r="Z344" s="15">
        <v>914260</v>
      </c>
      <c r="AB344" s="10">
        <v>0</v>
      </c>
    </row>
    <row r="345" spans="1:28" ht="15.75" hidden="1" customHeight="1">
      <c r="A345" s="100">
        <v>30093</v>
      </c>
      <c r="B345" s="10">
        <v>1</v>
      </c>
      <c r="C345" s="63">
        <v>46141</v>
      </c>
      <c r="D345" s="91">
        <f t="shared" ca="1" si="15"/>
        <v>86</v>
      </c>
      <c r="E345" s="138" t="str">
        <f t="shared" si="16"/>
        <v>CANCELADA</v>
      </c>
      <c r="F345" s="19" t="s">
        <v>42</v>
      </c>
      <c r="G345" s="19" t="s">
        <v>29</v>
      </c>
      <c r="H345" s="19" t="s">
        <v>52</v>
      </c>
      <c r="I345" s="19" t="str">
        <f>IF(W345="ADMITIDO","ADMITIDO",IF(W345="CANCELADA","CANCELADA",IF(H345="","",IFERROR(_xlfn.XLOOKUP(H345,Listas!I:I,Listas!J:J),"OUTROS"))))</f>
        <v>CANCELADA</v>
      </c>
      <c r="J345" s="12" t="s">
        <v>163</v>
      </c>
      <c r="K345" s="11" t="s">
        <v>54</v>
      </c>
      <c r="L345" s="11" t="s">
        <v>1037</v>
      </c>
      <c r="M345" s="11" t="s">
        <v>93</v>
      </c>
      <c r="N345" s="11" t="s">
        <v>34</v>
      </c>
      <c r="O345" s="11" t="s">
        <v>48</v>
      </c>
      <c r="P345" s="11" t="s">
        <v>1038</v>
      </c>
      <c r="Q345" s="108"/>
      <c r="S345" s="18"/>
      <c r="V345" s="126"/>
      <c r="W345" s="171" t="s">
        <v>52</v>
      </c>
      <c r="Z345" s="15"/>
      <c r="AB345" s="10">
        <v>0</v>
      </c>
    </row>
    <row r="346" spans="1:28" ht="15.75" hidden="1" customHeight="1">
      <c r="A346" s="101">
        <v>30091</v>
      </c>
      <c r="B346" s="10">
        <v>1</v>
      </c>
      <c r="C346" s="63">
        <v>46141</v>
      </c>
      <c r="D346" s="91">
        <f t="shared" ca="1" si="15"/>
        <v>86</v>
      </c>
      <c r="E346" s="138" t="str">
        <f t="shared" ca="1" si="16"/>
        <v>CRÍTICO</v>
      </c>
      <c r="F346" s="19" t="s">
        <v>42</v>
      </c>
      <c r="G346" s="19" t="s">
        <v>60</v>
      </c>
      <c r="H346" s="19" t="s">
        <v>259</v>
      </c>
      <c r="I346" s="19" t="str">
        <f>IF(W346="ADMITIDO","ADMITIDO",IF(W346="CANCELADA","CANCELADA",IF(H346="","",IFERROR(_xlfn.XLOOKUP(H346,Listas!I:I,Listas!J:J),"OUTROS"))))</f>
        <v>TRIAGEM</v>
      </c>
      <c r="J346" s="12" t="s">
        <v>53</v>
      </c>
      <c r="K346" s="11" t="s">
        <v>61</v>
      </c>
      <c r="L346" s="11" t="s">
        <v>62</v>
      </c>
      <c r="M346" s="11" t="s">
        <v>63</v>
      </c>
      <c r="N346" s="11" t="s">
        <v>34</v>
      </c>
      <c r="O346" s="11" t="s">
        <v>219</v>
      </c>
      <c r="P346" s="11" t="s">
        <v>244</v>
      </c>
      <c r="Q346" s="108"/>
      <c r="S346" s="18"/>
      <c r="U346" s="213"/>
      <c r="W346" s="44"/>
      <c r="X346" s="43"/>
      <c r="Z346" s="15"/>
      <c r="AB346" s="10">
        <v>0</v>
      </c>
    </row>
    <row r="347" spans="1:28" ht="15.75" hidden="1" customHeight="1">
      <c r="A347" s="100">
        <v>30119</v>
      </c>
      <c r="B347" s="10">
        <v>1</v>
      </c>
      <c r="C347" s="63">
        <v>46141</v>
      </c>
      <c r="D347" s="91">
        <f t="shared" ca="1" si="15"/>
        <v>86</v>
      </c>
      <c r="E347" s="138" t="str">
        <f t="shared" si="16"/>
        <v>ADMITIDO</v>
      </c>
      <c r="F347" s="19" t="s">
        <v>42</v>
      </c>
      <c r="G347" s="19" t="s">
        <v>69</v>
      </c>
      <c r="H347" s="117" t="s">
        <v>40</v>
      </c>
      <c r="I347" s="19" t="str">
        <f>IF(W347="ADMITIDO","ADMITIDO",IF(W347="CANCELADA","CANCELADA",IF(H347="","",IFERROR(_xlfn.XLOOKUP(H347,Listas!I:I,Listas!J:J),"OUTROS"))))</f>
        <v>ADMITIDO</v>
      </c>
      <c r="J347" s="12" t="s">
        <v>1039</v>
      </c>
      <c r="K347" s="11" t="s">
        <v>158</v>
      </c>
      <c r="L347" s="11" t="s">
        <v>1040</v>
      </c>
      <c r="M347" s="11" t="s">
        <v>63</v>
      </c>
      <c r="N347" s="11" t="s">
        <v>34</v>
      </c>
      <c r="O347" s="11" t="s">
        <v>72</v>
      </c>
      <c r="P347" s="11" t="s">
        <v>238</v>
      </c>
      <c r="Q347" s="108"/>
      <c r="R347" s="16" t="s">
        <v>373</v>
      </c>
      <c r="S347" s="18"/>
      <c r="T347" s="11" t="s">
        <v>132</v>
      </c>
      <c r="U347" s="202">
        <v>46149</v>
      </c>
      <c r="V347" s="179" t="s">
        <v>1041</v>
      </c>
      <c r="W347" s="19" t="s">
        <v>40</v>
      </c>
      <c r="X347" s="43">
        <v>46153</v>
      </c>
      <c r="Y347" s="14">
        <v>46154</v>
      </c>
      <c r="Z347" s="15">
        <v>914264</v>
      </c>
      <c r="AB347" s="10">
        <v>0</v>
      </c>
    </row>
    <row r="348" spans="1:28" ht="15.75" hidden="1" customHeight="1">
      <c r="A348" s="100">
        <v>30108</v>
      </c>
      <c r="B348" s="10">
        <v>1</v>
      </c>
      <c r="C348" s="63">
        <v>46141</v>
      </c>
      <c r="D348" s="91">
        <f t="shared" ca="1" si="15"/>
        <v>86</v>
      </c>
      <c r="E348" s="138" t="str">
        <f t="shared" si="16"/>
        <v>ADMITIDO</v>
      </c>
      <c r="F348" s="19" t="s">
        <v>28</v>
      </c>
      <c r="G348" s="19" t="s">
        <v>145</v>
      </c>
      <c r="H348" s="19" t="s">
        <v>40</v>
      </c>
      <c r="I348" s="19" t="str">
        <f>IF(W348="ADMITIDO","ADMITIDO",IF(W348="CANCELADA","CANCELADA",IF(H348="","",IFERROR(_xlfn.XLOOKUP(H348,Listas!I:I,Listas!J:J),"OUTROS"))))</f>
        <v>ADMITIDO</v>
      </c>
      <c r="J348" s="12" t="s">
        <v>268</v>
      </c>
      <c r="K348" s="11" t="s">
        <v>371</v>
      </c>
      <c r="L348" s="11" t="s">
        <v>728</v>
      </c>
      <c r="M348" s="11" t="s">
        <v>63</v>
      </c>
      <c r="N348" s="11" t="s">
        <v>34</v>
      </c>
      <c r="O348" s="11" t="s">
        <v>35</v>
      </c>
      <c r="P348" s="11" t="s">
        <v>36</v>
      </c>
      <c r="Q348" s="114" t="s">
        <v>1042</v>
      </c>
      <c r="R348" s="74" t="s">
        <v>107</v>
      </c>
      <c r="S348" s="18"/>
      <c r="T348" s="11" t="s">
        <v>132</v>
      </c>
      <c r="U348" s="202">
        <v>46150</v>
      </c>
      <c r="V348" s="64" t="s">
        <v>1043</v>
      </c>
      <c r="W348" s="19" t="s">
        <v>40</v>
      </c>
      <c r="X348" s="43">
        <v>46155</v>
      </c>
      <c r="Y348" s="14">
        <v>46157</v>
      </c>
      <c r="Z348" s="15">
        <v>914274</v>
      </c>
      <c r="AB348" s="10">
        <v>0</v>
      </c>
    </row>
    <row r="349" spans="1:28" ht="15.75" hidden="1" customHeight="1">
      <c r="A349" s="100">
        <v>30109</v>
      </c>
      <c r="B349" s="10">
        <v>1</v>
      </c>
      <c r="C349" s="63">
        <v>46141</v>
      </c>
      <c r="D349" s="91">
        <f t="shared" ca="1" si="15"/>
        <v>86</v>
      </c>
      <c r="E349" s="138" t="str">
        <f t="shared" si="16"/>
        <v>ADMITIDO</v>
      </c>
      <c r="F349" s="19" t="s">
        <v>171</v>
      </c>
      <c r="G349" s="19" t="s">
        <v>145</v>
      </c>
      <c r="H349" s="117" t="s">
        <v>40</v>
      </c>
      <c r="I349" s="19" t="str">
        <f>IF(W349="ADMITIDO","ADMITIDO",IF(W349="CANCELADA","CANCELADA",IF(H349="","",IFERROR(_xlfn.XLOOKUP(H349,Listas!I:I,Listas!J:J),"OUTROS"))))</f>
        <v>ADMITIDO</v>
      </c>
      <c r="J349" s="12" t="s">
        <v>172</v>
      </c>
      <c r="K349" s="11" t="s">
        <v>371</v>
      </c>
      <c r="L349" s="11" t="s">
        <v>728</v>
      </c>
      <c r="M349" s="11" t="s">
        <v>63</v>
      </c>
      <c r="N349" s="11" t="s">
        <v>34</v>
      </c>
      <c r="O349" s="11" t="s">
        <v>35</v>
      </c>
      <c r="P349" s="11" t="s">
        <v>36</v>
      </c>
      <c r="Q349" s="108" t="s">
        <v>1044</v>
      </c>
      <c r="R349" s="74" t="s">
        <v>107</v>
      </c>
      <c r="S349" s="18"/>
      <c r="T349" s="11" t="s">
        <v>132</v>
      </c>
      <c r="U349" s="202">
        <v>46147</v>
      </c>
      <c r="V349" s="42" t="s">
        <v>1045</v>
      </c>
      <c r="W349" s="19" t="s">
        <v>40</v>
      </c>
      <c r="X349" s="43">
        <v>46153</v>
      </c>
      <c r="Y349" s="14">
        <v>46156</v>
      </c>
      <c r="Z349" s="15">
        <v>83284</v>
      </c>
      <c r="AA349" s="72" t="s">
        <v>1046</v>
      </c>
      <c r="AB349" s="10">
        <v>0</v>
      </c>
    </row>
    <row r="350" spans="1:28" ht="15.75" hidden="1" customHeight="1">
      <c r="A350" s="100">
        <v>30097</v>
      </c>
      <c r="B350" s="10">
        <v>1</v>
      </c>
      <c r="C350" s="63">
        <v>46141</v>
      </c>
      <c r="D350" s="91">
        <f t="shared" ca="1" si="15"/>
        <v>86</v>
      </c>
      <c r="E350" s="138" t="str">
        <f t="shared" si="16"/>
        <v>ADMITIDO</v>
      </c>
      <c r="F350" s="19" t="s">
        <v>28</v>
      </c>
      <c r="G350" s="19" t="s">
        <v>29</v>
      </c>
      <c r="H350" s="117" t="s">
        <v>40</v>
      </c>
      <c r="I350" s="19" t="str">
        <f>IF(W350="ADMITIDO","ADMITIDO",IF(W350="CANCELADA","CANCELADA",IF(H350="","",IFERROR(_xlfn.XLOOKUP(H350,Listas!I:I,Listas!J:J),"OUTROS"))))</f>
        <v>ADMITIDO</v>
      </c>
      <c r="J350" s="12" t="s">
        <v>146</v>
      </c>
      <c r="K350" s="11" t="s">
        <v>203</v>
      </c>
      <c r="L350" s="11" t="s">
        <v>147</v>
      </c>
      <c r="M350" s="11" t="s">
        <v>148</v>
      </c>
      <c r="N350" s="11" t="s">
        <v>56</v>
      </c>
      <c r="O350" s="11" t="s">
        <v>35</v>
      </c>
      <c r="P350" s="11" t="s">
        <v>176</v>
      </c>
      <c r="Q350" s="108"/>
      <c r="S350" s="66" t="s">
        <v>1047</v>
      </c>
      <c r="T350" s="11" t="s">
        <v>38</v>
      </c>
      <c r="U350" s="202">
        <v>46147</v>
      </c>
      <c r="V350" s="185" t="s">
        <v>1048</v>
      </c>
      <c r="W350" s="19" t="s">
        <v>40</v>
      </c>
      <c r="X350" s="43">
        <v>46153</v>
      </c>
      <c r="Y350" s="14">
        <v>46154</v>
      </c>
      <c r="Z350" s="15">
        <v>914253</v>
      </c>
      <c r="AB350" s="10">
        <v>0</v>
      </c>
    </row>
    <row r="351" spans="1:28" ht="15.75" hidden="1" customHeight="1">
      <c r="A351" s="101">
        <v>30146</v>
      </c>
      <c r="B351" s="10">
        <v>1</v>
      </c>
      <c r="C351" s="63">
        <v>46142</v>
      </c>
      <c r="D351" s="91">
        <f t="shared" ref="D351:D387" ca="1" si="17">TODAY()-C351</f>
        <v>85</v>
      </c>
      <c r="E351" s="138" t="str">
        <f t="shared" si="16"/>
        <v>ADMITIDO</v>
      </c>
      <c r="F351" s="19" t="s">
        <v>42</v>
      </c>
      <c r="G351" s="19" t="s">
        <v>102</v>
      </c>
      <c r="H351" s="117" t="s">
        <v>40</v>
      </c>
      <c r="I351" s="19" t="str">
        <f>IF(W351="ADMITIDO","ADMITIDO",IF(W351="CANCELADA","CANCELADA",IF(H351="","",IFERROR(_xlfn.XLOOKUP(H351,Listas!I:I,Listas!J:J),"OUTROS"))))</f>
        <v>ADMITIDO</v>
      </c>
      <c r="J351" s="11" t="s">
        <v>1049</v>
      </c>
      <c r="K351" s="11" t="s">
        <v>103</v>
      </c>
      <c r="L351" s="12" t="s">
        <v>104</v>
      </c>
      <c r="M351" s="11" t="s">
        <v>33</v>
      </c>
      <c r="N351" s="11" t="s">
        <v>34</v>
      </c>
      <c r="O351" s="11" t="s">
        <v>57</v>
      </c>
      <c r="P351" s="11" t="s">
        <v>1050</v>
      </c>
      <c r="Q351" s="108"/>
      <c r="S351" s="18" t="s">
        <v>1051</v>
      </c>
      <c r="T351" s="11" t="s">
        <v>67</v>
      </c>
      <c r="U351" s="213">
        <v>46146</v>
      </c>
      <c r="V351" s="42" t="s">
        <v>1052</v>
      </c>
      <c r="W351" s="59" t="s">
        <v>40</v>
      </c>
      <c r="X351" s="43">
        <v>46149</v>
      </c>
      <c r="Y351" s="14">
        <v>46150</v>
      </c>
      <c r="Z351" s="15">
        <v>145930</v>
      </c>
      <c r="AA351" s="45"/>
      <c r="AB351" s="10">
        <v>0</v>
      </c>
    </row>
    <row r="352" spans="1:28" ht="15.75" hidden="1" customHeight="1">
      <c r="A352" s="100">
        <v>30141</v>
      </c>
      <c r="B352" s="10">
        <v>1</v>
      </c>
      <c r="C352" s="63">
        <v>46142</v>
      </c>
      <c r="D352" s="91">
        <f t="shared" ca="1" si="17"/>
        <v>85</v>
      </c>
      <c r="E352" s="138" t="str">
        <f t="shared" si="16"/>
        <v>ADMITIDO</v>
      </c>
      <c r="F352" s="19" t="s">
        <v>42</v>
      </c>
      <c r="G352" s="19" t="s">
        <v>29</v>
      </c>
      <c r="H352" s="117" t="s">
        <v>40</v>
      </c>
      <c r="I352" s="19" t="str">
        <f>IF(W352="ADMITIDO","ADMITIDO",IF(W352="CANCELADA","CANCELADA",IF(H352="","",IFERROR(_xlfn.XLOOKUP(H352,Listas!I:I,Listas!J:J),"OUTROS"))))</f>
        <v>ADMITIDO</v>
      </c>
      <c r="J352" s="11" t="s">
        <v>53</v>
      </c>
      <c r="K352" s="11" t="s">
        <v>54</v>
      </c>
      <c r="L352" s="12" t="s">
        <v>164</v>
      </c>
      <c r="M352" s="11" t="s">
        <v>88</v>
      </c>
      <c r="N352" s="11" t="s">
        <v>34</v>
      </c>
      <c r="O352" s="11" t="s">
        <v>57</v>
      </c>
      <c r="P352" s="11" t="s">
        <v>231</v>
      </c>
      <c r="Q352" s="108"/>
      <c r="S352" s="71" t="s">
        <v>1053</v>
      </c>
      <c r="T352" s="11" t="s">
        <v>38</v>
      </c>
      <c r="U352" s="202">
        <v>46155</v>
      </c>
      <c r="V352" s="186" t="s">
        <v>1054</v>
      </c>
      <c r="W352" s="59" t="s">
        <v>40</v>
      </c>
      <c r="X352" s="43">
        <v>46157</v>
      </c>
      <c r="Y352" s="14">
        <v>46158</v>
      </c>
      <c r="Z352" s="15">
        <v>145973</v>
      </c>
      <c r="AA352" s="45" t="s">
        <v>1055</v>
      </c>
      <c r="AB352" s="10">
        <v>0</v>
      </c>
    </row>
    <row r="353" spans="1:28" ht="15.75" customHeight="1">
      <c r="A353" s="100">
        <v>30143</v>
      </c>
      <c r="B353" s="10">
        <v>1</v>
      </c>
      <c r="C353" s="63">
        <v>46142</v>
      </c>
      <c r="D353" s="91">
        <f t="shared" ca="1" si="17"/>
        <v>85</v>
      </c>
      <c r="E353" s="138" t="str">
        <f t="shared" ca="1" si="16"/>
        <v>CRÍTICO</v>
      </c>
      <c r="F353" s="19" t="s">
        <v>42</v>
      </c>
      <c r="G353" s="19" t="s">
        <v>663</v>
      </c>
      <c r="H353" s="19" t="s">
        <v>181</v>
      </c>
      <c r="I353" s="19" t="str">
        <f>IF(W353="ADMITIDO","ADMITIDO",IF(W353="CANCELADA","CANCELADA",IF(H353="","",IFERROR(_xlfn.XLOOKUP(H353,Listas!I:I,Listas!J:J),"OUTROS"))))</f>
        <v>DOCUMENTAÇÃO</v>
      </c>
      <c r="J353" s="11" t="s">
        <v>53</v>
      </c>
      <c r="K353" s="11" t="s">
        <v>54</v>
      </c>
      <c r="L353" s="12" t="s">
        <v>164</v>
      </c>
      <c r="M353" s="11" t="s">
        <v>88</v>
      </c>
      <c r="N353" s="11" t="s">
        <v>34</v>
      </c>
      <c r="O353" s="11" t="s">
        <v>57</v>
      </c>
      <c r="P353" s="11" t="s">
        <v>94</v>
      </c>
      <c r="Q353" s="108"/>
      <c r="S353" s="18" t="s">
        <v>1056</v>
      </c>
      <c r="T353" s="11" t="s">
        <v>38</v>
      </c>
      <c r="U353" s="213"/>
      <c r="V353" s="210" t="s">
        <v>1057</v>
      </c>
      <c r="W353" s="56"/>
      <c r="X353" s="43"/>
      <c r="Z353" s="15"/>
      <c r="AB353" s="10">
        <v>0</v>
      </c>
    </row>
    <row r="354" spans="1:28" ht="15.75" customHeight="1">
      <c r="A354" s="100">
        <v>30142</v>
      </c>
      <c r="B354" s="10">
        <v>1</v>
      </c>
      <c r="C354" s="63">
        <v>46142</v>
      </c>
      <c r="D354" s="91">
        <f t="shared" ca="1" si="17"/>
        <v>85</v>
      </c>
      <c r="E354" s="138" t="str">
        <f t="shared" ca="1" si="16"/>
        <v>CRÍTICO</v>
      </c>
      <c r="F354" s="19" t="s">
        <v>42</v>
      </c>
      <c r="G354" s="19" t="s">
        <v>663</v>
      </c>
      <c r="H354" s="19" t="s">
        <v>181</v>
      </c>
      <c r="I354" s="19" t="str">
        <f>IF(W354="ADMITIDO","ADMITIDO",IF(W354="CANCELADA","CANCELADA",IF(H354="","",IFERROR(_xlfn.XLOOKUP(H354,Listas!I:I,Listas!J:J),"OUTROS"))))</f>
        <v>DOCUMENTAÇÃO</v>
      </c>
      <c r="J354" s="11" t="s">
        <v>1058</v>
      </c>
      <c r="K354" s="11" t="s">
        <v>54</v>
      </c>
      <c r="L354" s="12" t="s">
        <v>164</v>
      </c>
      <c r="M354" s="11" t="s">
        <v>88</v>
      </c>
      <c r="N354" s="11" t="s">
        <v>34</v>
      </c>
      <c r="O354" s="11" t="s">
        <v>57</v>
      </c>
      <c r="P354" s="11" t="s">
        <v>231</v>
      </c>
      <c r="Q354" s="108"/>
      <c r="S354" s="18" t="s">
        <v>1059</v>
      </c>
      <c r="T354" s="11" t="s">
        <v>38</v>
      </c>
      <c r="V354" s="194" t="s">
        <v>1060</v>
      </c>
      <c r="W354" s="56"/>
      <c r="Z354" s="15"/>
      <c r="AB354" s="10">
        <v>0</v>
      </c>
    </row>
    <row r="355" spans="1:28" ht="15.75" hidden="1" customHeight="1">
      <c r="A355" s="100">
        <v>30135</v>
      </c>
      <c r="B355" s="10">
        <v>1</v>
      </c>
      <c r="C355" s="63">
        <v>46142</v>
      </c>
      <c r="D355" s="91">
        <f t="shared" ca="1" si="17"/>
        <v>85</v>
      </c>
      <c r="E355" s="138" t="str">
        <f t="shared" ca="1" si="16"/>
        <v>CRÍTICO</v>
      </c>
      <c r="F355" s="19" t="s">
        <v>42</v>
      </c>
      <c r="G355" s="19" t="s">
        <v>29</v>
      </c>
      <c r="H355" s="19" t="s">
        <v>91</v>
      </c>
      <c r="I355" s="19" t="str">
        <f>IF(W355="ADMITIDO","ADMITIDO",IF(W355="CANCELADA","CANCELADA",IF(H355="","",IFERROR(_xlfn.XLOOKUP(H355,Listas!I:I,Listas!J:J),"OUTROS"))))</f>
        <v>TRIAGEM</v>
      </c>
      <c r="J355" s="11" t="s">
        <v>53</v>
      </c>
      <c r="K355" s="11" t="s">
        <v>54</v>
      </c>
      <c r="L355" s="12" t="s">
        <v>1017</v>
      </c>
      <c r="M355" s="11" t="s">
        <v>435</v>
      </c>
      <c r="N355" s="11" t="s">
        <v>34</v>
      </c>
      <c r="O355" s="11" t="s">
        <v>57</v>
      </c>
      <c r="P355" s="11" t="s">
        <v>308</v>
      </c>
      <c r="Q355" s="108"/>
      <c r="S355" s="18"/>
      <c r="Z355" s="15"/>
      <c r="AB355" s="10">
        <v>0</v>
      </c>
    </row>
    <row r="356" spans="1:28" ht="15.75" hidden="1" customHeight="1">
      <c r="A356" s="101">
        <v>30134</v>
      </c>
      <c r="B356" s="10">
        <v>1</v>
      </c>
      <c r="C356" s="63">
        <v>46142</v>
      </c>
      <c r="D356" s="91">
        <f t="shared" ca="1" si="17"/>
        <v>85</v>
      </c>
      <c r="E356" s="138" t="str">
        <f t="shared" ca="1" si="16"/>
        <v>CRÍTICO</v>
      </c>
      <c r="F356" s="19" t="s">
        <v>42</v>
      </c>
      <c r="G356" s="19" t="s">
        <v>663</v>
      </c>
      <c r="H356" s="19" t="s">
        <v>91</v>
      </c>
      <c r="I356" s="19" t="str">
        <f>IF(W356="ADMITIDO","ADMITIDO",IF(W356="CANCELADA","CANCELADA",IF(H356="","",IFERROR(_xlfn.XLOOKUP(H356,Listas!I:I,Listas!J:J),"OUTROS"))))</f>
        <v>TRIAGEM</v>
      </c>
      <c r="J356" s="11" t="s">
        <v>44</v>
      </c>
      <c r="K356" s="11" t="s">
        <v>54</v>
      </c>
      <c r="L356" s="12" t="s">
        <v>1017</v>
      </c>
      <c r="M356" s="11" t="s">
        <v>435</v>
      </c>
      <c r="N356" s="11" t="s">
        <v>34</v>
      </c>
      <c r="O356" s="11" t="s">
        <v>57</v>
      </c>
      <c r="P356" s="11" t="s">
        <v>308</v>
      </c>
      <c r="Q356" s="108"/>
      <c r="S356" s="18"/>
      <c r="Z356" s="15"/>
      <c r="AB356" s="10">
        <v>0</v>
      </c>
    </row>
    <row r="357" spans="1:28" ht="15.75" hidden="1" customHeight="1">
      <c r="A357" s="100">
        <v>30140</v>
      </c>
      <c r="B357" s="10">
        <v>1</v>
      </c>
      <c r="C357" s="63">
        <v>46142</v>
      </c>
      <c r="D357" s="91">
        <f t="shared" ca="1" si="17"/>
        <v>85</v>
      </c>
      <c r="E357" s="138" t="str">
        <f t="shared" ca="1" si="16"/>
        <v>CRÍTICO</v>
      </c>
      <c r="F357" s="19" t="s">
        <v>28</v>
      </c>
      <c r="G357" s="19" t="s">
        <v>145</v>
      </c>
      <c r="H357" s="19" t="s">
        <v>638</v>
      </c>
      <c r="I357" s="19" t="str">
        <f>IF(W357="ADMITIDO","ADMITIDO",IF(W357="CANCELADA","CANCELADA",IF(H357="","",IFERROR(_xlfn.XLOOKUP(H357,Listas!I:I,Listas!J:J),"OUTROS"))))</f>
        <v>TRIAGEM</v>
      </c>
      <c r="J357" s="11" t="s">
        <v>1024</v>
      </c>
      <c r="K357" s="11" t="s">
        <v>563</v>
      </c>
      <c r="L357" s="12" t="s">
        <v>1061</v>
      </c>
      <c r="M357" s="11" t="s">
        <v>63</v>
      </c>
      <c r="N357" s="11" t="s">
        <v>34</v>
      </c>
      <c r="O357" s="11" t="s">
        <v>210</v>
      </c>
      <c r="P357" s="11" t="s">
        <v>1062</v>
      </c>
      <c r="Q357" s="108" t="s">
        <v>1063</v>
      </c>
      <c r="S357" s="18"/>
      <c r="W357" s="44"/>
      <c r="Z357" s="15"/>
      <c r="AA357" s="149" t="s">
        <v>1064</v>
      </c>
      <c r="AB357" s="10">
        <v>0</v>
      </c>
    </row>
    <row r="358" spans="1:28" ht="15.75" hidden="1" customHeight="1">
      <c r="A358" s="100">
        <v>30103</v>
      </c>
      <c r="B358" s="10">
        <v>1</v>
      </c>
      <c r="C358" s="63">
        <v>46142</v>
      </c>
      <c r="D358" s="91">
        <f t="shared" ca="1" si="17"/>
        <v>85</v>
      </c>
      <c r="E358" s="138" t="str">
        <f t="shared" si="16"/>
        <v>ADMITIDO</v>
      </c>
      <c r="F358" s="19" t="s">
        <v>28</v>
      </c>
      <c r="G358" s="19" t="s">
        <v>145</v>
      </c>
      <c r="H358" s="117" t="s">
        <v>40</v>
      </c>
      <c r="I358" s="19" t="str">
        <f>IF(W358="ADMITIDO","ADMITIDO",IF(W358="CANCELADA","CANCELADA",IF(H358="","",IFERROR(_xlfn.XLOOKUP(H358,Listas!I:I,Listas!J:J),"OUTROS"))))</f>
        <v>ADMITIDO</v>
      </c>
      <c r="J358" s="11" t="s">
        <v>616</v>
      </c>
      <c r="K358" s="11" t="s">
        <v>676</v>
      </c>
      <c r="L358" s="12" t="s">
        <v>1065</v>
      </c>
      <c r="M358" s="11" t="s">
        <v>63</v>
      </c>
      <c r="N358" s="11" t="s">
        <v>56</v>
      </c>
      <c r="O358" s="11" t="s">
        <v>35</v>
      </c>
      <c r="P358" s="11" t="s">
        <v>176</v>
      </c>
      <c r="Q358" s="108" t="s">
        <v>1066</v>
      </c>
      <c r="S358" s="18"/>
      <c r="T358" s="11" t="s">
        <v>132</v>
      </c>
      <c r="U358" s="202">
        <v>46147</v>
      </c>
      <c r="V358" s="42" t="s">
        <v>1067</v>
      </c>
      <c r="W358" s="19" t="s">
        <v>40</v>
      </c>
      <c r="X358" s="43">
        <v>46149</v>
      </c>
      <c r="Y358" s="14">
        <v>46150</v>
      </c>
      <c r="Z358" s="15">
        <v>145929</v>
      </c>
      <c r="AB358" s="10">
        <v>0</v>
      </c>
    </row>
    <row r="359" spans="1:28" ht="15.75" hidden="1" customHeight="1">
      <c r="A359" s="100">
        <v>30104</v>
      </c>
      <c r="B359" s="10">
        <v>1</v>
      </c>
      <c r="C359" s="63">
        <v>46142</v>
      </c>
      <c r="D359" s="91">
        <f t="shared" ca="1" si="17"/>
        <v>85</v>
      </c>
      <c r="E359" s="138" t="str">
        <f t="shared" si="16"/>
        <v>ADMITIDO</v>
      </c>
      <c r="F359" s="19" t="s">
        <v>28</v>
      </c>
      <c r="G359" s="19" t="s">
        <v>145</v>
      </c>
      <c r="H359" s="117" t="s">
        <v>40</v>
      </c>
      <c r="I359" s="19" t="str">
        <f>IF(W359="ADMITIDO","ADMITIDO",IF(W359="CANCELADA","CANCELADA",IF(H359="","",IFERROR(_xlfn.XLOOKUP(H359,Listas!I:I,Listas!J:J),"OUTROS"))))</f>
        <v>ADMITIDO</v>
      </c>
      <c r="J359" s="11" t="s">
        <v>268</v>
      </c>
      <c r="K359" s="11" t="s">
        <v>676</v>
      </c>
      <c r="L359" s="12" t="s">
        <v>1068</v>
      </c>
      <c r="M359" s="11" t="s">
        <v>63</v>
      </c>
      <c r="N359" s="11" t="s">
        <v>56</v>
      </c>
      <c r="O359" s="11" t="s">
        <v>35</v>
      </c>
      <c r="P359" s="11" t="s">
        <v>176</v>
      </c>
      <c r="Q359" s="108"/>
      <c r="S359" s="18"/>
      <c r="T359" s="11" t="s">
        <v>132</v>
      </c>
      <c r="U359" s="202">
        <v>46146</v>
      </c>
      <c r="V359" s="42" t="s">
        <v>1069</v>
      </c>
      <c r="W359" s="19" t="s">
        <v>40</v>
      </c>
      <c r="X359" s="43">
        <v>46148</v>
      </c>
      <c r="Y359" s="14">
        <v>46150</v>
      </c>
      <c r="Z359" s="15">
        <v>914231</v>
      </c>
      <c r="AA359" s="45"/>
      <c r="AB359" s="10">
        <v>0</v>
      </c>
    </row>
    <row r="360" spans="1:28" ht="15.75" hidden="1" customHeight="1">
      <c r="A360" s="100">
        <v>30161</v>
      </c>
      <c r="B360" s="10">
        <v>1</v>
      </c>
      <c r="C360" s="63">
        <v>46145</v>
      </c>
      <c r="D360" s="91">
        <f t="shared" ca="1" si="17"/>
        <v>82</v>
      </c>
      <c r="E360" s="138" t="str">
        <f t="shared" si="16"/>
        <v>ADMITIDO</v>
      </c>
      <c r="F360" s="19" t="s">
        <v>42</v>
      </c>
      <c r="G360" s="19" t="s">
        <v>60</v>
      </c>
      <c r="H360" s="117" t="s">
        <v>40</v>
      </c>
      <c r="I360" s="19" t="str">
        <f>IF(W360="ADMITIDO","ADMITIDO",IF(W360="CANCELADA","CANCELADA",IF(H360="","",IFERROR(_xlfn.XLOOKUP(H360,Listas!I:I,Listas!J:J),"OUTROS"))))</f>
        <v>ADMITIDO</v>
      </c>
      <c r="J360" s="11" t="s">
        <v>53</v>
      </c>
      <c r="K360" s="11" t="s">
        <v>61</v>
      </c>
      <c r="L360" s="12" t="s">
        <v>255</v>
      </c>
      <c r="M360" s="11" t="s">
        <v>63</v>
      </c>
      <c r="N360" s="11" t="s">
        <v>34</v>
      </c>
      <c r="O360" s="11" t="s">
        <v>219</v>
      </c>
      <c r="P360" s="11" t="s">
        <v>73</v>
      </c>
      <c r="Q360" s="108" t="s">
        <v>1070</v>
      </c>
      <c r="S360" s="18">
        <v>19995054133</v>
      </c>
      <c r="T360" s="11" t="s">
        <v>67</v>
      </c>
      <c r="U360" s="202">
        <v>46147</v>
      </c>
      <c r="V360" s="42" t="s">
        <v>1071</v>
      </c>
      <c r="W360" s="59" t="s">
        <v>40</v>
      </c>
      <c r="X360" s="43">
        <v>46150</v>
      </c>
      <c r="Y360" s="14">
        <v>46153</v>
      </c>
      <c r="Z360" s="15">
        <v>914252</v>
      </c>
      <c r="AA360" s="45"/>
      <c r="AB360" s="10">
        <v>0</v>
      </c>
    </row>
    <row r="361" spans="1:28" ht="15.75" hidden="1" customHeight="1">
      <c r="A361" s="100">
        <v>30162</v>
      </c>
      <c r="B361" s="10">
        <v>1</v>
      </c>
      <c r="C361" s="63">
        <v>46145</v>
      </c>
      <c r="D361" s="91">
        <f t="shared" ca="1" si="17"/>
        <v>82</v>
      </c>
      <c r="E361" s="138" t="str">
        <f t="shared" si="16"/>
        <v>ADMITIDO</v>
      </c>
      <c r="F361" s="19" t="s">
        <v>42</v>
      </c>
      <c r="G361" s="19" t="s">
        <v>60</v>
      </c>
      <c r="H361" s="117" t="s">
        <v>40</v>
      </c>
      <c r="I361" s="19" t="str">
        <f>IF(W361="ADMITIDO","ADMITIDO",IF(W361="CANCELADA","CANCELADA",IF(H361="","",IFERROR(_xlfn.XLOOKUP(H361,Listas!I:I,Listas!J:J),"OUTROS"))))</f>
        <v>ADMITIDO</v>
      </c>
      <c r="J361" s="11" t="s">
        <v>53</v>
      </c>
      <c r="K361" s="11" t="s">
        <v>61</v>
      </c>
      <c r="L361" s="12" t="s">
        <v>255</v>
      </c>
      <c r="M361" s="11" t="s">
        <v>63</v>
      </c>
      <c r="N361" s="11" t="s">
        <v>34</v>
      </c>
      <c r="O361" s="11" t="s">
        <v>219</v>
      </c>
      <c r="P361" s="11" t="s">
        <v>73</v>
      </c>
      <c r="Q361" s="114" t="s">
        <v>1072</v>
      </c>
      <c r="S361" s="18"/>
      <c r="T361" s="11" t="s">
        <v>67</v>
      </c>
      <c r="U361" s="202">
        <v>46147</v>
      </c>
      <c r="V361" s="42" t="s">
        <v>1073</v>
      </c>
      <c r="W361" s="59" t="s">
        <v>40</v>
      </c>
      <c r="X361" s="43">
        <v>46150</v>
      </c>
      <c r="Y361" s="14">
        <v>46153</v>
      </c>
      <c r="Z361" s="15">
        <v>914251</v>
      </c>
      <c r="AB361" s="10">
        <v>0</v>
      </c>
    </row>
    <row r="362" spans="1:28" ht="15.75" hidden="1" customHeight="1">
      <c r="A362" s="100">
        <v>30163</v>
      </c>
      <c r="B362" s="10">
        <v>1</v>
      </c>
      <c r="C362" s="63">
        <v>46145</v>
      </c>
      <c r="D362" s="91">
        <f t="shared" ca="1" si="17"/>
        <v>82</v>
      </c>
      <c r="E362" s="138" t="str">
        <f t="shared" ca="1" si="16"/>
        <v>CRÍTICO</v>
      </c>
      <c r="F362" s="19" t="s">
        <v>42</v>
      </c>
      <c r="G362" s="19" t="s">
        <v>60</v>
      </c>
      <c r="H362" s="19" t="s">
        <v>181</v>
      </c>
      <c r="I362" s="19" t="str">
        <f>IF(W362="ADMITIDO","ADMITIDO",IF(W362="CANCELADA","CANCELADA",IF(H362="","",IFERROR(_xlfn.XLOOKUP(H362,Listas!I:I,Listas!J:J),"OUTROS"))))</f>
        <v>DOCUMENTAÇÃO</v>
      </c>
      <c r="J362" s="11" t="s">
        <v>53</v>
      </c>
      <c r="K362" s="11" t="s">
        <v>61</v>
      </c>
      <c r="L362" s="12" t="s">
        <v>255</v>
      </c>
      <c r="M362" s="11" t="s">
        <v>63</v>
      </c>
      <c r="N362" s="11" t="s">
        <v>34</v>
      </c>
      <c r="O362" s="11" t="s">
        <v>219</v>
      </c>
      <c r="P362" s="11" t="s">
        <v>633</v>
      </c>
      <c r="Q362" s="108" t="s">
        <v>1074</v>
      </c>
      <c r="S362" s="18" t="s">
        <v>1075</v>
      </c>
      <c r="T362" s="11" t="s">
        <v>109</v>
      </c>
      <c r="U362" s="202">
        <v>46156</v>
      </c>
      <c r="V362" s="41" t="s">
        <v>1076</v>
      </c>
      <c r="W362" s="56" t="s">
        <v>967</v>
      </c>
      <c r="Z362" s="15"/>
      <c r="AB362" s="10">
        <v>0</v>
      </c>
    </row>
    <row r="363" spans="1:28" ht="15.75" hidden="1" customHeight="1">
      <c r="A363" s="101">
        <v>30164</v>
      </c>
      <c r="B363" s="10">
        <v>1</v>
      </c>
      <c r="C363" s="63">
        <v>46145</v>
      </c>
      <c r="D363" s="91">
        <f t="shared" ca="1" si="17"/>
        <v>82</v>
      </c>
      <c r="E363" s="138" t="str">
        <f t="shared" ca="1" si="16"/>
        <v>CRÍTICO</v>
      </c>
      <c r="F363" s="19" t="s">
        <v>42</v>
      </c>
      <c r="G363" s="19" t="s">
        <v>60</v>
      </c>
      <c r="H363" s="19" t="s">
        <v>334</v>
      </c>
      <c r="I363" s="19" t="str">
        <f>IF(W363="ADMITIDO","ADMITIDO",IF(W363="CANCELADA","CANCELADA",IF(H363="","",IFERROR(_xlfn.XLOOKUP(H363,Listas!I:I,Listas!J:J),"OUTROS"))))</f>
        <v>DOCUMENTAÇÃO</v>
      </c>
      <c r="J363" s="11" t="s">
        <v>53</v>
      </c>
      <c r="K363" s="11" t="s">
        <v>61</v>
      </c>
      <c r="L363" s="12" t="s">
        <v>255</v>
      </c>
      <c r="M363" s="11" t="s">
        <v>63</v>
      </c>
      <c r="N363" s="11" t="s">
        <v>34</v>
      </c>
      <c r="O363" s="11" t="s">
        <v>219</v>
      </c>
      <c r="P363" s="11" t="s">
        <v>73</v>
      </c>
      <c r="Q363" s="108" t="s">
        <v>1077</v>
      </c>
      <c r="S363" s="18" t="s">
        <v>1078</v>
      </c>
      <c r="T363" s="11" t="s">
        <v>132</v>
      </c>
      <c r="U363" s="211">
        <v>46156</v>
      </c>
      <c r="V363" s="134" t="s">
        <v>1079</v>
      </c>
      <c r="W363" s="123" t="s">
        <v>188</v>
      </c>
      <c r="X363" s="14">
        <v>46160</v>
      </c>
      <c r="Y363" s="14">
        <v>46161</v>
      </c>
      <c r="Z363" s="15">
        <v>914298</v>
      </c>
      <c r="AA363" s="149" t="s">
        <v>1080</v>
      </c>
      <c r="AB363" s="10">
        <v>1</v>
      </c>
    </row>
    <row r="364" spans="1:28" ht="15.75" hidden="1" customHeight="1">
      <c r="A364" s="101">
        <v>30165</v>
      </c>
      <c r="B364" s="10">
        <v>1</v>
      </c>
      <c r="C364" s="63">
        <v>46145</v>
      </c>
      <c r="D364" s="91">
        <f t="shared" ca="1" si="17"/>
        <v>82</v>
      </c>
      <c r="E364" s="138" t="str">
        <f t="shared" si="16"/>
        <v>ADMITIDO</v>
      </c>
      <c r="F364" s="19" t="s">
        <v>42</v>
      </c>
      <c r="G364" s="19" t="s">
        <v>60</v>
      </c>
      <c r="H364" s="117" t="s">
        <v>40</v>
      </c>
      <c r="I364" s="19" t="str">
        <f>IF(W364="ADMITIDO","ADMITIDO",IF(W364="CANCELADA","CANCELADA",IF(H364="","",IFERROR(_xlfn.XLOOKUP(H364,Listas!I:I,Listas!J:J),"OUTROS"))))</f>
        <v>ADMITIDO</v>
      </c>
      <c r="J364" s="11" t="s">
        <v>44</v>
      </c>
      <c r="K364" s="11" t="s">
        <v>61</v>
      </c>
      <c r="L364" s="12" t="s">
        <v>255</v>
      </c>
      <c r="M364" s="11" t="s">
        <v>63</v>
      </c>
      <c r="N364" s="11" t="s">
        <v>34</v>
      </c>
      <c r="O364" s="11" t="s">
        <v>57</v>
      </c>
      <c r="P364" s="11" t="s">
        <v>98</v>
      </c>
      <c r="Q364" s="108" t="s">
        <v>1081</v>
      </c>
      <c r="S364" s="18"/>
      <c r="T364" s="35" t="s">
        <v>132</v>
      </c>
      <c r="U364" s="202">
        <v>46149</v>
      </c>
      <c r="V364" s="42" t="s">
        <v>1082</v>
      </c>
      <c r="W364" s="19" t="s">
        <v>40</v>
      </c>
      <c r="X364" s="43">
        <v>46156</v>
      </c>
      <c r="Y364" s="14">
        <v>46157</v>
      </c>
      <c r="Z364" s="15">
        <v>914282</v>
      </c>
      <c r="AB364" s="10">
        <v>0</v>
      </c>
    </row>
    <row r="365" spans="1:28" ht="15.75" hidden="1" customHeight="1">
      <c r="A365" s="100">
        <v>30166</v>
      </c>
      <c r="B365" s="10">
        <v>1</v>
      </c>
      <c r="C365" s="63">
        <v>46145</v>
      </c>
      <c r="D365" s="91">
        <f t="shared" ca="1" si="17"/>
        <v>82</v>
      </c>
      <c r="E365" s="138" t="str">
        <f t="shared" si="16"/>
        <v>ADMITIDO</v>
      </c>
      <c r="F365" s="19" t="s">
        <v>42</v>
      </c>
      <c r="G365" s="19" t="s">
        <v>60</v>
      </c>
      <c r="H365" s="117" t="s">
        <v>40</v>
      </c>
      <c r="I365" s="19" t="str">
        <f>IF(W365="ADMITIDO","ADMITIDO",IF(W365="CANCELADA","CANCELADA",IF(H365="","",IFERROR(_xlfn.XLOOKUP(H365,Listas!I:I,Listas!J:J),"OUTROS"))))</f>
        <v>ADMITIDO</v>
      </c>
      <c r="J365" s="11" t="s">
        <v>44</v>
      </c>
      <c r="K365" s="11" t="s">
        <v>61</v>
      </c>
      <c r="L365" s="12" t="s">
        <v>255</v>
      </c>
      <c r="M365" s="11" t="s">
        <v>63</v>
      </c>
      <c r="N365" s="11" t="s">
        <v>34</v>
      </c>
      <c r="O365" s="11" t="s">
        <v>57</v>
      </c>
      <c r="P365" s="11" t="s">
        <v>98</v>
      </c>
      <c r="Q365" s="108" t="s">
        <v>1083</v>
      </c>
      <c r="S365" s="18" t="s">
        <v>1084</v>
      </c>
      <c r="T365" s="11" t="s">
        <v>67</v>
      </c>
      <c r="U365" s="212">
        <v>46147</v>
      </c>
      <c r="V365" s="179" t="s">
        <v>1085</v>
      </c>
      <c r="W365" s="59" t="s">
        <v>40</v>
      </c>
      <c r="X365" s="43">
        <v>46150</v>
      </c>
      <c r="Y365" s="14">
        <v>46153</v>
      </c>
      <c r="Z365" s="15">
        <v>914249</v>
      </c>
      <c r="AB365" s="10">
        <v>0</v>
      </c>
    </row>
    <row r="366" spans="1:28" ht="15.75" hidden="1" customHeight="1">
      <c r="A366" s="100">
        <v>30152</v>
      </c>
      <c r="B366" s="10">
        <v>1</v>
      </c>
      <c r="C366" s="63">
        <v>46146</v>
      </c>
      <c r="D366" s="91">
        <f t="shared" ca="1" si="17"/>
        <v>81</v>
      </c>
      <c r="E366" s="138" t="str">
        <f t="shared" si="16"/>
        <v>ADMITIDO</v>
      </c>
      <c r="F366" s="19" t="s">
        <v>42</v>
      </c>
      <c r="G366" s="19" t="s">
        <v>43</v>
      </c>
      <c r="H366" s="19" t="s">
        <v>40</v>
      </c>
      <c r="I366" s="19" t="str">
        <f>IF(W366="ADMITIDO","ADMITIDO",IF(W366="CANCELADA","CANCELADA",IF(H366="","",IFERROR(_xlfn.XLOOKUP(H366,Listas!I:I,Listas!J:J),"OUTROS"))))</f>
        <v>ADMITIDO</v>
      </c>
      <c r="J366" s="12" t="s">
        <v>53</v>
      </c>
      <c r="K366" s="11" t="s">
        <v>45</v>
      </c>
      <c r="L366" s="11" t="s">
        <v>156</v>
      </c>
      <c r="M366" s="11" t="s">
        <v>97</v>
      </c>
      <c r="N366" s="11" t="s">
        <v>34</v>
      </c>
      <c r="O366" s="11" t="s">
        <v>57</v>
      </c>
      <c r="P366" s="11" t="s">
        <v>94</v>
      </c>
      <c r="Q366" s="108"/>
      <c r="S366" s="18">
        <v>11954878082</v>
      </c>
      <c r="T366" s="11" t="s">
        <v>50</v>
      </c>
      <c r="U366" s="202">
        <v>46148</v>
      </c>
      <c r="V366" s="64" t="s">
        <v>1086</v>
      </c>
      <c r="W366" s="59" t="s">
        <v>40</v>
      </c>
      <c r="X366" s="43">
        <v>46155</v>
      </c>
      <c r="Y366" s="14">
        <v>46156</v>
      </c>
      <c r="Z366" s="15">
        <v>914265</v>
      </c>
      <c r="AB366" s="10">
        <v>0</v>
      </c>
    </row>
    <row r="367" spans="1:28" ht="15.75" hidden="1" customHeight="1">
      <c r="A367" s="100">
        <v>30153</v>
      </c>
      <c r="B367" s="10">
        <v>1</v>
      </c>
      <c r="C367" s="63">
        <v>46146</v>
      </c>
      <c r="D367" s="91">
        <f t="shared" ca="1" si="17"/>
        <v>81</v>
      </c>
      <c r="E367" s="138" t="str">
        <f t="shared" ca="1" si="16"/>
        <v>CRÍTICO</v>
      </c>
      <c r="F367" s="19" t="s">
        <v>42</v>
      </c>
      <c r="G367" s="19" t="s">
        <v>43</v>
      </c>
      <c r="H367" s="19" t="s">
        <v>638</v>
      </c>
      <c r="I367" s="19" t="str">
        <f>IF(W367="ADMITIDO","ADMITIDO",IF(W367="CANCELADA","CANCELADA",IF(H367="","",IFERROR(_xlfn.XLOOKUP(H367,Listas!I:I,Listas!J:J),"OUTROS"))))</f>
        <v>TRIAGEM</v>
      </c>
      <c r="J367" s="12" t="s">
        <v>53</v>
      </c>
      <c r="K367" s="11" t="s">
        <v>45</v>
      </c>
      <c r="L367" s="11" t="s">
        <v>156</v>
      </c>
      <c r="M367" s="11" t="s">
        <v>97</v>
      </c>
      <c r="N367" s="11" t="s">
        <v>34</v>
      </c>
      <c r="O367" s="11" t="s">
        <v>57</v>
      </c>
      <c r="P367" s="11" t="s">
        <v>94</v>
      </c>
      <c r="Q367" s="108" t="s">
        <v>1087</v>
      </c>
      <c r="S367" s="18"/>
      <c r="W367" s="56"/>
      <c r="Z367" s="15"/>
      <c r="AB367" s="10">
        <v>0</v>
      </c>
    </row>
    <row r="368" spans="1:28" ht="15.75" hidden="1" customHeight="1">
      <c r="A368" s="100">
        <v>30173</v>
      </c>
      <c r="B368" s="10">
        <v>1</v>
      </c>
      <c r="C368" s="63">
        <v>46146</v>
      </c>
      <c r="D368" s="91">
        <f t="shared" ca="1" si="17"/>
        <v>81</v>
      </c>
      <c r="E368" s="138" t="str">
        <f t="shared" ca="1" si="16"/>
        <v>CRÍTICO</v>
      </c>
      <c r="F368" s="19" t="s">
        <v>42</v>
      </c>
      <c r="G368" s="19" t="s">
        <v>29</v>
      </c>
      <c r="H368" s="19" t="s">
        <v>91</v>
      </c>
      <c r="I368" s="19" t="str">
        <f>IF(W368="ADMITIDO","ADMITIDO",IF(W368="CANCELADA","CANCELADA",IF(H368="","",IFERROR(_xlfn.XLOOKUP(H368,Listas!I:I,Listas!J:J),"OUTROS"))))</f>
        <v>TRIAGEM</v>
      </c>
      <c r="J368" s="12" t="s">
        <v>227</v>
      </c>
      <c r="K368" s="11" t="s">
        <v>228</v>
      </c>
      <c r="L368" s="11" t="s">
        <v>229</v>
      </c>
      <c r="M368" s="11" t="s">
        <v>88</v>
      </c>
      <c r="N368" s="11" t="s">
        <v>34</v>
      </c>
      <c r="O368" s="11" t="s">
        <v>35</v>
      </c>
      <c r="P368" s="11" t="s">
        <v>36</v>
      </c>
      <c r="Q368" s="108"/>
      <c r="S368" s="18"/>
      <c r="U368" s="211"/>
      <c r="V368" s="49"/>
      <c r="W368" s="123"/>
      <c r="Z368" s="15"/>
      <c r="AA368" s="149" t="s">
        <v>1088</v>
      </c>
      <c r="AB368" s="10">
        <v>0</v>
      </c>
    </row>
    <row r="369" spans="1:28" ht="15.75" hidden="1" customHeight="1">
      <c r="A369" s="101">
        <v>30174</v>
      </c>
      <c r="B369" s="10">
        <v>1</v>
      </c>
      <c r="C369" s="63">
        <v>46146</v>
      </c>
      <c r="D369" s="91">
        <f t="shared" ca="1" si="17"/>
        <v>81</v>
      </c>
      <c r="E369" s="138" t="str">
        <f t="shared" si="16"/>
        <v>ADMITIDO</v>
      </c>
      <c r="F369" s="19" t="s">
        <v>42</v>
      </c>
      <c r="G369" s="19" t="s">
        <v>29</v>
      </c>
      <c r="H369" s="19" t="s">
        <v>40</v>
      </c>
      <c r="I369" s="19" t="str">
        <f>IF(W369="ADMITIDO","ADMITIDO",IF(W369="CANCELADA","CANCELADA",IF(H369="","",IFERROR(_xlfn.XLOOKUP(H369,Listas!I:I,Listas!J:J),"OUTROS"))))</f>
        <v>ADMITIDO</v>
      </c>
      <c r="J369" s="12" t="s">
        <v>227</v>
      </c>
      <c r="K369" s="11" t="s">
        <v>228</v>
      </c>
      <c r="L369" s="11" t="s">
        <v>229</v>
      </c>
      <c r="M369" s="11" t="s">
        <v>88</v>
      </c>
      <c r="N369" s="11" t="s">
        <v>34</v>
      </c>
      <c r="O369" s="11" t="s">
        <v>35</v>
      </c>
      <c r="P369" s="11" t="s">
        <v>36</v>
      </c>
      <c r="Q369" s="108"/>
      <c r="S369" s="18"/>
      <c r="T369" s="35" t="s">
        <v>38</v>
      </c>
      <c r="U369" s="202">
        <v>46149</v>
      </c>
      <c r="V369" s="42" t="s">
        <v>1089</v>
      </c>
      <c r="W369" s="59" t="s">
        <v>40</v>
      </c>
      <c r="X369" s="43">
        <v>46155</v>
      </c>
      <c r="Y369" s="14">
        <v>46156</v>
      </c>
      <c r="Z369" s="15">
        <v>145965</v>
      </c>
      <c r="AB369" s="10">
        <v>0</v>
      </c>
    </row>
    <row r="370" spans="1:28" ht="15.75" hidden="1" customHeight="1">
      <c r="A370" s="100">
        <v>30170</v>
      </c>
      <c r="B370" s="10">
        <v>1</v>
      </c>
      <c r="C370" s="63">
        <v>46146</v>
      </c>
      <c r="D370" s="91">
        <f t="shared" ca="1" si="17"/>
        <v>81</v>
      </c>
      <c r="E370" s="138" t="str">
        <f t="shared" ca="1" si="16"/>
        <v>CRÍTICO</v>
      </c>
      <c r="F370" s="19" t="s">
        <v>42</v>
      </c>
      <c r="G370" s="19" t="s">
        <v>29</v>
      </c>
      <c r="H370" s="19" t="s">
        <v>91</v>
      </c>
      <c r="I370" s="19" t="str">
        <f>IF(W370="ADMITIDO","ADMITIDO",IF(W370="CANCELADA","CANCELADA",IF(H370="","",IFERROR(_xlfn.XLOOKUP(H370,Listas!I:I,Listas!J:J),"OUTROS"))))</f>
        <v>TRIAGEM</v>
      </c>
      <c r="J370" s="12" t="s">
        <v>992</v>
      </c>
      <c r="K370" s="11" t="s">
        <v>228</v>
      </c>
      <c r="L370" s="11" t="s">
        <v>229</v>
      </c>
      <c r="M370" s="11" t="s">
        <v>88</v>
      </c>
      <c r="N370" s="11" t="s">
        <v>56</v>
      </c>
      <c r="O370" s="11" t="s">
        <v>35</v>
      </c>
      <c r="P370" s="11" t="s">
        <v>357</v>
      </c>
      <c r="Q370" s="108"/>
      <c r="S370" s="18"/>
      <c r="U370" s="212"/>
      <c r="V370" s="127"/>
      <c r="W370" s="175"/>
      <c r="Z370" s="15"/>
      <c r="AA370" s="149" t="s">
        <v>1090</v>
      </c>
      <c r="AB370" s="10">
        <v>0</v>
      </c>
    </row>
    <row r="371" spans="1:28" hidden="1">
      <c r="A371" s="100">
        <v>30167</v>
      </c>
      <c r="B371" s="10">
        <v>1</v>
      </c>
      <c r="C371" s="63">
        <v>46146</v>
      </c>
      <c r="D371" s="91">
        <f t="shared" ca="1" si="17"/>
        <v>81</v>
      </c>
      <c r="E371" s="138" t="str">
        <f t="shared" si="16"/>
        <v>ADMITIDO</v>
      </c>
      <c r="F371" s="19" t="s">
        <v>42</v>
      </c>
      <c r="G371" s="19" t="s">
        <v>240</v>
      </c>
      <c r="H371" s="117" t="s">
        <v>40</v>
      </c>
      <c r="I371" s="19" t="str">
        <f>IF(W371="ADMITIDO","ADMITIDO",IF(W371="CANCELADA","CANCELADA",IF(H371="","",IFERROR(_xlfn.XLOOKUP(H371,Listas!I:I,Listas!J:J),"OUTROS"))))</f>
        <v>ADMITIDO</v>
      </c>
      <c r="J371" s="12" t="s">
        <v>53</v>
      </c>
      <c r="K371" s="11" t="s">
        <v>241</v>
      </c>
      <c r="L371" s="11" t="s">
        <v>996</v>
      </c>
      <c r="M371" s="11" t="s">
        <v>63</v>
      </c>
      <c r="N371" s="11" t="s">
        <v>34</v>
      </c>
      <c r="O371" s="11" t="s">
        <v>35</v>
      </c>
      <c r="P371" s="11" t="s">
        <v>36</v>
      </c>
      <c r="Q371" s="108"/>
      <c r="S371" s="18"/>
      <c r="T371" s="11" t="s">
        <v>76</v>
      </c>
      <c r="U371" s="202">
        <v>46149</v>
      </c>
      <c r="V371" s="42" t="s">
        <v>1091</v>
      </c>
      <c r="W371" s="19" t="s">
        <v>40</v>
      </c>
      <c r="X371" s="43">
        <v>46154</v>
      </c>
      <c r="Y371" s="14">
        <v>46155</v>
      </c>
      <c r="Z371" s="15">
        <v>145948</v>
      </c>
      <c r="AB371" s="10">
        <v>0</v>
      </c>
    </row>
    <row r="372" spans="1:28" ht="30" hidden="1">
      <c r="A372" s="100">
        <v>30178</v>
      </c>
      <c r="B372" s="10">
        <v>1</v>
      </c>
      <c r="C372" s="63">
        <v>46146</v>
      </c>
      <c r="D372" s="91">
        <f t="shared" ca="1" si="17"/>
        <v>81</v>
      </c>
      <c r="E372" s="138" t="str">
        <f t="shared" si="16"/>
        <v>ADMITIDO</v>
      </c>
      <c r="F372" s="19" t="s">
        <v>42</v>
      </c>
      <c r="G372" s="19" t="s">
        <v>240</v>
      </c>
      <c r="H372" s="117" t="s">
        <v>40</v>
      </c>
      <c r="I372" s="19" t="str">
        <f>IF(W372="ADMITIDO","ADMITIDO",IF(W372="CANCELADA","CANCELADA",IF(H372="","",IFERROR(_xlfn.XLOOKUP(H372,Listas!I:I,Listas!J:J),"OUTROS"))))</f>
        <v>ADMITIDO</v>
      </c>
      <c r="J372" s="12" t="s">
        <v>53</v>
      </c>
      <c r="K372" s="11" t="s">
        <v>241</v>
      </c>
      <c r="L372" s="11" t="s">
        <v>307</v>
      </c>
      <c r="M372" s="11" t="s">
        <v>243</v>
      </c>
      <c r="N372" s="11" t="s">
        <v>34</v>
      </c>
      <c r="O372" s="11" t="s">
        <v>57</v>
      </c>
      <c r="P372" s="11" t="s">
        <v>308</v>
      </c>
      <c r="Q372" s="108"/>
      <c r="S372" s="18" t="s">
        <v>1092</v>
      </c>
      <c r="U372" s="202">
        <v>46147</v>
      </c>
      <c r="V372" s="42" t="s">
        <v>1093</v>
      </c>
      <c r="W372" s="19" t="s">
        <v>40</v>
      </c>
      <c r="X372" s="43">
        <v>46149</v>
      </c>
      <c r="Y372" s="14">
        <v>46153</v>
      </c>
      <c r="Z372" s="15">
        <v>145926</v>
      </c>
      <c r="AB372" s="10">
        <v>0</v>
      </c>
    </row>
    <row r="373" spans="1:28" hidden="1">
      <c r="A373" s="100">
        <v>30181</v>
      </c>
      <c r="B373" s="10">
        <v>1</v>
      </c>
      <c r="C373" s="63">
        <v>46146</v>
      </c>
      <c r="D373" s="91">
        <f t="shared" ca="1" si="17"/>
        <v>81</v>
      </c>
      <c r="E373" s="138" t="str">
        <f t="shared" si="16"/>
        <v>ADMITIDO</v>
      </c>
      <c r="F373" s="19" t="s">
        <v>42</v>
      </c>
      <c r="G373" s="19" t="s">
        <v>240</v>
      </c>
      <c r="H373" s="117" t="s">
        <v>40</v>
      </c>
      <c r="I373" s="19" t="str">
        <f>IF(W373="ADMITIDO","ADMITIDO",IF(W373="CANCELADA","CANCELADA",IF(H373="","",IFERROR(_xlfn.XLOOKUP(H373,Listas!I:I,Listas!J:J),"OUTROS"))))</f>
        <v>ADMITIDO</v>
      </c>
      <c r="J373" s="12" t="s">
        <v>53</v>
      </c>
      <c r="K373" s="11" t="s">
        <v>241</v>
      </c>
      <c r="L373" s="11" t="s">
        <v>1094</v>
      </c>
      <c r="M373" s="11" t="s">
        <v>243</v>
      </c>
      <c r="N373" s="11" t="s">
        <v>34</v>
      </c>
      <c r="O373" s="11" t="s">
        <v>57</v>
      </c>
      <c r="P373" s="11" t="s">
        <v>366</v>
      </c>
      <c r="Q373" s="108"/>
      <c r="S373" s="18" t="s">
        <v>1095</v>
      </c>
      <c r="U373" s="202">
        <v>46148</v>
      </c>
      <c r="V373" s="42" t="s">
        <v>1096</v>
      </c>
      <c r="W373" s="59" t="s">
        <v>40</v>
      </c>
      <c r="X373" s="43">
        <v>46149</v>
      </c>
      <c r="Y373" s="14">
        <v>46153</v>
      </c>
      <c r="Z373" s="15">
        <v>145932</v>
      </c>
      <c r="AB373" s="10">
        <v>0</v>
      </c>
    </row>
    <row r="374" spans="1:28" hidden="1">
      <c r="A374" s="101">
        <v>30148</v>
      </c>
      <c r="B374" s="10">
        <v>1</v>
      </c>
      <c r="C374" s="63">
        <v>46146</v>
      </c>
      <c r="D374" s="91">
        <f t="shared" ca="1" si="17"/>
        <v>81</v>
      </c>
      <c r="E374" s="138" t="str">
        <f t="shared" si="16"/>
        <v>ADMITIDO</v>
      </c>
      <c r="F374" s="19" t="s">
        <v>28</v>
      </c>
      <c r="G374" s="19" t="s">
        <v>145</v>
      </c>
      <c r="H374" s="19" t="s">
        <v>40</v>
      </c>
      <c r="I374" s="19" t="str">
        <f>IF(W374="ADMITIDO","ADMITIDO",IF(W374="CANCELADA","CANCELADA",IF(H374="","",IFERROR(_xlfn.XLOOKUP(H374,Listas!I:I,Listas!J:J),"OUTROS"))))</f>
        <v>ADMITIDO</v>
      </c>
      <c r="J374" s="12" t="s">
        <v>616</v>
      </c>
      <c r="K374" s="11" t="s">
        <v>563</v>
      </c>
      <c r="L374" s="11" t="s">
        <v>1097</v>
      </c>
      <c r="M374" s="11" t="s">
        <v>63</v>
      </c>
      <c r="N374" s="11" t="s">
        <v>34</v>
      </c>
      <c r="O374" s="11" t="s">
        <v>35</v>
      </c>
      <c r="P374" s="11" t="s">
        <v>36</v>
      </c>
      <c r="Q374" s="108"/>
      <c r="S374" s="18"/>
      <c r="T374" s="11" t="s">
        <v>109</v>
      </c>
      <c r="U374" s="202">
        <v>46155</v>
      </c>
      <c r="V374" s="42" t="s">
        <v>1098</v>
      </c>
      <c r="W374" s="59" t="s">
        <v>40</v>
      </c>
      <c r="X374" s="43">
        <v>46157</v>
      </c>
      <c r="Y374" s="14">
        <v>46161</v>
      </c>
      <c r="Z374" s="15">
        <v>914286</v>
      </c>
      <c r="AB374" s="10">
        <v>0</v>
      </c>
    </row>
    <row r="375" spans="1:28" hidden="1">
      <c r="A375" s="100">
        <v>30168</v>
      </c>
      <c r="B375" s="10">
        <v>1</v>
      </c>
      <c r="C375" s="63">
        <v>46146</v>
      </c>
      <c r="D375" s="91">
        <f t="shared" ca="1" si="17"/>
        <v>81</v>
      </c>
      <c r="E375" s="138" t="str">
        <f t="shared" ca="1" si="16"/>
        <v>CRÍTICO</v>
      </c>
      <c r="F375" s="19" t="s">
        <v>42</v>
      </c>
      <c r="G375" s="19" t="s">
        <v>240</v>
      </c>
      <c r="H375" s="19" t="s">
        <v>181</v>
      </c>
      <c r="I375" s="19" t="str">
        <f>IF(W375="ADMITIDO","ADMITIDO",IF(W375="CANCELADA","CANCELADA",IF(H375="","",IFERROR(_xlfn.XLOOKUP(H375,Listas!I:I,Listas!J:J),"OUTROS"))))</f>
        <v>DOCUMENTAÇÃO</v>
      </c>
      <c r="J375" s="12" t="s">
        <v>479</v>
      </c>
      <c r="K375" s="11" t="s">
        <v>241</v>
      </c>
      <c r="L375" s="11" t="s">
        <v>351</v>
      </c>
      <c r="M375" s="11" t="s">
        <v>63</v>
      </c>
      <c r="N375" s="11" t="s">
        <v>34</v>
      </c>
      <c r="O375" s="11" t="s">
        <v>57</v>
      </c>
      <c r="P375" s="11" t="s">
        <v>352</v>
      </c>
      <c r="Q375" s="108"/>
      <c r="R375" s="16" t="s">
        <v>1099</v>
      </c>
      <c r="S375" s="18"/>
      <c r="T375" s="11" t="s">
        <v>109</v>
      </c>
      <c r="U375" s="202">
        <v>46154</v>
      </c>
      <c r="V375" s="41" t="s">
        <v>1100</v>
      </c>
      <c r="W375" s="173" t="s">
        <v>810</v>
      </c>
      <c r="Z375" s="15"/>
      <c r="AB375" s="10">
        <v>0</v>
      </c>
    </row>
    <row r="376" spans="1:28" hidden="1">
      <c r="A376" s="100">
        <v>30169</v>
      </c>
      <c r="B376" s="10">
        <v>1</v>
      </c>
      <c r="C376" s="63">
        <v>46146</v>
      </c>
      <c r="D376" s="91">
        <f t="shared" ca="1" si="17"/>
        <v>81</v>
      </c>
      <c r="E376" s="138" t="str">
        <f t="shared" si="16"/>
        <v>ADMITIDO</v>
      </c>
      <c r="F376" s="19" t="s">
        <v>28</v>
      </c>
      <c r="G376" s="19" t="s">
        <v>145</v>
      </c>
      <c r="H376" s="117" t="s">
        <v>40</v>
      </c>
      <c r="I376" s="19" t="str">
        <f>IF(W376="ADMITIDO","ADMITIDO",IF(W376="CANCELADA","CANCELADA",IF(H376="","",IFERROR(_xlfn.XLOOKUP(H376,Listas!I:I,Listas!J:J),"OUTROS"))))</f>
        <v>ADMITIDO</v>
      </c>
      <c r="J376" s="12" t="s">
        <v>268</v>
      </c>
      <c r="K376" s="11" t="s">
        <v>173</v>
      </c>
      <c r="L376" s="11" t="s">
        <v>588</v>
      </c>
      <c r="M376" s="11" t="s">
        <v>63</v>
      </c>
      <c r="N376" s="11" t="s">
        <v>56</v>
      </c>
      <c r="O376" s="11" t="s">
        <v>35</v>
      </c>
      <c r="P376" s="11" t="s">
        <v>176</v>
      </c>
      <c r="Q376" s="108"/>
      <c r="S376" s="18"/>
      <c r="T376" s="11" t="s">
        <v>132</v>
      </c>
      <c r="U376" s="202">
        <v>46147</v>
      </c>
      <c r="V376" s="42" t="s">
        <v>1101</v>
      </c>
      <c r="W376" s="19" t="s">
        <v>40</v>
      </c>
      <c r="X376" s="43">
        <v>46150</v>
      </c>
      <c r="Y376" s="14">
        <v>46153</v>
      </c>
      <c r="Z376" s="15">
        <v>914247</v>
      </c>
      <c r="AB376" s="10">
        <v>0</v>
      </c>
    </row>
    <row r="377" spans="1:28" hidden="1">
      <c r="A377" s="100">
        <v>30150</v>
      </c>
      <c r="B377" s="10">
        <v>1</v>
      </c>
      <c r="C377" s="63">
        <v>46146</v>
      </c>
      <c r="D377" s="91">
        <f t="shared" ca="1" si="17"/>
        <v>81</v>
      </c>
      <c r="E377" s="138" t="str">
        <f t="shared" ca="1" si="16"/>
        <v>CRÍTICO</v>
      </c>
      <c r="F377" s="19" t="s">
        <v>42</v>
      </c>
      <c r="G377" s="19" t="s">
        <v>29</v>
      </c>
      <c r="H377" s="19" t="s">
        <v>91</v>
      </c>
      <c r="I377" s="19" t="str">
        <f>IF(W377="ADMITIDO","ADMITIDO",IF(W377="CANCELADA","CANCELADA",IF(H377="","",IFERROR(_xlfn.XLOOKUP(H377,Listas!I:I,Listas!J:J),"OUTROS"))))</f>
        <v>TRIAGEM</v>
      </c>
      <c r="J377" s="12" t="s">
        <v>53</v>
      </c>
      <c r="K377" s="11" t="s">
        <v>54</v>
      </c>
      <c r="L377" s="11" t="s">
        <v>1017</v>
      </c>
      <c r="M377" s="11" t="s">
        <v>435</v>
      </c>
      <c r="N377" s="11" t="s">
        <v>34</v>
      </c>
      <c r="O377" s="11" t="s">
        <v>48</v>
      </c>
      <c r="P377" s="11" t="s">
        <v>1102</v>
      </c>
      <c r="Q377" s="108"/>
      <c r="S377" s="18"/>
      <c r="W377" s="56"/>
      <c r="Z377" s="15"/>
      <c r="AB377" s="10">
        <v>0</v>
      </c>
    </row>
    <row r="378" spans="1:28">
      <c r="A378" s="100">
        <v>30172</v>
      </c>
      <c r="B378" s="10">
        <v>1</v>
      </c>
      <c r="C378" s="63">
        <v>46146</v>
      </c>
      <c r="D378" s="91">
        <f t="shared" ca="1" si="17"/>
        <v>81</v>
      </c>
      <c r="E378" s="138" t="str">
        <f t="shared" ca="1" si="16"/>
        <v>CRÍTICO</v>
      </c>
      <c r="F378" s="19" t="s">
        <v>171</v>
      </c>
      <c r="G378" s="19" t="s">
        <v>663</v>
      </c>
      <c r="H378" s="19" t="s">
        <v>181</v>
      </c>
      <c r="I378" s="19" t="str">
        <f>IF(W378="ADMITIDO","ADMITIDO",IF(W378="CANCELADA","CANCELADA",IF(H378="","",IFERROR(_xlfn.XLOOKUP(H378,Listas!I:I,Listas!J:J),"OUTROS"))))</f>
        <v>DOCUMENTAÇÃO</v>
      </c>
      <c r="J378" s="12" t="s">
        <v>172</v>
      </c>
      <c r="K378" s="11" t="s">
        <v>31</v>
      </c>
      <c r="L378" s="11" t="s">
        <v>1103</v>
      </c>
      <c r="M378" s="11" t="s">
        <v>93</v>
      </c>
      <c r="N378" s="11" t="s">
        <v>34</v>
      </c>
      <c r="O378" s="11" t="s">
        <v>35</v>
      </c>
      <c r="P378" s="11" t="s">
        <v>362</v>
      </c>
      <c r="Q378" s="108"/>
      <c r="S378" s="18" t="s">
        <v>1104</v>
      </c>
      <c r="T378" s="11" t="s">
        <v>38</v>
      </c>
      <c r="V378" s="41" t="s">
        <v>1105</v>
      </c>
      <c r="Z378" s="15"/>
      <c r="AB378" s="10">
        <v>0</v>
      </c>
    </row>
    <row r="379" spans="1:28" hidden="1">
      <c r="A379" s="100">
        <v>30157</v>
      </c>
      <c r="B379" s="10">
        <v>1</v>
      </c>
      <c r="C379" s="63">
        <v>46146</v>
      </c>
      <c r="D379" s="91">
        <f t="shared" ca="1" si="17"/>
        <v>81</v>
      </c>
      <c r="E379" s="138" t="str">
        <f t="shared" ca="1" si="16"/>
        <v>CRÍTICO</v>
      </c>
      <c r="F379" s="19" t="s">
        <v>42</v>
      </c>
      <c r="G379" s="19" t="s">
        <v>43</v>
      </c>
      <c r="H379" s="19" t="s">
        <v>91</v>
      </c>
      <c r="I379" s="19" t="str">
        <f>IF(W379="ADMITIDO","ADMITIDO",IF(W379="CANCELADA","CANCELADA",IF(H379="","",IFERROR(_xlfn.XLOOKUP(H379,Listas!I:I,Listas!J:J),"OUTROS"))))</f>
        <v>TRIAGEM</v>
      </c>
      <c r="J379" s="12" t="s">
        <v>53</v>
      </c>
      <c r="K379" s="11" t="s">
        <v>189</v>
      </c>
      <c r="L379" s="11" t="s">
        <v>924</v>
      </c>
      <c r="M379" s="11" t="s">
        <v>925</v>
      </c>
      <c r="N379" s="11" t="s">
        <v>34</v>
      </c>
      <c r="O379" s="11" t="s">
        <v>35</v>
      </c>
      <c r="P379" s="11" t="s">
        <v>36</v>
      </c>
      <c r="Q379" s="108"/>
      <c r="S379" s="18"/>
      <c r="Z379" s="15"/>
      <c r="AB379" s="10">
        <v>0</v>
      </c>
    </row>
    <row r="380" spans="1:28" hidden="1">
      <c r="A380" s="100">
        <v>30155</v>
      </c>
      <c r="B380" s="10">
        <v>1</v>
      </c>
      <c r="C380" s="63">
        <v>46146</v>
      </c>
      <c r="D380" s="91">
        <f t="shared" ca="1" si="17"/>
        <v>81</v>
      </c>
      <c r="E380" s="138" t="str">
        <f t="shared" si="16"/>
        <v>CANCELADA</v>
      </c>
      <c r="F380" s="19" t="s">
        <v>42</v>
      </c>
      <c r="G380" s="19" t="s">
        <v>43</v>
      </c>
      <c r="H380" s="117" t="s">
        <v>52</v>
      </c>
      <c r="I380" s="19" t="str">
        <f>IF(W380="ADMITIDO","ADMITIDO",IF(W380="CANCELADA","CANCELADA",IF(H380="","",IFERROR(_xlfn.XLOOKUP(H380,Listas!I:I,Listas!J:J),"OUTROS"))))</f>
        <v>CANCELADA</v>
      </c>
      <c r="J380" s="12" t="s">
        <v>53</v>
      </c>
      <c r="K380" s="11" t="s">
        <v>189</v>
      </c>
      <c r="L380" s="11" t="s">
        <v>924</v>
      </c>
      <c r="M380" s="11" t="s">
        <v>925</v>
      </c>
      <c r="N380" s="11" t="s">
        <v>56</v>
      </c>
      <c r="O380" s="11" t="s">
        <v>35</v>
      </c>
      <c r="P380" s="11" t="s">
        <v>176</v>
      </c>
      <c r="Q380" s="108"/>
      <c r="S380" s="18"/>
      <c r="W380" s="11" t="s">
        <v>52</v>
      </c>
      <c r="Z380" s="15"/>
      <c r="AB380" s="10">
        <v>0</v>
      </c>
    </row>
    <row r="381" spans="1:28" ht="30" hidden="1">
      <c r="A381" s="100">
        <v>30149</v>
      </c>
      <c r="B381" s="10">
        <v>1</v>
      </c>
      <c r="C381" s="63">
        <v>46146</v>
      </c>
      <c r="D381" s="91">
        <f t="shared" ca="1" si="17"/>
        <v>81</v>
      </c>
      <c r="E381" s="138" t="str">
        <f t="shared" ca="1" si="16"/>
        <v>CRÍTICO</v>
      </c>
      <c r="F381" s="19" t="s">
        <v>42</v>
      </c>
      <c r="G381" s="19" t="s">
        <v>102</v>
      </c>
      <c r="H381" s="19" t="s">
        <v>638</v>
      </c>
      <c r="I381" s="19" t="str">
        <f>IF(W381="ADMITIDO","ADMITIDO",IF(W381="CANCELADA","CANCELADA",IF(H381="","",IFERROR(_xlfn.XLOOKUP(H381,Listas!I:I,Listas!J:J),"OUTROS"))))</f>
        <v>TRIAGEM</v>
      </c>
      <c r="J381" s="12" t="s">
        <v>53</v>
      </c>
      <c r="K381" s="11" t="s">
        <v>103</v>
      </c>
      <c r="L381" s="11" t="s">
        <v>273</v>
      </c>
      <c r="M381" s="11" t="s">
        <v>274</v>
      </c>
      <c r="N381" s="11" t="s">
        <v>34</v>
      </c>
      <c r="O381" s="11" t="s">
        <v>48</v>
      </c>
      <c r="P381" s="11" t="s">
        <v>275</v>
      </c>
      <c r="Q381" s="108"/>
      <c r="S381" s="18"/>
      <c r="Z381" s="15"/>
      <c r="AA381" s="149" t="s">
        <v>1106</v>
      </c>
      <c r="AB381" s="10">
        <v>1</v>
      </c>
    </row>
    <row r="382" spans="1:28" hidden="1">
      <c r="A382" s="100">
        <v>30171</v>
      </c>
      <c r="B382" s="10">
        <v>1</v>
      </c>
      <c r="C382" s="63">
        <v>46146</v>
      </c>
      <c r="D382" s="91">
        <f t="shared" ca="1" si="17"/>
        <v>81</v>
      </c>
      <c r="E382" s="138" t="str">
        <f t="shared" ca="1" si="16"/>
        <v>CRÍTICO</v>
      </c>
      <c r="F382" s="19" t="s">
        <v>171</v>
      </c>
      <c r="G382" s="19" t="s">
        <v>29</v>
      </c>
      <c r="H382" s="19" t="s">
        <v>91</v>
      </c>
      <c r="I382" s="19" t="str">
        <f>IF(W382="ADMITIDO","ADMITIDO",IF(W382="CANCELADA","CANCELADA",IF(H382="","",IFERROR(_xlfn.XLOOKUP(H382,Listas!I:I,Listas!J:J),"OUTROS"))))</f>
        <v>TRIAGEM</v>
      </c>
      <c r="J382" s="12" t="s">
        <v>172</v>
      </c>
      <c r="K382" s="11" t="s">
        <v>31</v>
      </c>
      <c r="L382" s="11" t="s">
        <v>1018</v>
      </c>
      <c r="M382" s="11" t="s">
        <v>205</v>
      </c>
      <c r="N382" s="11" t="s">
        <v>34</v>
      </c>
      <c r="O382" s="11" t="s">
        <v>35</v>
      </c>
      <c r="P382" s="11" t="s">
        <v>36</v>
      </c>
      <c r="Q382" s="108"/>
      <c r="S382" s="18"/>
      <c r="Z382" s="15"/>
      <c r="AA382" s="149" t="s">
        <v>1107</v>
      </c>
      <c r="AB382" s="10">
        <v>0</v>
      </c>
    </row>
    <row r="383" spans="1:28" hidden="1">
      <c r="A383" s="100">
        <v>30185</v>
      </c>
      <c r="B383" s="10">
        <v>1</v>
      </c>
      <c r="C383" s="63">
        <v>46146</v>
      </c>
      <c r="D383" s="91">
        <f t="shared" ca="1" si="17"/>
        <v>81</v>
      </c>
      <c r="E383" s="138" t="str">
        <f t="shared" ca="1" si="16"/>
        <v>CRÍTICO</v>
      </c>
      <c r="F383" s="19" t="s">
        <v>171</v>
      </c>
      <c r="G383" s="19" t="s">
        <v>43</v>
      </c>
      <c r="H383" s="19" t="s">
        <v>334</v>
      </c>
      <c r="I383" s="19" t="str">
        <f>IF(W383="ADMITIDO","ADMITIDO",IF(W383="CANCELADA","CANCELADA",IF(H383="","",IFERROR(_xlfn.XLOOKUP(H383,Listas!I:I,Listas!J:J),"OUTROS"))))</f>
        <v>DOCUMENTAÇÃO</v>
      </c>
      <c r="J383" s="12" t="s">
        <v>172</v>
      </c>
      <c r="K383" s="11" t="s">
        <v>383</v>
      </c>
      <c r="L383" s="11" t="s">
        <v>1108</v>
      </c>
      <c r="M383" s="11" t="s">
        <v>378</v>
      </c>
      <c r="N383" s="11" t="s">
        <v>56</v>
      </c>
      <c r="O383" s="11" t="s">
        <v>35</v>
      </c>
      <c r="P383" s="11" t="s">
        <v>357</v>
      </c>
      <c r="Q383" s="108" t="s">
        <v>1109</v>
      </c>
      <c r="R383" s="16" t="s">
        <v>1110</v>
      </c>
      <c r="S383" s="18">
        <v>11969699815</v>
      </c>
      <c r="T383" s="11" t="s">
        <v>67</v>
      </c>
      <c r="U383" s="202">
        <v>46156</v>
      </c>
      <c r="V383" s="41" t="s">
        <v>1111</v>
      </c>
      <c r="W383" s="44" t="s">
        <v>284</v>
      </c>
      <c r="Z383" s="15"/>
      <c r="AA383" s="149" t="s">
        <v>1010</v>
      </c>
      <c r="AB383" s="10">
        <v>0</v>
      </c>
    </row>
    <row r="384" spans="1:28" ht="17.25" hidden="1" customHeight="1">
      <c r="A384" s="100">
        <v>30151</v>
      </c>
      <c r="B384" s="10">
        <v>1</v>
      </c>
      <c r="C384" s="63">
        <v>46146</v>
      </c>
      <c r="D384" s="91">
        <f t="shared" ca="1" si="17"/>
        <v>81</v>
      </c>
      <c r="E384" s="138" t="str">
        <f t="shared" si="16"/>
        <v>ADMITIDO</v>
      </c>
      <c r="F384" s="19" t="s">
        <v>171</v>
      </c>
      <c r="G384" s="19" t="s">
        <v>43</v>
      </c>
      <c r="H384" s="117" t="s">
        <v>40</v>
      </c>
      <c r="I384" s="19" t="str">
        <f>IF(W384="ADMITIDO","ADMITIDO",IF(W384="CANCELADA","CANCELADA",IF(H384="","",IFERROR(_xlfn.XLOOKUP(H384,Listas!I:I,Listas!J:J),"OUTROS"))))</f>
        <v>ADMITIDO</v>
      </c>
      <c r="J384" s="12" t="s">
        <v>172</v>
      </c>
      <c r="K384" s="11" t="s">
        <v>383</v>
      </c>
      <c r="L384" s="11" t="s">
        <v>1112</v>
      </c>
      <c r="M384" s="11" t="s">
        <v>431</v>
      </c>
      <c r="N384" s="11" t="s">
        <v>56</v>
      </c>
      <c r="O384" s="11" t="s">
        <v>35</v>
      </c>
      <c r="P384" s="11" t="s">
        <v>176</v>
      </c>
      <c r="Q384" s="108" t="s">
        <v>1113</v>
      </c>
      <c r="S384" s="18"/>
      <c r="T384" s="11" t="s">
        <v>50</v>
      </c>
      <c r="U384" s="202">
        <v>46150</v>
      </c>
      <c r="V384" s="64" t="s">
        <v>1114</v>
      </c>
      <c r="W384" s="59" t="s">
        <v>40</v>
      </c>
      <c r="X384" s="43">
        <v>46155</v>
      </c>
      <c r="Y384" s="14">
        <v>46155</v>
      </c>
      <c r="Z384" s="15">
        <v>83287</v>
      </c>
      <c r="AB384" s="10">
        <v>0</v>
      </c>
    </row>
    <row r="385" spans="1:28">
      <c r="A385" s="100">
        <v>30175</v>
      </c>
      <c r="B385" s="10">
        <v>1</v>
      </c>
      <c r="C385" s="63">
        <v>46146</v>
      </c>
      <c r="D385" s="91">
        <f t="shared" ca="1" si="17"/>
        <v>81</v>
      </c>
      <c r="E385" s="138" t="str">
        <f t="shared" ca="1" si="16"/>
        <v>CRÍTICO</v>
      </c>
      <c r="F385" s="19" t="s">
        <v>171</v>
      </c>
      <c r="G385" s="19" t="s">
        <v>29</v>
      </c>
      <c r="H385" s="19" t="s">
        <v>181</v>
      </c>
      <c r="I385" s="19" t="str">
        <f>IF(W385="ADMITIDO","ADMITIDO",IF(W385="CANCELADA","CANCELADA",IF(H385="","",IFERROR(_xlfn.XLOOKUP(H385,Listas!I:I,Listas!J:J),"OUTROS"))))</f>
        <v>DOCUMENTAÇÃO</v>
      </c>
      <c r="J385" s="12" t="s">
        <v>514</v>
      </c>
      <c r="K385" s="11" t="s">
        <v>31</v>
      </c>
      <c r="L385" s="11" t="s">
        <v>1115</v>
      </c>
      <c r="M385" s="11" t="s">
        <v>88</v>
      </c>
      <c r="N385" s="11" t="s">
        <v>34</v>
      </c>
      <c r="O385" s="11" t="s">
        <v>35</v>
      </c>
      <c r="P385" s="11" t="s">
        <v>36</v>
      </c>
      <c r="Q385" s="108"/>
      <c r="S385" s="18" t="s">
        <v>1116</v>
      </c>
      <c r="T385" s="11" t="s">
        <v>38</v>
      </c>
      <c r="U385" s="202">
        <v>46156</v>
      </c>
      <c r="V385" s="41" t="s">
        <v>1117</v>
      </c>
      <c r="W385" s="173" t="s">
        <v>810</v>
      </c>
      <c r="Z385" s="15"/>
      <c r="AB385" s="10">
        <v>0</v>
      </c>
    </row>
    <row r="386" spans="1:28" hidden="1">
      <c r="A386" s="100">
        <v>30176</v>
      </c>
      <c r="B386" s="10">
        <v>1</v>
      </c>
      <c r="C386" s="63">
        <v>46146</v>
      </c>
      <c r="D386" s="91">
        <f t="shared" ca="1" si="17"/>
        <v>81</v>
      </c>
      <c r="E386" s="138" t="str">
        <f t="shared" si="16"/>
        <v>ADMITIDO</v>
      </c>
      <c r="F386" s="19" t="s">
        <v>28</v>
      </c>
      <c r="G386" s="19" t="s">
        <v>145</v>
      </c>
      <c r="H386" s="117" t="s">
        <v>40</v>
      </c>
      <c r="I386" s="19" t="str">
        <f>IF(W386="ADMITIDO","ADMITIDO",IF(W386="CANCELADA","CANCELADA",IF(H386="","",IFERROR(_xlfn.XLOOKUP(H386,Listas!I:I,Listas!J:J),"OUTROS"))))</f>
        <v>ADMITIDO</v>
      </c>
      <c r="J386" s="12" t="s">
        <v>268</v>
      </c>
      <c r="K386" s="11" t="s">
        <v>371</v>
      </c>
      <c r="L386" s="11" t="s">
        <v>62</v>
      </c>
      <c r="M386" s="11" t="s">
        <v>63</v>
      </c>
      <c r="N386" s="11" t="s">
        <v>34</v>
      </c>
      <c r="O386" s="11" t="s">
        <v>48</v>
      </c>
      <c r="P386" s="11" t="s">
        <v>1118</v>
      </c>
      <c r="Q386" s="114" t="s">
        <v>566</v>
      </c>
      <c r="S386" s="18"/>
      <c r="T386" s="11" t="s">
        <v>109</v>
      </c>
      <c r="U386" s="202">
        <v>46149</v>
      </c>
      <c r="V386" s="64" t="s">
        <v>1119</v>
      </c>
      <c r="W386" s="59" t="s">
        <v>40</v>
      </c>
      <c r="X386" s="43">
        <v>46155</v>
      </c>
      <c r="Y386" s="14">
        <v>46156</v>
      </c>
      <c r="Z386" s="15">
        <v>914272</v>
      </c>
      <c r="AB386" s="10">
        <v>0</v>
      </c>
    </row>
    <row r="387" spans="1:28" hidden="1">
      <c r="A387" s="100">
        <v>30177</v>
      </c>
      <c r="B387" s="10">
        <v>1</v>
      </c>
      <c r="C387" s="63">
        <v>46146</v>
      </c>
      <c r="D387" s="91">
        <f t="shared" ca="1" si="17"/>
        <v>81</v>
      </c>
      <c r="E387" s="138" t="str">
        <f t="shared" ref="E387:E450" ca="1" si="18">IF(W387="ADMITIDO","ADMITIDO",IF(W387="CANCELADA","CANCELADA",IF(H387="","",IF(H387="ADMITIDO","ADMITIDO",IF(H387="CANCELADA","CANCELADA",IF(OR(H387="ANALISE CANCELAMENTO",H387="ANÁLISE CANCELAMENTO"),"EM ANÁLISE",IF(D387="","",IF(D387&lt;=7,"NO PRAZO",IF(D387&lt;=14,"ATENÇÃO","CRÍTICO")))))))))</f>
        <v>CRÍTICO</v>
      </c>
      <c r="F387" s="19" t="s">
        <v>42</v>
      </c>
      <c r="G387" s="19" t="s">
        <v>145</v>
      </c>
      <c r="H387" s="19" t="s">
        <v>214</v>
      </c>
      <c r="I387" s="19" t="str">
        <f>IF(W387="ADMITIDO","ADMITIDO",IF(W387="CANCELADA","CANCELADA",IF(H387="","",IFERROR(_xlfn.XLOOKUP(H387,Listas!I:I,Listas!J:J),"OUTROS"))))</f>
        <v>TRIAGEM</v>
      </c>
      <c r="J387" s="12" t="s">
        <v>53</v>
      </c>
      <c r="K387" s="11" t="s">
        <v>103</v>
      </c>
      <c r="L387" s="11" t="s">
        <v>194</v>
      </c>
      <c r="M387" s="11" t="s">
        <v>63</v>
      </c>
      <c r="N387" s="11" t="s">
        <v>34</v>
      </c>
      <c r="O387" s="11" t="s">
        <v>219</v>
      </c>
      <c r="P387" s="11" t="s">
        <v>238</v>
      </c>
      <c r="Q387" s="108" t="s">
        <v>1120</v>
      </c>
      <c r="S387" s="18"/>
      <c r="W387" s="56"/>
      <c r="Z387" s="15"/>
      <c r="AA387" s="158" t="s">
        <v>1121</v>
      </c>
      <c r="AB387" s="10">
        <v>0</v>
      </c>
    </row>
    <row r="388" spans="1:28" ht="30" hidden="1">
      <c r="A388" s="100">
        <v>30206</v>
      </c>
      <c r="B388" s="10">
        <v>1</v>
      </c>
      <c r="C388" s="63">
        <v>46147</v>
      </c>
      <c r="D388" s="91">
        <f t="shared" ref="D388:D412" ca="1" si="19">TODAY()-C388</f>
        <v>80</v>
      </c>
      <c r="E388" s="138" t="str">
        <f t="shared" ca="1" si="18"/>
        <v>CRÍTICO</v>
      </c>
      <c r="F388" s="19" t="s">
        <v>42</v>
      </c>
      <c r="G388" s="34" t="s">
        <v>240</v>
      </c>
      <c r="H388" s="19" t="s">
        <v>259</v>
      </c>
      <c r="I388" s="19" t="str">
        <f>IF(W388="ADMITIDO","ADMITIDO",IF(W388="CANCELADA","CANCELADA",IF(H388="","",IFERROR(_xlfn.XLOOKUP(H388,Listas!I:I,Listas!J:J),"OUTROS"))))</f>
        <v>TRIAGEM</v>
      </c>
      <c r="J388" s="12" t="s">
        <v>53</v>
      </c>
      <c r="K388" s="11" t="s">
        <v>241</v>
      </c>
      <c r="L388" s="11" t="s">
        <v>407</v>
      </c>
      <c r="M388" s="11" t="s">
        <v>243</v>
      </c>
      <c r="N388" s="11" t="s">
        <v>34</v>
      </c>
      <c r="O388" s="11" t="s">
        <v>48</v>
      </c>
      <c r="P388" s="11" t="s">
        <v>49</v>
      </c>
      <c r="Q388" s="108"/>
      <c r="S388" s="18"/>
      <c r="Z388" s="15"/>
      <c r="AA388" s="149" t="s">
        <v>1122</v>
      </c>
      <c r="AB388" s="10">
        <v>0</v>
      </c>
    </row>
    <row r="389" spans="1:28" hidden="1">
      <c r="A389" s="100">
        <v>30197</v>
      </c>
      <c r="B389" s="10">
        <v>1</v>
      </c>
      <c r="C389" s="63">
        <v>46147</v>
      </c>
      <c r="D389" s="91">
        <f t="shared" ca="1" si="19"/>
        <v>80</v>
      </c>
      <c r="E389" s="138" t="str">
        <f t="shared" si="18"/>
        <v>CANCELADA</v>
      </c>
      <c r="F389" s="19" t="s">
        <v>28</v>
      </c>
      <c r="G389" s="34" t="s">
        <v>145</v>
      </c>
      <c r="H389" s="117" t="s">
        <v>52</v>
      </c>
      <c r="I389" s="19" t="str">
        <f>IF(W389="ADMITIDO","ADMITIDO",IF(W389="CANCELADA","CANCELADA",IF(H389="","",IFERROR(_xlfn.XLOOKUP(H389,Listas!I:I,Listas!J:J),"OUTROS"))))</f>
        <v>CANCELADA</v>
      </c>
      <c r="J389" s="12" t="s">
        <v>268</v>
      </c>
      <c r="K389" s="11" t="s">
        <v>676</v>
      </c>
      <c r="L389" s="11" t="s">
        <v>502</v>
      </c>
      <c r="M389" s="11" t="s">
        <v>63</v>
      </c>
      <c r="N389" s="11" t="s">
        <v>56</v>
      </c>
      <c r="O389" s="11" t="s">
        <v>35</v>
      </c>
      <c r="P389" s="11" t="s">
        <v>176</v>
      </c>
      <c r="Q389" s="108"/>
      <c r="S389" s="18"/>
      <c r="W389" s="11" t="s">
        <v>52</v>
      </c>
      <c r="Z389" s="15"/>
      <c r="AB389" s="10">
        <v>0</v>
      </c>
    </row>
    <row r="390" spans="1:28" hidden="1">
      <c r="A390" s="100">
        <v>30207</v>
      </c>
      <c r="B390" s="10">
        <v>1</v>
      </c>
      <c r="C390" s="63">
        <v>46147</v>
      </c>
      <c r="D390" s="91">
        <f t="shared" ca="1" si="19"/>
        <v>80</v>
      </c>
      <c r="E390" s="138" t="str">
        <f t="shared" ca="1" si="18"/>
        <v>CRÍTICO</v>
      </c>
      <c r="F390" s="19" t="s">
        <v>42</v>
      </c>
      <c r="G390" s="34" t="s">
        <v>43</v>
      </c>
      <c r="H390" s="19" t="s">
        <v>334</v>
      </c>
      <c r="I390" s="19" t="str">
        <f>IF(W390="ADMITIDO","ADMITIDO",IF(W390="CANCELADA","CANCELADA",IF(H390="","",IFERROR(_xlfn.XLOOKUP(H390,Listas!I:I,Listas!J:J),"OUTROS"))))</f>
        <v>DOCUMENTAÇÃO</v>
      </c>
      <c r="J390" s="12" t="s">
        <v>53</v>
      </c>
      <c r="K390" s="11"/>
      <c r="L390" s="21" t="s">
        <v>1123</v>
      </c>
      <c r="M390" s="11" t="s">
        <v>378</v>
      </c>
      <c r="N390" s="11" t="s">
        <v>34</v>
      </c>
      <c r="O390" s="11" t="s">
        <v>35</v>
      </c>
      <c r="P390" s="11" t="s">
        <v>362</v>
      </c>
      <c r="Q390" s="108" t="s">
        <v>1124</v>
      </c>
      <c r="R390" s="16" t="s">
        <v>1125</v>
      </c>
      <c r="S390" s="18">
        <v>11912223712</v>
      </c>
      <c r="T390" s="11" t="s">
        <v>67</v>
      </c>
      <c r="U390" s="202">
        <v>46154</v>
      </c>
      <c r="V390" s="41" t="s">
        <v>1126</v>
      </c>
      <c r="W390" s="123" t="s">
        <v>284</v>
      </c>
      <c r="Z390" s="15"/>
      <c r="AA390" s="149" t="s">
        <v>1127</v>
      </c>
      <c r="AB390" s="10">
        <v>0</v>
      </c>
    </row>
    <row r="391" spans="1:28" hidden="1">
      <c r="A391" s="100">
        <v>30210</v>
      </c>
      <c r="B391" s="10">
        <v>1</v>
      </c>
      <c r="C391" s="63">
        <v>46147</v>
      </c>
      <c r="D391" s="91">
        <f t="shared" ca="1" si="19"/>
        <v>80</v>
      </c>
      <c r="E391" s="138" t="str">
        <f t="shared" si="18"/>
        <v>ADMITIDO</v>
      </c>
      <c r="F391" s="19" t="s">
        <v>28</v>
      </c>
      <c r="G391" s="117" t="s">
        <v>60</v>
      </c>
      <c r="H391" s="19" t="s">
        <v>40</v>
      </c>
      <c r="I391" s="19" t="str">
        <f>IF(W391="ADMITIDO","ADMITIDO",IF(W391="CANCELADA","CANCELADA",IF(H391="","",IFERROR(_xlfn.XLOOKUP(H391,Listas!I:I,Listas!J:J),"OUTROS"))))</f>
        <v>ADMITIDO</v>
      </c>
      <c r="J391" s="12" t="s">
        <v>1024</v>
      </c>
      <c r="K391" s="11" t="s">
        <v>330</v>
      </c>
      <c r="L391" s="11" t="s">
        <v>996</v>
      </c>
      <c r="M391" s="11" t="s">
        <v>63</v>
      </c>
      <c r="N391" s="11" t="s">
        <v>34</v>
      </c>
      <c r="O391" s="11" t="s">
        <v>210</v>
      </c>
      <c r="P391" s="11" t="s">
        <v>1128</v>
      </c>
      <c r="Q391" s="108" t="s">
        <v>1129</v>
      </c>
      <c r="S391" s="18" t="s">
        <v>1130</v>
      </c>
      <c r="T391" s="11" t="s">
        <v>109</v>
      </c>
      <c r="U391" s="202">
        <v>46156</v>
      </c>
      <c r="V391" s="42" t="s">
        <v>1131</v>
      </c>
      <c r="W391" s="59" t="s">
        <v>40</v>
      </c>
      <c r="X391" s="43">
        <v>46157</v>
      </c>
      <c r="Y391" s="14">
        <v>46160</v>
      </c>
      <c r="Z391" s="15">
        <v>914294</v>
      </c>
      <c r="AA391" s="45"/>
      <c r="AB391" s="10">
        <v>0</v>
      </c>
    </row>
    <row r="392" spans="1:28" ht="30" hidden="1">
      <c r="A392" s="100">
        <v>30188</v>
      </c>
      <c r="B392" s="10">
        <v>1</v>
      </c>
      <c r="C392" s="63">
        <v>46147</v>
      </c>
      <c r="D392" s="91">
        <f t="shared" ca="1" si="19"/>
        <v>80</v>
      </c>
      <c r="E392" s="138" t="str">
        <f t="shared" ca="1" si="18"/>
        <v>CRÍTICO</v>
      </c>
      <c r="F392" s="19" t="s">
        <v>28</v>
      </c>
      <c r="G392" s="34" t="s">
        <v>145</v>
      </c>
      <c r="H392" s="19" t="s">
        <v>181</v>
      </c>
      <c r="I392" s="19" t="str">
        <f>IF(W392="ADMITIDO","ADMITIDO",IF(W392="CANCELADA","CANCELADA",IF(H392="","",IFERROR(_xlfn.XLOOKUP(H392,Listas!I:I,Listas!J:J),"OUTROS"))))</f>
        <v>DOCUMENTAÇÃO</v>
      </c>
      <c r="J392" s="12" t="s">
        <v>268</v>
      </c>
      <c r="K392" s="11" t="s">
        <v>952</v>
      </c>
      <c r="L392" s="11" t="s">
        <v>1132</v>
      </c>
      <c r="M392" s="11" t="s">
        <v>63</v>
      </c>
      <c r="N392" s="11" t="s">
        <v>34</v>
      </c>
      <c r="O392" s="11" t="s">
        <v>35</v>
      </c>
      <c r="P392" s="11" t="s">
        <v>905</v>
      </c>
      <c r="Q392" s="108"/>
      <c r="S392" s="18"/>
      <c r="W392" s="56"/>
      <c r="Z392" s="15"/>
      <c r="AA392" s="149" t="s">
        <v>1133</v>
      </c>
      <c r="AB392" s="10">
        <v>0</v>
      </c>
    </row>
    <row r="393" spans="1:28" hidden="1">
      <c r="A393" s="100">
        <v>30192</v>
      </c>
      <c r="B393" s="10">
        <v>1</v>
      </c>
      <c r="C393" s="63">
        <v>46147</v>
      </c>
      <c r="D393" s="91">
        <f t="shared" ca="1" si="19"/>
        <v>80</v>
      </c>
      <c r="E393" s="138" t="str">
        <f t="shared" ca="1" si="18"/>
        <v>CRÍTICO</v>
      </c>
      <c r="F393" s="19" t="s">
        <v>42</v>
      </c>
      <c r="G393" s="34" t="s">
        <v>145</v>
      </c>
      <c r="H393" s="19" t="s">
        <v>91</v>
      </c>
      <c r="I393" s="19" t="str">
        <f>IF(W393="ADMITIDO","ADMITIDO",IF(W393="CANCELADA","CANCELADA",IF(H393="","",IFERROR(_xlfn.XLOOKUP(H393,Listas!I:I,Listas!J:J),"OUTROS"))))</f>
        <v>TRIAGEM</v>
      </c>
      <c r="J393" s="12" t="s">
        <v>53</v>
      </c>
      <c r="K393" s="11" t="s">
        <v>103</v>
      </c>
      <c r="L393" s="11" t="s">
        <v>297</v>
      </c>
      <c r="M393" s="11" t="s">
        <v>33</v>
      </c>
      <c r="N393" s="11" t="s">
        <v>34</v>
      </c>
      <c r="O393" s="11" t="s">
        <v>48</v>
      </c>
      <c r="P393" s="11" t="s">
        <v>120</v>
      </c>
      <c r="Q393" s="108"/>
      <c r="S393" s="18"/>
      <c r="W393" s="44"/>
      <c r="Z393" s="15"/>
      <c r="AB393" s="10">
        <v>0</v>
      </c>
    </row>
    <row r="394" spans="1:28" hidden="1">
      <c r="A394" s="100">
        <v>30201</v>
      </c>
      <c r="B394" s="10">
        <v>1</v>
      </c>
      <c r="C394" s="63">
        <v>46147</v>
      </c>
      <c r="D394" s="91">
        <f t="shared" ca="1" si="19"/>
        <v>80</v>
      </c>
      <c r="E394" s="138" t="str">
        <f t="shared" si="18"/>
        <v>ADMITIDO</v>
      </c>
      <c r="F394" s="19" t="s">
        <v>28</v>
      </c>
      <c r="G394" s="34" t="s">
        <v>29</v>
      </c>
      <c r="H394" s="117" t="s">
        <v>40</v>
      </c>
      <c r="I394" s="19" t="str">
        <f>IF(W394="ADMITIDO","ADMITIDO",IF(W394="CANCELADA","CANCELADA",IF(H394="","",IFERROR(_xlfn.XLOOKUP(H394,Listas!I:I,Listas!J:J),"OUTROS"))))</f>
        <v>ADMITIDO</v>
      </c>
      <c r="J394" s="12" t="s">
        <v>146</v>
      </c>
      <c r="K394" s="11" t="s">
        <v>614</v>
      </c>
      <c r="L394" s="11" t="s">
        <v>183</v>
      </c>
      <c r="M394" s="11" t="s">
        <v>184</v>
      </c>
      <c r="N394" s="11" t="s">
        <v>56</v>
      </c>
      <c r="O394" s="11" t="s">
        <v>35</v>
      </c>
      <c r="P394" s="11" t="s">
        <v>760</v>
      </c>
      <c r="Q394" s="108"/>
      <c r="S394" s="18" t="s">
        <v>1134</v>
      </c>
      <c r="T394" s="11" t="s">
        <v>38</v>
      </c>
      <c r="U394" s="202">
        <v>46148</v>
      </c>
      <c r="V394" s="42" t="s">
        <v>1135</v>
      </c>
      <c r="W394" s="19" t="s">
        <v>40</v>
      </c>
      <c r="X394" s="43">
        <v>46153</v>
      </c>
      <c r="Y394" s="14">
        <v>46154</v>
      </c>
      <c r="Z394" s="15">
        <v>914255</v>
      </c>
      <c r="AB394" s="10">
        <v>0</v>
      </c>
    </row>
    <row r="395" spans="1:28" ht="30" hidden="1">
      <c r="A395" s="100">
        <v>30203</v>
      </c>
      <c r="B395" s="10">
        <v>1</v>
      </c>
      <c r="C395" s="63">
        <v>46147</v>
      </c>
      <c r="D395" s="91">
        <f t="shared" ca="1" si="19"/>
        <v>80</v>
      </c>
      <c r="E395" s="138" t="str">
        <f t="shared" ca="1" si="18"/>
        <v>CRÍTICO</v>
      </c>
      <c r="F395" s="19" t="s">
        <v>42</v>
      </c>
      <c r="G395" s="34" t="s">
        <v>69</v>
      </c>
      <c r="H395" s="19" t="s">
        <v>181</v>
      </c>
      <c r="I395" s="19" t="str">
        <f>IF(W395="ADMITIDO","ADMITIDO",IF(W395="CANCELADA","CANCELADA",IF(H395="","",IFERROR(_xlfn.XLOOKUP(H395,Listas!I:I,Listas!J:J),"OUTROS"))))</f>
        <v>DOCUMENTAÇÃO</v>
      </c>
      <c r="J395" s="12" t="s">
        <v>53</v>
      </c>
      <c r="K395" s="11" t="s">
        <v>158</v>
      </c>
      <c r="L395" s="11" t="s">
        <v>921</v>
      </c>
      <c r="M395" s="11" t="s">
        <v>672</v>
      </c>
      <c r="N395" s="11" t="s">
        <v>34</v>
      </c>
      <c r="O395" s="11" t="s">
        <v>48</v>
      </c>
      <c r="P395" s="11" t="s">
        <v>414</v>
      </c>
      <c r="Q395" s="108"/>
      <c r="S395" s="18"/>
      <c r="W395" s="56"/>
      <c r="Z395" s="15"/>
      <c r="AA395" s="149" t="s">
        <v>1136</v>
      </c>
      <c r="AB395" s="10">
        <v>1</v>
      </c>
    </row>
    <row r="396" spans="1:28" hidden="1">
      <c r="A396" s="100">
        <v>30204</v>
      </c>
      <c r="B396" s="10">
        <v>1</v>
      </c>
      <c r="C396" s="63">
        <v>46147</v>
      </c>
      <c r="D396" s="91">
        <f t="shared" ca="1" si="19"/>
        <v>80</v>
      </c>
      <c r="E396" s="138" t="str">
        <f t="shared" ca="1" si="18"/>
        <v>CRÍTICO</v>
      </c>
      <c r="F396" s="19" t="s">
        <v>42</v>
      </c>
      <c r="G396" s="34" t="s">
        <v>69</v>
      </c>
      <c r="H396" s="19" t="s">
        <v>91</v>
      </c>
      <c r="I396" s="19" t="str">
        <f>IF(W396="ADMITIDO","ADMITIDO",IF(W396="CANCELADA","CANCELADA",IF(H396="","",IFERROR(_xlfn.XLOOKUP(H396,Listas!I:I,Listas!J:J),"OUTROS"))))</f>
        <v>TRIAGEM</v>
      </c>
      <c r="J396" s="12" t="s">
        <v>53</v>
      </c>
      <c r="K396" s="11" t="s">
        <v>158</v>
      </c>
      <c r="L396" s="11" t="s">
        <v>921</v>
      </c>
      <c r="M396" s="11" t="s">
        <v>672</v>
      </c>
      <c r="N396" s="11" t="s">
        <v>34</v>
      </c>
      <c r="O396" s="11" t="s">
        <v>48</v>
      </c>
      <c r="P396" s="11" t="s">
        <v>131</v>
      </c>
      <c r="Q396" s="108"/>
      <c r="S396" s="18"/>
      <c r="Z396" s="15"/>
      <c r="AB396" s="10">
        <v>0</v>
      </c>
    </row>
    <row r="397" spans="1:28" hidden="1">
      <c r="A397" s="100">
        <v>30189</v>
      </c>
      <c r="B397" s="10">
        <v>1</v>
      </c>
      <c r="C397" s="63">
        <v>46147</v>
      </c>
      <c r="D397" s="91">
        <f t="shared" ca="1" si="19"/>
        <v>80</v>
      </c>
      <c r="E397" s="138" t="str">
        <f t="shared" ca="1" si="18"/>
        <v>CRÍTICO</v>
      </c>
      <c r="F397" s="19" t="s">
        <v>42</v>
      </c>
      <c r="G397" s="34" t="s">
        <v>69</v>
      </c>
      <c r="H397" s="19" t="s">
        <v>1137</v>
      </c>
      <c r="I397" s="19" t="str">
        <f>IF(W397="ADMITIDO","ADMITIDO",IF(W397="CANCELADA","CANCELADA",IF(H397="","",IFERROR(_xlfn.XLOOKUP(H397,Listas!I:I,Listas!J:J),"OUTROS"))))</f>
        <v>ENTREVISTA CLIENTE</v>
      </c>
      <c r="J397" s="12" t="s">
        <v>53</v>
      </c>
      <c r="K397" s="11" t="s">
        <v>70</v>
      </c>
      <c r="L397" s="11" t="s">
        <v>588</v>
      </c>
      <c r="M397" s="11" t="s">
        <v>63</v>
      </c>
      <c r="N397" s="11" t="s">
        <v>34</v>
      </c>
      <c r="O397" s="11" t="s">
        <v>589</v>
      </c>
      <c r="P397" s="11" t="s">
        <v>532</v>
      </c>
      <c r="Q397" s="108"/>
      <c r="S397" s="18"/>
      <c r="Z397" s="15"/>
      <c r="AB397" s="10">
        <v>0</v>
      </c>
    </row>
    <row r="398" spans="1:28" hidden="1">
      <c r="A398" s="100">
        <v>30198</v>
      </c>
      <c r="B398" s="10">
        <v>1</v>
      </c>
      <c r="C398" s="63">
        <v>46147</v>
      </c>
      <c r="D398" s="91">
        <f t="shared" ca="1" si="19"/>
        <v>80</v>
      </c>
      <c r="E398" s="138" t="str">
        <f t="shared" ca="1" si="18"/>
        <v>CRÍTICO</v>
      </c>
      <c r="F398" s="19" t="s">
        <v>28</v>
      </c>
      <c r="G398" s="34" t="s">
        <v>240</v>
      </c>
      <c r="H398" s="19" t="s">
        <v>181</v>
      </c>
      <c r="I398" s="19" t="str">
        <f>IF(W398="ADMITIDO","ADMITIDO",IF(W398="CANCELADA","CANCELADA",IF(H398="","",IFERROR(_xlfn.XLOOKUP(H398,Listas!I:I,Listas!J:J),"OUTROS"))))</f>
        <v>DOCUMENTAÇÃO</v>
      </c>
      <c r="J398" s="12" t="s">
        <v>268</v>
      </c>
      <c r="K398" s="11" t="s">
        <v>676</v>
      </c>
      <c r="L398" s="11" t="s">
        <v>475</v>
      </c>
      <c r="M398" s="11" t="s">
        <v>243</v>
      </c>
      <c r="N398" s="11" t="s">
        <v>56</v>
      </c>
      <c r="O398" s="11" t="s">
        <v>35</v>
      </c>
      <c r="P398" s="11" t="s">
        <v>176</v>
      </c>
      <c r="Q398" s="108"/>
      <c r="R398" s="16" t="s">
        <v>65</v>
      </c>
      <c r="S398" s="18"/>
      <c r="T398" s="11" t="s">
        <v>132</v>
      </c>
      <c r="U398" s="202" t="s">
        <v>1138</v>
      </c>
      <c r="V398" s="41" t="s">
        <v>1139</v>
      </c>
      <c r="W398" s="23" t="s">
        <v>188</v>
      </c>
      <c r="X398" s="14">
        <v>46160</v>
      </c>
      <c r="Y398" s="14">
        <v>46163</v>
      </c>
      <c r="Z398" s="15">
        <v>914299</v>
      </c>
      <c r="AB398" s="10">
        <v>0</v>
      </c>
    </row>
    <row r="399" spans="1:28" hidden="1">
      <c r="A399" s="101">
        <v>30196</v>
      </c>
      <c r="B399" s="10">
        <v>1</v>
      </c>
      <c r="C399" s="63">
        <v>46147</v>
      </c>
      <c r="D399" s="91">
        <f t="shared" ca="1" si="19"/>
        <v>80</v>
      </c>
      <c r="E399" s="138" t="str">
        <f t="shared" ca="1" si="18"/>
        <v>CRÍTICO</v>
      </c>
      <c r="F399" s="19" t="s">
        <v>42</v>
      </c>
      <c r="G399" s="34" t="s">
        <v>43</v>
      </c>
      <c r="H399" s="19" t="s">
        <v>91</v>
      </c>
      <c r="I399" s="19" t="str">
        <f>IF(W399="ADMITIDO","ADMITIDO",IF(W399="CANCELADA","CANCELADA",IF(H399="","",IFERROR(_xlfn.XLOOKUP(H399,Listas!I:I,Listas!J:J),"OUTROS"))))</f>
        <v>TRIAGEM</v>
      </c>
      <c r="J399" s="12" t="s">
        <v>346</v>
      </c>
      <c r="K399" s="11" t="s">
        <v>189</v>
      </c>
      <c r="L399" s="11" t="s">
        <v>924</v>
      </c>
      <c r="M399" s="11" t="s">
        <v>925</v>
      </c>
      <c r="N399" s="11" t="s">
        <v>56</v>
      </c>
      <c r="O399" s="11" t="s">
        <v>35</v>
      </c>
      <c r="P399" s="11" t="s">
        <v>176</v>
      </c>
      <c r="Q399" s="108"/>
      <c r="S399" s="18"/>
      <c r="Z399" s="15"/>
      <c r="AB399" s="10">
        <v>0</v>
      </c>
    </row>
    <row r="400" spans="1:28" hidden="1">
      <c r="A400" s="100">
        <v>30190</v>
      </c>
      <c r="B400" s="10">
        <v>1</v>
      </c>
      <c r="C400" s="63">
        <v>46147</v>
      </c>
      <c r="D400" s="91">
        <f t="shared" ca="1" si="19"/>
        <v>80</v>
      </c>
      <c r="E400" s="138" t="str">
        <f t="shared" ca="1" si="18"/>
        <v>CRÍTICO</v>
      </c>
      <c r="F400" s="19" t="s">
        <v>42</v>
      </c>
      <c r="G400" s="34" t="s">
        <v>69</v>
      </c>
      <c r="H400" s="19" t="s">
        <v>91</v>
      </c>
      <c r="I400" s="19" t="str">
        <f>IF(W400="ADMITIDO","ADMITIDO",IF(W400="CANCELADA","CANCELADA",IF(H400="","",IFERROR(_xlfn.XLOOKUP(H400,Listas!I:I,Listas!J:J),"OUTROS"))))</f>
        <v>TRIAGEM</v>
      </c>
      <c r="J400" s="12" t="s">
        <v>53</v>
      </c>
      <c r="K400" s="11" t="s">
        <v>70</v>
      </c>
      <c r="L400" s="11" t="s">
        <v>237</v>
      </c>
      <c r="M400" s="11" t="s">
        <v>63</v>
      </c>
      <c r="N400" s="11" t="s">
        <v>34</v>
      </c>
      <c r="O400" s="11" t="s">
        <v>72</v>
      </c>
      <c r="P400" s="11" t="s">
        <v>238</v>
      </c>
      <c r="Q400" s="108"/>
      <c r="S400" s="18"/>
      <c r="Z400" s="15"/>
      <c r="AB400" s="10">
        <v>0</v>
      </c>
    </row>
    <row r="401" spans="1:28" hidden="1">
      <c r="A401" s="100">
        <v>30186</v>
      </c>
      <c r="B401" s="10">
        <v>1</v>
      </c>
      <c r="C401" s="63">
        <v>46147</v>
      </c>
      <c r="D401" s="91">
        <f t="shared" ca="1" si="19"/>
        <v>80</v>
      </c>
      <c r="E401" s="138" t="str">
        <f t="shared" ca="1" si="18"/>
        <v>CRÍTICO</v>
      </c>
      <c r="F401" s="19" t="s">
        <v>42</v>
      </c>
      <c r="G401" s="34" t="s">
        <v>240</v>
      </c>
      <c r="H401" s="19" t="s">
        <v>91</v>
      </c>
      <c r="I401" s="19" t="str">
        <f>IF(W401="ADMITIDO","ADMITIDO",IF(W401="CANCELADA","CANCELADA",IF(H401="","",IFERROR(_xlfn.XLOOKUP(H401,Listas!I:I,Listas!J:J),"OUTROS"))))</f>
        <v>TRIAGEM</v>
      </c>
      <c r="J401" s="12" t="s">
        <v>53</v>
      </c>
      <c r="K401" s="11" t="s">
        <v>241</v>
      </c>
      <c r="L401" s="11" t="s">
        <v>312</v>
      </c>
      <c r="M401" s="11" t="s">
        <v>243</v>
      </c>
      <c r="N401" s="11" t="s">
        <v>34</v>
      </c>
      <c r="O401" s="11" t="s">
        <v>57</v>
      </c>
      <c r="P401" s="11" t="s">
        <v>1140</v>
      </c>
      <c r="Q401" s="108"/>
      <c r="S401" s="18"/>
      <c r="W401" s="44"/>
      <c r="Z401" s="15"/>
      <c r="AB401" s="10">
        <v>0</v>
      </c>
    </row>
    <row r="402" spans="1:28" hidden="1">
      <c r="A402" s="100">
        <v>30208</v>
      </c>
      <c r="B402" s="10">
        <v>1</v>
      </c>
      <c r="C402" s="63">
        <v>46147</v>
      </c>
      <c r="D402" s="91">
        <f t="shared" ca="1" si="19"/>
        <v>80</v>
      </c>
      <c r="E402" s="138" t="str">
        <f t="shared" si="18"/>
        <v>ADMITIDO</v>
      </c>
      <c r="F402" s="19" t="s">
        <v>42</v>
      </c>
      <c r="G402" s="34" t="s">
        <v>43</v>
      </c>
      <c r="H402" s="117" t="s">
        <v>40</v>
      </c>
      <c r="I402" s="19" t="str">
        <f>IF(W402="ADMITIDO","ADMITIDO",IF(W402="CANCELADA","CANCELADA",IF(H402="","",IFERROR(_xlfn.XLOOKUP(H402,Listas!I:I,Listas!J:J),"OUTROS"))))</f>
        <v>ADMITIDO</v>
      </c>
      <c r="J402" s="12" t="s">
        <v>53</v>
      </c>
      <c r="K402" s="11" t="s">
        <v>45</v>
      </c>
      <c r="L402" s="11" t="s">
        <v>1141</v>
      </c>
      <c r="M402" s="11" t="s">
        <v>97</v>
      </c>
      <c r="N402" s="11" t="s">
        <v>34</v>
      </c>
      <c r="O402" s="11" t="s">
        <v>57</v>
      </c>
      <c r="P402" s="11" t="s">
        <v>73</v>
      </c>
      <c r="Q402" s="108"/>
      <c r="S402" s="18">
        <v>11945500287</v>
      </c>
      <c r="T402" s="11" t="s">
        <v>67</v>
      </c>
      <c r="U402" s="202">
        <v>46148</v>
      </c>
      <c r="V402" s="42" t="s">
        <v>1142</v>
      </c>
      <c r="W402" s="19" t="s">
        <v>40</v>
      </c>
      <c r="X402" s="43">
        <v>46150</v>
      </c>
      <c r="Y402" s="14">
        <v>46150</v>
      </c>
      <c r="Z402" s="15">
        <v>145931</v>
      </c>
      <c r="AB402" s="10">
        <v>0</v>
      </c>
    </row>
    <row r="403" spans="1:28" hidden="1">
      <c r="A403" s="100">
        <v>30205</v>
      </c>
      <c r="B403" s="10">
        <v>1</v>
      </c>
      <c r="C403" s="63">
        <v>46147</v>
      </c>
      <c r="D403" s="91">
        <f t="shared" ca="1" si="19"/>
        <v>80</v>
      </c>
      <c r="E403" s="138" t="str">
        <f t="shared" si="18"/>
        <v>ADMITIDO</v>
      </c>
      <c r="F403" s="19" t="s">
        <v>42</v>
      </c>
      <c r="G403" s="34" t="s">
        <v>69</v>
      </c>
      <c r="H403" s="117" t="s">
        <v>40</v>
      </c>
      <c r="I403" s="19" t="str">
        <f>IF(W403="ADMITIDO","ADMITIDO",IF(W403="CANCELADA","CANCELADA",IF(H403="","",IFERROR(_xlfn.XLOOKUP(H403,Listas!I:I,Listas!J:J),"OUTROS"))))</f>
        <v>ADMITIDO</v>
      </c>
      <c r="J403" s="12" t="s">
        <v>53</v>
      </c>
      <c r="K403" s="11" t="s">
        <v>158</v>
      </c>
      <c r="L403" s="11" t="s">
        <v>1040</v>
      </c>
      <c r="M403" s="11" t="s">
        <v>63</v>
      </c>
      <c r="N403" s="11" t="s">
        <v>34</v>
      </c>
      <c r="O403" s="11" t="s">
        <v>72</v>
      </c>
      <c r="P403" s="11" t="s">
        <v>238</v>
      </c>
      <c r="Q403" s="108"/>
      <c r="R403" s="16" t="s">
        <v>65</v>
      </c>
      <c r="S403" s="18"/>
      <c r="T403" s="11" t="s">
        <v>67</v>
      </c>
      <c r="U403" s="202">
        <v>46149</v>
      </c>
      <c r="V403" s="42" t="s">
        <v>1143</v>
      </c>
      <c r="W403" s="19" t="s">
        <v>40</v>
      </c>
      <c r="X403" s="43">
        <v>46154</v>
      </c>
      <c r="Y403" s="14">
        <v>46155</v>
      </c>
      <c r="Z403" s="15">
        <v>914271</v>
      </c>
      <c r="AB403" s="10">
        <v>0</v>
      </c>
    </row>
    <row r="404" spans="1:28" hidden="1">
      <c r="A404" s="100">
        <v>30193</v>
      </c>
      <c r="B404" s="10">
        <v>1</v>
      </c>
      <c r="C404" s="63">
        <v>46147</v>
      </c>
      <c r="D404" s="91">
        <f t="shared" ca="1" si="19"/>
        <v>80</v>
      </c>
      <c r="E404" s="138" t="str">
        <f t="shared" si="18"/>
        <v>ADMITIDO</v>
      </c>
      <c r="F404" s="19" t="s">
        <v>28</v>
      </c>
      <c r="G404" s="34" t="s">
        <v>43</v>
      </c>
      <c r="H404" s="19" t="s">
        <v>40</v>
      </c>
      <c r="I404" s="19" t="str">
        <f>IF(W404="ADMITIDO","ADMITIDO",IF(W404="CANCELADA","CANCELADA",IF(H404="","",IFERROR(_xlfn.XLOOKUP(H404,Listas!I:I,Listas!J:J),"OUTROS"))))</f>
        <v>ADMITIDO</v>
      </c>
      <c r="J404" s="12" t="s">
        <v>737</v>
      </c>
      <c r="K404" s="11" t="s">
        <v>1144</v>
      </c>
      <c r="L404" s="11" t="s">
        <v>96</v>
      </c>
      <c r="M404" s="11" t="s">
        <v>97</v>
      </c>
      <c r="N404" s="11" t="s">
        <v>34</v>
      </c>
      <c r="O404" s="11" t="s">
        <v>35</v>
      </c>
      <c r="P404" s="11" t="s">
        <v>362</v>
      </c>
      <c r="Q404" s="108"/>
      <c r="S404" s="18">
        <v>11974189745</v>
      </c>
      <c r="T404" s="11" t="s">
        <v>50</v>
      </c>
      <c r="U404" s="202">
        <v>46149</v>
      </c>
      <c r="V404" s="64" t="s">
        <v>1145</v>
      </c>
      <c r="W404" s="59" t="s">
        <v>40</v>
      </c>
      <c r="X404" s="43">
        <v>46155</v>
      </c>
      <c r="Y404" s="14">
        <v>46155</v>
      </c>
      <c r="Z404" s="15">
        <v>914268</v>
      </c>
      <c r="AB404" s="10">
        <v>0</v>
      </c>
    </row>
    <row r="405" spans="1:28" hidden="1">
      <c r="A405" s="100">
        <v>30194</v>
      </c>
      <c r="B405" s="10">
        <v>1</v>
      </c>
      <c r="C405" s="63">
        <v>46147</v>
      </c>
      <c r="D405" s="91">
        <f t="shared" ca="1" si="19"/>
        <v>80</v>
      </c>
      <c r="E405" s="138" t="str">
        <f t="shared" si="18"/>
        <v>ADMITIDO</v>
      </c>
      <c r="F405" s="19" t="s">
        <v>28</v>
      </c>
      <c r="G405" s="34" t="s">
        <v>43</v>
      </c>
      <c r="H405" s="19" t="s">
        <v>40</v>
      </c>
      <c r="I405" s="19" t="str">
        <f>IF(W405="ADMITIDO","ADMITIDO",IF(W405="CANCELADA","CANCELADA",IF(H405="","",IFERROR(_xlfn.XLOOKUP(H405,Listas!I:I,Listas!J:J),"OUTROS"))))</f>
        <v>ADMITIDO</v>
      </c>
      <c r="J405" s="12" t="s">
        <v>737</v>
      </c>
      <c r="K405" s="11" t="s">
        <v>1144</v>
      </c>
      <c r="L405" s="11" t="s">
        <v>96</v>
      </c>
      <c r="M405" s="11" t="s">
        <v>97</v>
      </c>
      <c r="N405" s="11" t="s">
        <v>34</v>
      </c>
      <c r="O405" s="11" t="s">
        <v>35</v>
      </c>
      <c r="P405" s="11" t="s">
        <v>362</v>
      </c>
      <c r="Q405" s="108"/>
      <c r="R405" s="24"/>
      <c r="S405" s="18">
        <v>11974808637</v>
      </c>
      <c r="T405" s="11" t="s">
        <v>50</v>
      </c>
      <c r="U405" s="202">
        <v>46150</v>
      </c>
      <c r="V405" s="64" t="s">
        <v>1146</v>
      </c>
      <c r="W405" s="59" t="s">
        <v>40</v>
      </c>
      <c r="X405" s="43">
        <v>46155</v>
      </c>
      <c r="Y405" s="14">
        <v>46156</v>
      </c>
      <c r="Z405" s="15">
        <v>914266</v>
      </c>
      <c r="AB405" s="10">
        <v>0</v>
      </c>
    </row>
    <row r="406" spans="1:28" hidden="1">
      <c r="A406" s="100">
        <v>30191</v>
      </c>
      <c r="B406" s="10">
        <v>1</v>
      </c>
      <c r="C406" s="63">
        <v>46147</v>
      </c>
      <c r="D406" s="91">
        <f t="shared" ca="1" si="19"/>
        <v>80</v>
      </c>
      <c r="E406" s="138" t="str">
        <f t="shared" ca="1" si="18"/>
        <v>CRÍTICO</v>
      </c>
      <c r="F406" s="19" t="s">
        <v>42</v>
      </c>
      <c r="G406" s="34" t="s">
        <v>69</v>
      </c>
      <c r="H406" s="19" t="s">
        <v>334</v>
      </c>
      <c r="I406" s="19" t="str">
        <f>IF(W406="ADMITIDO","ADMITIDO",IF(W406="CANCELADA","CANCELADA",IF(H406="","",IFERROR(_xlfn.XLOOKUP(H406,Listas!I:I,Listas!J:J),"OUTROS"))))</f>
        <v>DOCUMENTAÇÃO</v>
      </c>
      <c r="J406" s="12" t="s">
        <v>53</v>
      </c>
      <c r="K406" s="11" t="s">
        <v>70</v>
      </c>
      <c r="L406" s="11" t="s">
        <v>769</v>
      </c>
      <c r="M406" s="11" t="s">
        <v>63</v>
      </c>
      <c r="N406" s="11" t="s">
        <v>34</v>
      </c>
      <c r="O406" s="11" t="s">
        <v>48</v>
      </c>
      <c r="P406" s="11" t="s">
        <v>49</v>
      </c>
      <c r="Q406" s="108" t="s">
        <v>1147</v>
      </c>
      <c r="R406" s="24" t="s">
        <v>65</v>
      </c>
      <c r="S406" s="18"/>
      <c r="W406" s="173"/>
      <c r="Z406" s="15"/>
      <c r="AA406" s="149" t="s">
        <v>1148</v>
      </c>
      <c r="AB406" s="10">
        <v>1</v>
      </c>
    </row>
    <row r="407" spans="1:28" hidden="1">
      <c r="A407" s="100">
        <v>30187</v>
      </c>
      <c r="B407" s="10">
        <v>1</v>
      </c>
      <c r="C407" s="63">
        <v>46147</v>
      </c>
      <c r="D407" s="91">
        <f t="shared" ca="1" si="19"/>
        <v>80</v>
      </c>
      <c r="E407" s="138" t="str">
        <f t="shared" si="18"/>
        <v>ADMITIDO</v>
      </c>
      <c r="F407" s="19" t="s">
        <v>28</v>
      </c>
      <c r="G407" s="34" t="s">
        <v>145</v>
      </c>
      <c r="H407" s="117" t="s">
        <v>40</v>
      </c>
      <c r="I407" s="19" t="str">
        <f>IF(W407="ADMITIDO","ADMITIDO",IF(W407="CANCELADA","CANCELADA",IF(H407="","",IFERROR(_xlfn.XLOOKUP(H407,Listas!I:I,Listas!J:J),"OUTROS"))))</f>
        <v>ADMITIDO</v>
      </c>
      <c r="J407" s="12" t="s">
        <v>268</v>
      </c>
      <c r="K407" s="11" t="s">
        <v>952</v>
      </c>
      <c r="L407" s="11" t="s">
        <v>953</v>
      </c>
      <c r="M407" s="11" t="s">
        <v>63</v>
      </c>
      <c r="N407" s="11" t="s">
        <v>34</v>
      </c>
      <c r="O407" s="11" t="s">
        <v>35</v>
      </c>
      <c r="P407" s="11" t="s">
        <v>36</v>
      </c>
      <c r="Q407" s="108"/>
      <c r="R407" s="24"/>
      <c r="S407" s="18"/>
      <c r="T407" s="11" t="s">
        <v>132</v>
      </c>
      <c r="U407" s="202">
        <v>46149</v>
      </c>
      <c r="V407" s="42" t="s">
        <v>1149</v>
      </c>
      <c r="W407" s="19" t="s">
        <v>40</v>
      </c>
      <c r="X407" s="43">
        <v>46153</v>
      </c>
      <c r="Y407" s="14">
        <v>46154</v>
      </c>
      <c r="Z407" s="15">
        <v>914259</v>
      </c>
      <c r="AB407" s="10">
        <v>0</v>
      </c>
    </row>
    <row r="408" spans="1:28" hidden="1">
      <c r="A408" s="100">
        <v>30199</v>
      </c>
      <c r="B408" s="10">
        <v>1</v>
      </c>
      <c r="C408" s="63">
        <v>46147</v>
      </c>
      <c r="D408" s="91">
        <f t="shared" ca="1" si="19"/>
        <v>80</v>
      </c>
      <c r="E408" s="138" t="str">
        <f t="shared" ca="1" si="18"/>
        <v>CRÍTICO</v>
      </c>
      <c r="F408" s="19" t="s">
        <v>42</v>
      </c>
      <c r="G408" s="34" t="s">
        <v>69</v>
      </c>
      <c r="H408" s="19" t="s">
        <v>259</v>
      </c>
      <c r="I408" s="19" t="str">
        <f>IF(W408="ADMITIDO","ADMITIDO",IF(W408="CANCELADA","CANCELADA",IF(H408="","",IFERROR(_xlfn.XLOOKUP(H408,Listas!I:I,Listas!J:J),"OUTROS"))))</f>
        <v>TRIAGEM</v>
      </c>
      <c r="J408" s="12" t="s">
        <v>53</v>
      </c>
      <c r="K408" s="11" t="s">
        <v>158</v>
      </c>
      <c r="L408" s="11" t="s">
        <v>1068</v>
      </c>
      <c r="M408" s="11" t="s">
        <v>63</v>
      </c>
      <c r="N408" s="11" t="s">
        <v>34</v>
      </c>
      <c r="O408" s="11" t="s">
        <v>219</v>
      </c>
      <c r="P408" s="11" t="s">
        <v>247</v>
      </c>
      <c r="Q408" s="108"/>
      <c r="R408" s="24"/>
      <c r="S408" s="18"/>
      <c r="W408" s="56"/>
      <c r="Z408" s="15"/>
      <c r="AB408" s="10">
        <v>0</v>
      </c>
    </row>
    <row r="409" spans="1:28" hidden="1">
      <c r="A409" s="100">
        <v>30182</v>
      </c>
      <c r="B409" s="10">
        <v>1</v>
      </c>
      <c r="C409" s="63">
        <v>46147</v>
      </c>
      <c r="D409" s="91">
        <f t="shared" ca="1" si="19"/>
        <v>80</v>
      </c>
      <c r="E409" s="138" t="str">
        <f t="shared" si="18"/>
        <v>CANCELADA</v>
      </c>
      <c r="F409" s="19" t="s">
        <v>28</v>
      </c>
      <c r="G409" s="34" t="s">
        <v>145</v>
      </c>
      <c r="H409" s="117" t="s">
        <v>52</v>
      </c>
      <c r="I409" s="19" t="str">
        <f>IF(W409="ADMITIDO","ADMITIDO",IF(W409="CANCELADA","CANCELADA",IF(H409="","",IFERROR(_xlfn.XLOOKUP(H409,Listas!I:I,Listas!J:J),"OUTROS"))))</f>
        <v>CANCELADA</v>
      </c>
      <c r="J409" s="12" t="s">
        <v>1150</v>
      </c>
      <c r="K409" s="12" t="s">
        <v>103</v>
      </c>
      <c r="L409" s="12" t="s">
        <v>194</v>
      </c>
      <c r="M409" s="12" t="s">
        <v>63</v>
      </c>
      <c r="N409" s="11" t="s">
        <v>34</v>
      </c>
      <c r="O409" s="11" t="s">
        <v>210</v>
      </c>
      <c r="P409" s="11" t="s">
        <v>1151</v>
      </c>
      <c r="Q409" s="108"/>
      <c r="S409" s="18"/>
      <c r="U409" s="202">
        <v>46148</v>
      </c>
      <c r="V409" s="41" t="s">
        <v>1152</v>
      </c>
      <c r="W409" s="38" t="s">
        <v>52</v>
      </c>
      <c r="AB409" s="10">
        <v>0</v>
      </c>
    </row>
    <row r="410" spans="1:28" hidden="1">
      <c r="A410" s="100">
        <v>30183</v>
      </c>
      <c r="B410" s="10">
        <v>1</v>
      </c>
      <c r="C410" s="63">
        <v>46147</v>
      </c>
      <c r="D410" s="91">
        <f t="shared" ca="1" si="19"/>
        <v>80</v>
      </c>
      <c r="E410" s="138" t="str">
        <f t="shared" si="18"/>
        <v>ADMITIDO</v>
      </c>
      <c r="F410" s="19" t="s">
        <v>28</v>
      </c>
      <c r="G410" s="34" t="s">
        <v>145</v>
      </c>
      <c r="H410" s="117" t="s">
        <v>40</v>
      </c>
      <c r="I410" s="19" t="str">
        <f>IF(W410="ADMITIDO","ADMITIDO",IF(W410="CANCELADA","CANCELADA",IF(H410="","",IFERROR(_xlfn.XLOOKUP(H410,Listas!I:I,Listas!J:J),"OUTROS"))))</f>
        <v>ADMITIDO</v>
      </c>
      <c r="J410" s="12" t="s">
        <v>1150</v>
      </c>
      <c r="K410" s="12" t="s">
        <v>103</v>
      </c>
      <c r="L410" s="12" t="s">
        <v>194</v>
      </c>
      <c r="M410" s="12" t="s">
        <v>63</v>
      </c>
      <c r="N410" s="11" t="s">
        <v>34</v>
      </c>
      <c r="O410" s="11" t="s">
        <v>210</v>
      </c>
      <c r="P410" s="11" t="s">
        <v>1153</v>
      </c>
      <c r="Q410" s="108" t="s">
        <v>566</v>
      </c>
      <c r="R410" s="24"/>
      <c r="S410" s="18"/>
      <c r="T410" s="11" t="s">
        <v>132</v>
      </c>
      <c r="U410" s="202">
        <v>46148</v>
      </c>
      <c r="V410" s="42" t="s">
        <v>1154</v>
      </c>
      <c r="W410" s="19" t="s">
        <v>40</v>
      </c>
      <c r="X410" s="43">
        <v>46150</v>
      </c>
      <c r="Y410" s="14">
        <v>46153</v>
      </c>
      <c r="Z410" s="10">
        <v>914245</v>
      </c>
      <c r="AB410" s="10">
        <v>0</v>
      </c>
    </row>
    <row r="411" spans="1:28" hidden="1">
      <c r="A411" s="100">
        <v>30209</v>
      </c>
      <c r="B411" s="10">
        <v>1</v>
      </c>
      <c r="C411" s="63">
        <v>46147</v>
      </c>
      <c r="D411" s="91">
        <f t="shared" ca="1" si="19"/>
        <v>80</v>
      </c>
      <c r="E411" s="138" t="str">
        <f t="shared" ca="1" si="18"/>
        <v>CRÍTICO</v>
      </c>
      <c r="F411" s="19" t="s">
        <v>42</v>
      </c>
      <c r="G411" s="34" t="s">
        <v>145</v>
      </c>
      <c r="H411" s="19" t="s">
        <v>91</v>
      </c>
      <c r="I411" s="19" t="str">
        <f>IF(W411="ADMITIDO","ADMITIDO",IF(W411="CANCELADA","CANCELADA",IF(H411="","",IFERROR(_xlfn.XLOOKUP(H411,Listas!I:I,Listas!J:J),"OUTROS"))))</f>
        <v>TRIAGEM</v>
      </c>
      <c r="J411" s="12" t="s">
        <v>53</v>
      </c>
      <c r="K411" s="12" t="s">
        <v>103</v>
      </c>
      <c r="L411" s="12" t="s">
        <v>194</v>
      </c>
      <c r="M411" s="12" t="s">
        <v>63</v>
      </c>
      <c r="N411" s="11" t="s">
        <v>34</v>
      </c>
      <c r="O411" s="11" t="s">
        <v>219</v>
      </c>
      <c r="P411" s="11" t="s">
        <v>238</v>
      </c>
      <c r="Q411" s="108"/>
      <c r="R411" s="24"/>
      <c r="S411" s="18"/>
      <c r="W411" s="56"/>
      <c r="AB411" s="10">
        <v>0</v>
      </c>
    </row>
    <row r="412" spans="1:28">
      <c r="A412" s="100">
        <v>30215</v>
      </c>
      <c r="B412" s="10">
        <v>1</v>
      </c>
      <c r="C412" s="63">
        <v>46147</v>
      </c>
      <c r="D412" s="91">
        <f t="shared" ca="1" si="19"/>
        <v>80</v>
      </c>
      <c r="E412" s="138" t="str">
        <f t="shared" ca="1" si="18"/>
        <v>CRÍTICO</v>
      </c>
      <c r="F412" s="19" t="s">
        <v>28</v>
      </c>
      <c r="G412" s="34" t="s">
        <v>29</v>
      </c>
      <c r="H412" s="19" t="s">
        <v>181</v>
      </c>
      <c r="I412" s="19" t="str">
        <f>IF(W412="ADMITIDO","ADMITIDO",IF(W412="CANCELADA","CANCELADA",IF(H412="","",IFERROR(_xlfn.XLOOKUP(H412,Listas!I:I,Listas!J:J),"OUTROS"))))</f>
        <v>DOCUMENTAÇÃO</v>
      </c>
      <c r="J412" s="12" t="s">
        <v>586</v>
      </c>
      <c r="K412" s="12" t="s">
        <v>86</v>
      </c>
      <c r="L412" s="12" t="s">
        <v>741</v>
      </c>
      <c r="M412" s="12" t="s">
        <v>88</v>
      </c>
      <c r="N412" s="11" t="s">
        <v>34</v>
      </c>
      <c r="O412" s="11" t="s">
        <v>35</v>
      </c>
      <c r="P412" s="11" t="s">
        <v>287</v>
      </c>
      <c r="Q412" s="108"/>
      <c r="R412" s="24"/>
      <c r="S412" s="18" t="s">
        <v>1155</v>
      </c>
      <c r="T412" s="11" t="s">
        <v>38</v>
      </c>
      <c r="U412" s="202">
        <v>46156</v>
      </c>
      <c r="V412" s="41" t="s">
        <v>1156</v>
      </c>
      <c r="W412" s="44" t="s">
        <v>810</v>
      </c>
      <c r="AB412" s="10">
        <v>0</v>
      </c>
    </row>
    <row r="413" spans="1:28" hidden="1">
      <c r="A413" s="100">
        <v>30219</v>
      </c>
      <c r="B413" s="10">
        <v>1</v>
      </c>
      <c r="C413" s="63">
        <v>46148</v>
      </c>
      <c r="D413" s="91">
        <f t="shared" ref="D413:D427" ca="1" si="20">TODAY()-C413</f>
        <v>79</v>
      </c>
      <c r="E413" s="138" t="str">
        <f t="shared" si="18"/>
        <v>ADMITIDO</v>
      </c>
      <c r="F413" s="19" t="s">
        <v>28</v>
      </c>
      <c r="G413" s="117" t="s">
        <v>60</v>
      </c>
      <c r="H413" s="117" t="s">
        <v>40</v>
      </c>
      <c r="I413" s="19" t="str">
        <f>IF(W413="ADMITIDO","ADMITIDO",IF(W413="CANCELADA","CANCELADA",IF(H413="","",IFERROR(_xlfn.XLOOKUP(H413,Listas!I:I,Listas!J:J),"OUTROS"))))</f>
        <v>ADMITIDO</v>
      </c>
      <c r="J413" s="12" t="s">
        <v>268</v>
      </c>
      <c r="K413" s="12" t="s">
        <v>330</v>
      </c>
      <c r="L413" s="12" t="s">
        <v>1157</v>
      </c>
      <c r="M413" s="12" t="s">
        <v>63</v>
      </c>
      <c r="N413" s="11" t="s">
        <v>34</v>
      </c>
      <c r="O413" s="11" t="s">
        <v>48</v>
      </c>
      <c r="P413" s="11" t="s">
        <v>1158</v>
      </c>
      <c r="Q413" s="108"/>
      <c r="R413" s="24"/>
      <c r="S413" s="18"/>
      <c r="T413" s="11" t="s">
        <v>76</v>
      </c>
      <c r="U413" s="202">
        <v>46149</v>
      </c>
      <c r="V413" s="42" t="s">
        <v>1159</v>
      </c>
      <c r="W413" s="59" t="s">
        <v>40</v>
      </c>
      <c r="X413" s="43">
        <v>46153</v>
      </c>
      <c r="Y413" s="14">
        <v>46155</v>
      </c>
      <c r="Z413" s="10">
        <v>914261</v>
      </c>
      <c r="AA413" s="149" t="s">
        <v>1160</v>
      </c>
      <c r="AB413" s="10">
        <v>0</v>
      </c>
    </row>
    <row r="414" spans="1:28" hidden="1">
      <c r="A414" s="100">
        <v>30236</v>
      </c>
      <c r="B414" s="10">
        <v>1</v>
      </c>
      <c r="C414" s="63">
        <v>46148</v>
      </c>
      <c r="D414" s="91">
        <f t="shared" ca="1" si="20"/>
        <v>79</v>
      </c>
      <c r="E414" s="138" t="str">
        <f t="shared" ca="1" si="18"/>
        <v>CRÍTICO</v>
      </c>
      <c r="F414" s="19" t="s">
        <v>28</v>
      </c>
      <c r="G414" s="34" t="s">
        <v>43</v>
      </c>
      <c r="H414" s="19" t="s">
        <v>181</v>
      </c>
      <c r="I414" s="19" t="str">
        <f>IF(W414="ADMITIDO","ADMITIDO",IF(W414="CANCELADA","CANCELADA",IF(H414="","",IFERROR(_xlfn.XLOOKUP(H414,Listas!I:I,Listas!J:J),"OUTROS"))))</f>
        <v>DOCUMENTAÇÃO</v>
      </c>
      <c r="J414" s="12" t="s">
        <v>487</v>
      </c>
      <c r="K414" s="12" t="s">
        <v>189</v>
      </c>
      <c r="L414" s="12" t="s">
        <v>869</v>
      </c>
      <c r="M414" s="12" t="s">
        <v>337</v>
      </c>
      <c r="N414" s="11" t="s">
        <v>34</v>
      </c>
      <c r="O414" s="11" t="s">
        <v>35</v>
      </c>
      <c r="P414" s="11" t="s">
        <v>362</v>
      </c>
      <c r="Q414" s="108"/>
      <c r="R414" s="24" t="s">
        <v>1161</v>
      </c>
      <c r="S414" s="18">
        <v>21982787116</v>
      </c>
      <c r="T414" s="11" t="s">
        <v>67</v>
      </c>
      <c r="U414" s="202">
        <v>46156</v>
      </c>
      <c r="V414" s="41" t="s">
        <v>1162</v>
      </c>
      <c r="W414" s="56" t="s">
        <v>284</v>
      </c>
      <c r="AA414" s="149" t="s">
        <v>1163</v>
      </c>
      <c r="AB414" s="10">
        <v>0</v>
      </c>
    </row>
    <row r="415" spans="1:28">
      <c r="A415" s="100">
        <v>30231</v>
      </c>
      <c r="B415" s="10">
        <v>1</v>
      </c>
      <c r="C415" s="63">
        <v>46148</v>
      </c>
      <c r="D415" s="91">
        <f t="shared" ca="1" si="20"/>
        <v>79</v>
      </c>
      <c r="E415" s="138" t="str">
        <f t="shared" ca="1" si="18"/>
        <v>CRÍTICO</v>
      </c>
      <c r="F415" s="19" t="s">
        <v>171</v>
      </c>
      <c r="G415" s="34" t="s">
        <v>663</v>
      </c>
      <c r="H415" s="19" t="s">
        <v>181</v>
      </c>
      <c r="I415" s="19" t="str">
        <f>IF(W415="ADMITIDO","ADMITIDO",IF(W415="CANCELADA","CANCELADA",IF(H415="","",IFERROR(_xlfn.XLOOKUP(H415,Listas!I:I,Listas!J:J),"OUTROS"))))</f>
        <v>DOCUMENTAÇÃO</v>
      </c>
      <c r="J415" s="12" t="s">
        <v>172</v>
      </c>
      <c r="K415" s="12" t="s">
        <v>31</v>
      </c>
      <c r="L415" s="12" t="s">
        <v>32</v>
      </c>
      <c r="M415" s="12" t="s">
        <v>88</v>
      </c>
      <c r="N415" s="11" t="s">
        <v>34</v>
      </c>
      <c r="O415" s="11" t="s">
        <v>35</v>
      </c>
      <c r="P415" s="11" t="s">
        <v>36</v>
      </c>
      <c r="Q415" s="108"/>
      <c r="R415" s="24"/>
      <c r="S415" s="18" t="s">
        <v>1164</v>
      </c>
      <c r="T415" s="11" t="s">
        <v>38</v>
      </c>
      <c r="U415" s="202">
        <v>46156</v>
      </c>
      <c r="V415" s="41" t="s">
        <v>1165</v>
      </c>
      <c r="W415" s="44" t="s">
        <v>188</v>
      </c>
      <c r="X415" s="14">
        <v>46160</v>
      </c>
      <c r="Y415" s="14">
        <v>46160</v>
      </c>
      <c r="Z415" s="10">
        <v>83296</v>
      </c>
      <c r="AA415" s="45"/>
      <c r="AB415" s="10">
        <v>0</v>
      </c>
    </row>
    <row r="416" spans="1:28" ht="30" hidden="1">
      <c r="A416" s="100">
        <v>30180</v>
      </c>
      <c r="B416" s="10">
        <v>1</v>
      </c>
      <c r="C416" s="63">
        <v>46146</v>
      </c>
      <c r="D416" s="91">
        <f ca="1">TODAY()-C416</f>
        <v>81</v>
      </c>
      <c r="E416" s="138" t="str">
        <f t="shared" si="18"/>
        <v>ADMITIDO</v>
      </c>
      <c r="F416" s="19" t="s">
        <v>42</v>
      </c>
      <c r="G416" s="19" t="s">
        <v>240</v>
      </c>
      <c r="H416" s="19" t="s">
        <v>40</v>
      </c>
      <c r="I416" s="19" t="str">
        <f>IF(W416="ADMITIDO","ADMITIDO",IF(W416="CANCELADA","CANCELADA",IF(H416="","",IFERROR(_xlfn.XLOOKUP(H416,Listas!I:I,Listas!J:J),"OUTROS"))))</f>
        <v>ADMITIDO</v>
      </c>
      <c r="J416" s="12" t="s">
        <v>53</v>
      </c>
      <c r="K416" s="11" t="s">
        <v>241</v>
      </c>
      <c r="L416" s="11" t="s">
        <v>1094</v>
      </c>
      <c r="M416" s="11" t="s">
        <v>243</v>
      </c>
      <c r="N416" s="11" t="s">
        <v>34</v>
      </c>
      <c r="O416" s="11" t="s">
        <v>57</v>
      </c>
      <c r="P416" s="11" t="s">
        <v>231</v>
      </c>
      <c r="Q416" s="108"/>
      <c r="S416" s="18" t="s">
        <v>1166</v>
      </c>
      <c r="T416" s="11" t="s">
        <v>132</v>
      </c>
      <c r="U416" s="202">
        <v>46153</v>
      </c>
      <c r="V416" s="42" t="s">
        <v>1167</v>
      </c>
      <c r="W416" s="59" t="s">
        <v>40</v>
      </c>
      <c r="X416" s="43">
        <v>46155</v>
      </c>
      <c r="Y416" s="14">
        <v>46160</v>
      </c>
      <c r="Z416" s="15">
        <v>145960</v>
      </c>
      <c r="AA416" s="45"/>
      <c r="AB416" s="10">
        <v>0</v>
      </c>
    </row>
    <row r="417" spans="1:28" hidden="1">
      <c r="A417" s="100">
        <v>30229</v>
      </c>
      <c r="B417" s="10">
        <v>1</v>
      </c>
      <c r="C417" s="63">
        <v>46148</v>
      </c>
      <c r="D417" s="91">
        <f t="shared" ca="1" si="20"/>
        <v>79</v>
      </c>
      <c r="E417" s="138" t="str">
        <f t="shared" ca="1" si="18"/>
        <v>CRÍTICO</v>
      </c>
      <c r="F417" s="19" t="s">
        <v>171</v>
      </c>
      <c r="G417" s="34" t="s">
        <v>145</v>
      </c>
      <c r="H417" s="19" t="s">
        <v>91</v>
      </c>
      <c r="I417" s="19" t="str">
        <f>IF(W417="ADMITIDO","ADMITIDO",IF(W417="CANCELADA","CANCELADA",IF(H417="","",IFERROR(_xlfn.XLOOKUP(H417,Listas!I:I,Listas!J:J),"OUTROS"))))</f>
        <v>TRIAGEM</v>
      </c>
      <c r="J417" s="12" t="s">
        <v>514</v>
      </c>
      <c r="K417" s="12" t="s">
        <v>423</v>
      </c>
      <c r="L417" s="12" t="s">
        <v>307</v>
      </c>
      <c r="M417" s="12" t="s">
        <v>243</v>
      </c>
      <c r="N417" s="11" t="s">
        <v>34</v>
      </c>
      <c r="O417" s="11" t="s">
        <v>35</v>
      </c>
      <c r="P417" s="11" t="s">
        <v>36</v>
      </c>
      <c r="Q417" s="108"/>
      <c r="R417" s="24" t="s">
        <v>145</v>
      </c>
      <c r="S417" s="18"/>
      <c r="W417" s="173"/>
      <c r="AB417" s="10">
        <v>1</v>
      </c>
    </row>
    <row r="418" spans="1:28" hidden="1">
      <c r="A418" s="101">
        <v>30235</v>
      </c>
      <c r="B418" s="10">
        <v>1</v>
      </c>
      <c r="C418" s="63">
        <v>46148</v>
      </c>
      <c r="D418" s="91">
        <f t="shared" ca="1" si="20"/>
        <v>79</v>
      </c>
      <c r="E418" s="138" t="str">
        <f t="shared" si="18"/>
        <v>ADMITIDO</v>
      </c>
      <c r="F418" s="19" t="s">
        <v>42</v>
      </c>
      <c r="G418" s="34" t="s">
        <v>240</v>
      </c>
      <c r="H418" s="117" t="s">
        <v>40</v>
      </c>
      <c r="I418" s="19" t="str">
        <f>IF(W418="ADMITIDO","ADMITIDO",IF(W418="CANCELADA","CANCELADA",IF(H418="","",IFERROR(_xlfn.XLOOKUP(H418,Listas!I:I,Listas!J:J),"OUTROS"))))</f>
        <v>ADMITIDO</v>
      </c>
      <c r="J418" s="12" t="s">
        <v>44</v>
      </c>
      <c r="K418" s="12" t="s">
        <v>241</v>
      </c>
      <c r="L418" s="12" t="s">
        <v>424</v>
      </c>
      <c r="M418" s="12" t="s">
        <v>243</v>
      </c>
      <c r="N418" s="11" t="s">
        <v>34</v>
      </c>
      <c r="O418" s="11" t="s">
        <v>57</v>
      </c>
      <c r="P418" s="11" t="s">
        <v>98</v>
      </c>
      <c r="Q418" s="108"/>
      <c r="R418" s="24"/>
      <c r="S418" s="18"/>
      <c r="T418" s="11" t="s">
        <v>76</v>
      </c>
      <c r="U418" s="202">
        <v>46208</v>
      </c>
      <c r="V418" s="42" t="s">
        <v>1168</v>
      </c>
      <c r="W418" s="19" t="s">
        <v>40</v>
      </c>
      <c r="X418" s="43">
        <v>46153</v>
      </c>
      <c r="Y418" s="14">
        <v>46154</v>
      </c>
      <c r="Z418" s="10">
        <v>914262</v>
      </c>
      <c r="AB418" s="10">
        <v>0</v>
      </c>
    </row>
    <row r="419" spans="1:28" hidden="1">
      <c r="A419" s="100">
        <v>30218</v>
      </c>
      <c r="B419" s="10">
        <v>1</v>
      </c>
      <c r="C419" s="63">
        <v>46148</v>
      </c>
      <c r="D419" s="91">
        <f t="shared" ca="1" si="20"/>
        <v>79</v>
      </c>
      <c r="E419" s="138" t="str">
        <f t="shared" ca="1" si="18"/>
        <v>CRÍTICO</v>
      </c>
      <c r="F419" s="19" t="s">
        <v>28</v>
      </c>
      <c r="G419" s="117" t="s">
        <v>60</v>
      </c>
      <c r="H419" s="19" t="s">
        <v>91</v>
      </c>
      <c r="I419" s="19" t="str">
        <f>IF(W419="ADMITIDO","ADMITIDO",IF(W419="CANCELADA","CANCELADA",IF(H419="","",IFERROR(_xlfn.XLOOKUP(H419,Listas!I:I,Listas!J:J),"OUTROS"))))</f>
        <v>TRIAGEM</v>
      </c>
      <c r="J419" s="12" t="s">
        <v>268</v>
      </c>
      <c r="K419" s="12" t="s">
        <v>330</v>
      </c>
      <c r="L419" s="12" t="s">
        <v>1017</v>
      </c>
      <c r="M419" s="12" t="s">
        <v>435</v>
      </c>
      <c r="N419" s="11" t="s">
        <v>34</v>
      </c>
      <c r="O419" s="11" t="s">
        <v>35</v>
      </c>
      <c r="P419" s="11" t="s">
        <v>362</v>
      </c>
      <c r="Q419" s="108"/>
      <c r="R419" s="24"/>
      <c r="S419" s="18"/>
      <c r="W419" s="56"/>
      <c r="AA419" s="149" t="s">
        <v>1169</v>
      </c>
      <c r="AB419" s="10">
        <v>0</v>
      </c>
    </row>
    <row r="420" spans="1:28">
      <c r="A420" s="100">
        <v>30233</v>
      </c>
      <c r="B420" s="10">
        <v>1</v>
      </c>
      <c r="C420" s="63">
        <v>46148</v>
      </c>
      <c r="D420" s="91">
        <f t="shared" ca="1" si="20"/>
        <v>79</v>
      </c>
      <c r="E420" s="138" t="str">
        <f t="shared" ca="1" si="18"/>
        <v>CRÍTICO</v>
      </c>
      <c r="F420" s="19" t="s">
        <v>42</v>
      </c>
      <c r="G420" s="34" t="s">
        <v>29</v>
      </c>
      <c r="H420" s="19" t="s">
        <v>181</v>
      </c>
      <c r="I420" s="19" t="str">
        <f>IF(W420="ADMITIDO","ADMITIDO",IF(W420="CANCELADA","CANCELADA",IF(H420="","",IFERROR(_xlfn.XLOOKUP(H420,Listas!I:I,Listas!J:J),"OUTROS"))))</f>
        <v>DOCUMENTAÇÃO</v>
      </c>
      <c r="J420" s="12" t="s">
        <v>53</v>
      </c>
      <c r="K420" s="12" t="s">
        <v>228</v>
      </c>
      <c r="L420" s="12" t="s">
        <v>807</v>
      </c>
      <c r="M420" s="12" t="s">
        <v>88</v>
      </c>
      <c r="N420" s="11" t="s">
        <v>34</v>
      </c>
      <c r="O420" s="11" t="s">
        <v>210</v>
      </c>
      <c r="P420" s="11" t="s">
        <v>1170</v>
      </c>
      <c r="Q420" s="108"/>
      <c r="R420" s="24"/>
      <c r="S420" s="18" t="s">
        <v>1171</v>
      </c>
      <c r="T420" s="11" t="s">
        <v>38</v>
      </c>
      <c r="U420" s="202">
        <v>46155</v>
      </c>
      <c r="V420" s="41" t="s">
        <v>1172</v>
      </c>
      <c r="W420" s="23" t="s">
        <v>810</v>
      </c>
      <c r="AB420" s="10">
        <v>0</v>
      </c>
    </row>
    <row r="421" spans="1:28" hidden="1">
      <c r="A421" s="100">
        <v>30234</v>
      </c>
      <c r="B421" s="10">
        <v>1</v>
      </c>
      <c r="C421" s="63">
        <v>46148</v>
      </c>
      <c r="D421" s="91">
        <f t="shared" ca="1" si="20"/>
        <v>79</v>
      </c>
      <c r="E421" s="138" t="str">
        <f t="shared" ca="1" si="18"/>
        <v>CRÍTICO</v>
      </c>
      <c r="F421" s="19" t="s">
        <v>42</v>
      </c>
      <c r="G421" s="34" t="s">
        <v>102</v>
      </c>
      <c r="H421" s="19" t="s">
        <v>181</v>
      </c>
      <c r="I421" s="19" t="str">
        <f>IF(W421="ADMITIDO","ADMITIDO",IF(W421="CANCELADA","CANCELADA",IF(H421="","",IFERROR(_xlfn.XLOOKUP(H421,Listas!I:I,Listas!J:J),"OUTROS"))))</f>
        <v>DOCUMENTAÇÃO</v>
      </c>
      <c r="J421" s="12" t="s">
        <v>1049</v>
      </c>
      <c r="K421" s="12" t="s">
        <v>103</v>
      </c>
      <c r="L421" s="12" t="s">
        <v>1173</v>
      </c>
      <c r="M421" s="12" t="s">
        <v>1174</v>
      </c>
      <c r="N421" s="11" t="s">
        <v>34</v>
      </c>
      <c r="O421" s="11" t="s">
        <v>57</v>
      </c>
      <c r="P421" s="11" t="s">
        <v>1175</v>
      </c>
      <c r="Q421" s="108" t="s">
        <v>1176</v>
      </c>
      <c r="R421" s="24"/>
      <c r="S421" s="18"/>
      <c r="T421" s="11" t="s">
        <v>132</v>
      </c>
      <c r="U421" s="202">
        <v>46149</v>
      </c>
      <c r="V421" s="41" t="s">
        <v>1177</v>
      </c>
      <c r="W421" s="59" t="s">
        <v>810</v>
      </c>
      <c r="AB421" s="10">
        <v>0</v>
      </c>
    </row>
    <row r="422" spans="1:28" hidden="1">
      <c r="A422" s="100">
        <v>30230</v>
      </c>
      <c r="B422" s="10">
        <v>1</v>
      </c>
      <c r="C422" s="63">
        <v>46148</v>
      </c>
      <c r="D422" s="91">
        <f t="shared" ca="1" si="20"/>
        <v>79</v>
      </c>
      <c r="E422" s="138" t="str">
        <f t="shared" ca="1" si="18"/>
        <v>CRÍTICO</v>
      </c>
      <c r="F422" s="19" t="s">
        <v>171</v>
      </c>
      <c r="G422" s="34" t="s">
        <v>145</v>
      </c>
      <c r="H422" s="19" t="s">
        <v>181</v>
      </c>
      <c r="I422" s="19" t="str">
        <f>IF(W422="ADMITIDO","ADMITIDO",IF(W422="CANCELADA","CANCELADA",IF(H422="","",IFERROR(_xlfn.XLOOKUP(H422,Listas!I:I,Listas!J:J),"OUTROS"))))</f>
        <v>DOCUMENTAÇÃO</v>
      </c>
      <c r="J422" s="12" t="s">
        <v>787</v>
      </c>
      <c r="K422" s="12" t="s">
        <v>371</v>
      </c>
      <c r="L422" s="12" t="s">
        <v>895</v>
      </c>
      <c r="M422" s="12" t="s">
        <v>391</v>
      </c>
      <c r="N422" s="11" t="s">
        <v>34</v>
      </c>
      <c r="O422" s="11" t="s">
        <v>35</v>
      </c>
      <c r="P422" s="11" t="s">
        <v>362</v>
      </c>
      <c r="Q422" s="108"/>
      <c r="R422" s="24" t="s">
        <v>373</v>
      </c>
      <c r="S422" s="18"/>
      <c r="T422" s="11" t="s">
        <v>132</v>
      </c>
      <c r="U422" s="211">
        <v>46156</v>
      </c>
      <c r="V422" s="49" t="s">
        <v>1178</v>
      </c>
      <c r="W422" s="44" t="s">
        <v>188</v>
      </c>
      <c r="X422" s="14">
        <v>46160</v>
      </c>
      <c r="Y422" s="14">
        <v>46162</v>
      </c>
      <c r="Z422" s="10">
        <v>83297</v>
      </c>
      <c r="AB422" s="10">
        <v>0</v>
      </c>
    </row>
    <row r="423" spans="1:28" hidden="1">
      <c r="A423" s="603">
        <v>30144</v>
      </c>
      <c r="B423" s="10">
        <v>1</v>
      </c>
      <c r="C423" s="63">
        <v>46148</v>
      </c>
      <c r="D423" s="91">
        <f t="shared" ca="1" si="20"/>
        <v>79</v>
      </c>
      <c r="E423" s="138" t="str">
        <f t="shared" si="18"/>
        <v>ADMITIDO</v>
      </c>
      <c r="F423" s="19" t="s">
        <v>171</v>
      </c>
      <c r="G423" s="34" t="s">
        <v>145</v>
      </c>
      <c r="H423" s="117" t="s">
        <v>40</v>
      </c>
      <c r="I423" s="19" t="str">
        <f>IF(W423="ADMITIDO","ADMITIDO",IF(W423="CANCELADA","CANCELADA",IF(H423="","",IFERROR(_xlfn.XLOOKUP(H423,Listas!I:I,Listas!J:J),"OUTROS"))))</f>
        <v>ADMITIDO</v>
      </c>
      <c r="J423" s="12" t="s">
        <v>514</v>
      </c>
      <c r="K423" s="12" t="s">
        <v>326</v>
      </c>
      <c r="L423" s="12" t="s">
        <v>255</v>
      </c>
      <c r="M423" s="12" t="s">
        <v>63</v>
      </c>
      <c r="N423" s="11" t="s">
        <v>56</v>
      </c>
      <c r="O423" s="11" t="s">
        <v>1179</v>
      </c>
      <c r="P423" s="11" t="s">
        <v>176</v>
      </c>
      <c r="Q423" s="108"/>
      <c r="R423" s="24"/>
      <c r="S423" s="18"/>
      <c r="T423" s="35" t="s">
        <v>132</v>
      </c>
      <c r="U423" s="202">
        <v>46154</v>
      </c>
      <c r="V423" s="42" t="s">
        <v>1180</v>
      </c>
      <c r="W423" s="59" t="s">
        <v>40</v>
      </c>
      <c r="X423" s="43">
        <v>46156</v>
      </c>
      <c r="Y423" s="14">
        <v>46157</v>
      </c>
      <c r="Z423" s="10">
        <v>83292</v>
      </c>
      <c r="AB423" s="10">
        <v>0</v>
      </c>
    </row>
    <row r="424" spans="1:28" hidden="1">
      <c r="A424" s="604"/>
      <c r="B424" s="10">
        <v>1</v>
      </c>
      <c r="C424" s="63">
        <v>46148</v>
      </c>
      <c r="D424" s="91">
        <f t="shared" ca="1" si="20"/>
        <v>79</v>
      </c>
      <c r="E424" s="138" t="str">
        <f t="shared" si="18"/>
        <v>ADMITIDO</v>
      </c>
      <c r="F424" s="19" t="s">
        <v>171</v>
      </c>
      <c r="G424" s="34"/>
      <c r="H424" s="19" t="s">
        <v>40</v>
      </c>
      <c r="I424" s="19" t="str">
        <f>IF(W424="ADMITIDO","ADMITIDO",IF(W424="CANCELADA","CANCELADA",IF(H424="","",IFERROR(_xlfn.XLOOKUP(H424,Listas!I:I,Listas!J:J),"OUTROS"))))</f>
        <v>ADMITIDO</v>
      </c>
      <c r="J424" s="12" t="s">
        <v>514</v>
      </c>
      <c r="K424" s="12" t="s">
        <v>326</v>
      </c>
      <c r="L424" s="12" t="s">
        <v>255</v>
      </c>
      <c r="M424" s="12" t="s">
        <v>63</v>
      </c>
      <c r="N424" s="11" t="s">
        <v>56</v>
      </c>
      <c r="O424" s="11" t="s">
        <v>35</v>
      </c>
      <c r="P424" s="11" t="s">
        <v>176</v>
      </c>
      <c r="Q424" s="108" t="s">
        <v>1181</v>
      </c>
      <c r="R424" s="24"/>
      <c r="S424" s="18"/>
      <c r="T424" s="11" t="s">
        <v>76</v>
      </c>
      <c r="U424" s="212">
        <v>46154</v>
      </c>
      <c r="V424" s="179" t="s">
        <v>1182</v>
      </c>
      <c r="W424" s="59" t="s">
        <v>40</v>
      </c>
      <c r="X424" s="43">
        <v>46157</v>
      </c>
      <c r="Y424" s="14">
        <v>46160</v>
      </c>
      <c r="Z424" s="10">
        <v>83293</v>
      </c>
      <c r="AA424" s="45"/>
      <c r="AB424" s="10">
        <v>0</v>
      </c>
    </row>
    <row r="425" spans="1:28" hidden="1">
      <c r="A425" s="100">
        <v>30227</v>
      </c>
      <c r="B425" s="10">
        <v>1</v>
      </c>
      <c r="C425" s="63">
        <v>46148</v>
      </c>
      <c r="D425" s="91">
        <f t="shared" ca="1" si="20"/>
        <v>79</v>
      </c>
      <c r="E425" s="138" t="str">
        <f t="shared" si="18"/>
        <v>CANCELADA</v>
      </c>
      <c r="F425" s="19" t="s">
        <v>42</v>
      </c>
      <c r="G425" s="34" t="s">
        <v>552</v>
      </c>
      <c r="H425" s="117" t="s">
        <v>52</v>
      </c>
      <c r="I425" s="19" t="str">
        <f>IF(W425="ADMITIDO","ADMITIDO",IF(W425="CANCELADA","CANCELADA",IF(H425="","",IFERROR(_xlfn.XLOOKUP(H425,Listas!I:I,Listas!J:J),"OUTROS"))))</f>
        <v>CANCELADA</v>
      </c>
      <c r="J425" s="12" t="s">
        <v>1183</v>
      </c>
      <c r="K425" s="12" t="s">
        <v>553</v>
      </c>
      <c r="L425" s="12" t="s">
        <v>1184</v>
      </c>
      <c r="M425" s="12" t="s">
        <v>1029</v>
      </c>
      <c r="N425" s="11" t="s">
        <v>34</v>
      </c>
      <c r="O425" s="11" t="s">
        <v>48</v>
      </c>
      <c r="P425" s="11" t="s">
        <v>131</v>
      </c>
      <c r="Q425" s="108"/>
      <c r="R425" s="24"/>
      <c r="S425" s="18"/>
      <c r="W425" s="189" t="s">
        <v>52</v>
      </c>
      <c r="AB425" s="10">
        <v>0</v>
      </c>
    </row>
    <row r="426" spans="1:28" hidden="1">
      <c r="A426" s="100">
        <v>30225</v>
      </c>
      <c r="B426" s="10">
        <v>1</v>
      </c>
      <c r="C426" s="63">
        <v>46148</v>
      </c>
      <c r="D426" s="91">
        <f t="shared" ca="1" si="20"/>
        <v>79</v>
      </c>
      <c r="E426" s="138" t="str">
        <f t="shared" si="18"/>
        <v>ADMITIDO</v>
      </c>
      <c r="F426" s="19" t="s">
        <v>28</v>
      </c>
      <c r="G426" s="34" t="s">
        <v>552</v>
      </c>
      <c r="H426" s="117" t="s">
        <v>40</v>
      </c>
      <c r="I426" s="19" t="str">
        <f>IF(W426="ADMITIDO","ADMITIDO",IF(W426="CANCELADA","CANCELADA",IF(H426="","",IFERROR(_xlfn.XLOOKUP(H426,Listas!I:I,Listas!J:J),"OUTROS"))))</f>
        <v>ADMITIDO</v>
      </c>
      <c r="J426" s="12" t="s">
        <v>737</v>
      </c>
      <c r="K426" s="12" t="s">
        <v>553</v>
      </c>
      <c r="L426" s="12" t="s">
        <v>1185</v>
      </c>
      <c r="M426" s="12" t="s">
        <v>1186</v>
      </c>
      <c r="N426" s="11" t="s">
        <v>34</v>
      </c>
      <c r="O426" s="11" t="s">
        <v>35</v>
      </c>
      <c r="P426" s="11" t="s">
        <v>36</v>
      </c>
      <c r="Q426" s="108"/>
      <c r="R426" s="24"/>
      <c r="S426" s="18"/>
      <c r="T426" s="11" t="s">
        <v>949</v>
      </c>
      <c r="U426" s="202">
        <v>46147</v>
      </c>
      <c r="V426" s="42" t="s">
        <v>1187</v>
      </c>
      <c r="W426" s="59" t="s">
        <v>40</v>
      </c>
      <c r="X426" s="43">
        <v>46149</v>
      </c>
      <c r="Y426" s="14">
        <v>46150</v>
      </c>
      <c r="Z426" s="10">
        <v>914241</v>
      </c>
      <c r="AB426" s="10">
        <v>0</v>
      </c>
    </row>
    <row r="427" spans="1:28" hidden="1">
      <c r="A427" s="100">
        <v>30232</v>
      </c>
      <c r="B427" s="10">
        <v>1</v>
      </c>
      <c r="C427" s="63">
        <v>46148</v>
      </c>
      <c r="D427" s="91">
        <f t="shared" ca="1" si="20"/>
        <v>79</v>
      </c>
      <c r="E427" s="138" t="str">
        <f t="shared" ca="1" si="18"/>
        <v>CRÍTICO</v>
      </c>
      <c r="F427" s="19" t="s">
        <v>28</v>
      </c>
      <c r="G427" s="34" t="s">
        <v>69</v>
      </c>
      <c r="H427" s="19" t="s">
        <v>181</v>
      </c>
      <c r="I427" s="19" t="str">
        <f>IF(W427="ADMITIDO","ADMITIDO",IF(W427="CANCELADA","CANCELADA",IF(H427="","",IFERROR(_xlfn.XLOOKUP(H427,Listas!I:I,Listas!J:J),"OUTROS"))))</f>
        <v>DOCUMENTAÇÃO</v>
      </c>
      <c r="J427" s="12" t="s">
        <v>683</v>
      </c>
      <c r="K427" s="12" t="s">
        <v>173</v>
      </c>
      <c r="L427" s="12" t="s">
        <v>912</v>
      </c>
      <c r="M427" s="12" t="s">
        <v>243</v>
      </c>
      <c r="N427" s="11" t="s">
        <v>56</v>
      </c>
      <c r="O427" s="11" t="s">
        <v>35</v>
      </c>
      <c r="P427" s="11" t="s">
        <v>357</v>
      </c>
      <c r="Q427" s="108"/>
      <c r="R427" s="24"/>
      <c r="S427" s="18"/>
      <c r="T427" s="11" t="s">
        <v>76</v>
      </c>
      <c r="U427" s="202">
        <v>46156</v>
      </c>
      <c r="V427" s="41" t="s">
        <v>1188</v>
      </c>
      <c r="W427" s="56" t="s">
        <v>284</v>
      </c>
      <c r="AB427" s="10">
        <v>0</v>
      </c>
    </row>
    <row r="428" spans="1:28" hidden="1">
      <c r="A428" s="100">
        <v>30220</v>
      </c>
      <c r="B428" s="10">
        <v>1</v>
      </c>
      <c r="C428" s="201">
        <v>46149</v>
      </c>
      <c r="D428" s="105">
        <f t="shared" ref="D428:D440" ca="1" si="21">TODAY()-C428</f>
        <v>78</v>
      </c>
      <c r="E428" s="138" t="str">
        <f t="shared" ca="1" si="18"/>
        <v>CRÍTICO</v>
      </c>
      <c r="F428" s="19" t="s">
        <v>42</v>
      </c>
      <c r="G428" s="34" t="s">
        <v>43</v>
      </c>
      <c r="H428" s="19" t="s">
        <v>181</v>
      </c>
      <c r="I428" s="19" t="str">
        <f>IF(W428="ADMITIDO","ADMITIDO",IF(W428="CANCELADA","CANCELADA",IF(H428="","",IFERROR(_xlfn.XLOOKUP(H428,Listas!I:I,Listas!J:J),"OUTROS"))))</f>
        <v>DOCUMENTAÇÃO</v>
      </c>
      <c r="J428" s="12" t="s">
        <v>53</v>
      </c>
      <c r="K428" s="12" t="s">
        <v>189</v>
      </c>
      <c r="L428" s="12" t="s">
        <v>869</v>
      </c>
      <c r="M428" s="12" t="s">
        <v>337</v>
      </c>
      <c r="N428" s="11" t="s">
        <v>34</v>
      </c>
      <c r="O428" s="11" t="s">
        <v>48</v>
      </c>
      <c r="P428" s="11" t="s">
        <v>131</v>
      </c>
      <c r="Q428" s="108"/>
      <c r="R428" s="24"/>
      <c r="S428" s="18">
        <v>15991744641</v>
      </c>
      <c r="T428" s="11" t="s">
        <v>67</v>
      </c>
      <c r="U428" s="202">
        <v>46150</v>
      </c>
      <c r="V428" s="58" t="s">
        <v>1189</v>
      </c>
      <c r="W428" s="59" t="s">
        <v>188</v>
      </c>
      <c r="X428" s="14">
        <v>46160</v>
      </c>
      <c r="Y428" s="14">
        <v>46160</v>
      </c>
      <c r="Z428" s="10">
        <v>145958</v>
      </c>
      <c r="AA428" s="45"/>
      <c r="AB428" s="10">
        <v>0</v>
      </c>
    </row>
    <row r="429" spans="1:28" hidden="1">
      <c r="A429" s="100">
        <v>30222</v>
      </c>
      <c r="B429" s="10">
        <v>1</v>
      </c>
      <c r="C429" s="201">
        <v>46149</v>
      </c>
      <c r="D429" s="105">
        <f t="shared" ca="1" si="21"/>
        <v>78</v>
      </c>
      <c r="E429" s="138" t="str">
        <f t="shared" ca="1" si="18"/>
        <v>CRÍTICO</v>
      </c>
      <c r="F429" s="19" t="s">
        <v>42</v>
      </c>
      <c r="G429" s="34" t="s">
        <v>43</v>
      </c>
      <c r="H429" s="19" t="s">
        <v>334</v>
      </c>
      <c r="I429" s="19" t="str">
        <f>IF(W429="ADMITIDO","ADMITIDO",IF(W429="CANCELADA","CANCELADA",IF(H429="","",IFERROR(_xlfn.XLOOKUP(H429,Listas!I:I,Listas!J:J),"OUTROS"))))</f>
        <v>DOCUMENTAÇÃO</v>
      </c>
      <c r="J429" s="12" t="s">
        <v>53</v>
      </c>
      <c r="K429" s="12" t="s">
        <v>189</v>
      </c>
      <c r="L429" s="12" t="s">
        <v>869</v>
      </c>
      <c r="M429" s="12" t="s">
        <v>337</v>
      </c>
      <c r="N429" s="11" t="s">
        <v>34</v>
      </c>
      <c r="O429" s="11" t="s">
        <v>48</v>
      </c>
      <c r="P429" s="11" t="s">
        <v>131</v>
      </c>
      <c r="Q429" s="108" t="s">
        <v>1190</v>
      </c>
      <c r="R429" s="24" t="s">
        <v>1191</v>
      </c>
      <c r="S429" s="18">
        <v>15997884308</v>
      </c>
      <c r="T429" s="11" t="s">
        <v>67</v>
      </c>
      <c r="U429" s="202">
        <v>46157</v>
      </c>
      <c r="V429" s="41" t="s">
        <v>1192</v>
      </c>
      <c r="AB429" s="10">
        <v>0</v>
      </c>
    </row>
    <row r="430" spans="1:28" hidden="1">
      <c r="A430" s="100">
        <v>30223</v>
      </c>
      <c r="B430" s="10">
        <v>1</v>
      </c>
      <c r="C430" s="201">
        <v>46149</v>
      </c>
      <c r="D430" s="105">
        <f t="shared" ca="1" si="21"/>
        <v>78</v>
      </c>
      <c r="E430" s="138" t="str">
        <f t="shared" ca="1" si="18"/>
        <v>CRÍTICO</v>
      </c>
      <c r="F430" s="19" t="s">
        <v>42</v>
      </c>
      <c r="G430" s="34" t="s">
        <v>43</v>
      </c>
      <c r="H430" s="19" t="s">
        <v>91</v>
      </c>
      <c r="I430" s="19" t="str">
        <f>IF(W430="ADMITIDO","ADMITIDO",IF(W430="CANCELADA","CANCELADA",IF(H430="","",IFERROR(_xlfn.XLOOKUP(H430,Listas!I:I,Listas!J:J),"OUTROS"))))</f>
        <v>TRIAGEM</v>
      </c>
      <c r="J430" s="12" t="s">
        <v>53</v>
      </c>
      <c r="K430" s="12" t="s">
        <v>189</v>
      </c>
      <c r="L430" s="12" t="s">
        <v>869</v>
      </c>
      <c r="M430" s="12" t="s">
        <v>337</v>
      </c>
      <c r="N430" s="11" t="s">
        <v>34</v>
      </c>
      <c r="O430" s="11" t="s">
        <v>48</v>
      </c>
      <c r="P430" s="11" t="s">
        <v>290</v>
      </c>
      <c r="Q430" s="108" t="s">
        <v>1193</v>
      </c>
      <c r="R430" s="24"/>
      <c r="S430" s="18"/>
      <c r="W430" s="44"/>
      <c r="AB430" s="10">
        <v>0</v>
      </c>
    </row>
    <row r="431" spans="1:28" ht="17.25" hidden="1" customHeight="1">
      <c r="A431" s="100">
        <v>30243</v>
      </c>
      <c r="B431" s="10">
        <v>1</v>
      </c>
      <c r="C431" s="201">
        <v>46149</v>
      </c>
      <c r="D431" s="105">
        <f t="shared" ca="1" si="21"/>
        <v>78</v>
      </c>
      <c r="E431" s="138" t="str">
        <f t="shared" si="18"/>
        <v>ADMITIDO</v>
      </c>
      <c r="F431" s="19" t="s">
        <v>28</v>
      </c>
      <c r="G431" s="34" t="s">
        <v>240</v>
      </c>
      <c r="H431" s="19" t="s">
        <v>40</v>
      </c>
      <c r="I431" s="19" t="str">
        <f>IF(W431="ADMITIDO","ADMITIDO",IF(W431="CANCELADA","CANCELADA",IF(H431="","",IFERROR(_xlfn.XLOOKUP(H431,Listas!I:I,Listas!J:J),"OUTROS"))))</f>
        <v>ADMITIDO</v>
      </c>
      <c r="J431" s="12" t="s">
        <v>268</v>
      </c>
      <c r="K431" s="12" t="s">
        <v>423</v>
      </c>
      <c r="L431" s="12" t="s">
        <v>502</v>
      </c>
      <c r="M431" s="12" t="s">
        <v>63</v>
      </c>
      <c r="N431" s="11" t="s">
        <v>34</v>
      </c>
      <c r="O431" s="11" t="s">
        <v>35</v>
      </c>
      <c r="P431" s="11" t="s">
        <v>36</v>
      </c>
      <c r="Q431" s="108"/>
      <c r="R431" s="24"/>
      <c r="S431" s="18" t="s">
        <v>1194</v>
      </c>
      <c r="T431" s="11" t="s">
        <v>132</v>
      </c>
      <c r="U431" s="202">
        <v>46239</v>
      </c>
      <c r="V431" s="64" t="s">
        <v>1195</v>
      </c>
      <c r="W431" s="19" t="s">
        <v>40</v>
      </c>
      <c r="X431" s="43">
        <v>46154</v>
      </c>
      <c r="Y431" s="14">
        <v>46156</v>
      </c>
      <c r="Z431" s="10">
        <v>914269</v>
      </c>
      <c r="AB431" s="10">
        <v>0</v>
      </c>
    </row>
    <row r="432" spans="1:28">
      <c r="A432" s="100">
        <v>30239</v>
      </c>
      <c r="B432" s="10">
        <v>1</v>
      </c>
      <c r="C432" s="201">
        <v>46149</v>
      </c>
      <c r="D432" s="105">
        <f t="shared" ca="1" si="21"/>
        <v>78</v>
      </c>
      <c r="E432" s="138" t="str">
        <f t="shared" ca="1" si="18"/>
        <v>CRÍTICO</v>
      </c>
      <c r="F432" s="19" t="s">
        <v>42</v>
      </c>
      <c r="G432" s="34" t="s">
        <v>29</v>
      </c>
      <c r="H432" s="19" t="s">
        <v>181</v>
      </c>
      <c r="I432" s="19" t="str">
        <f>IF(W432="ADMITIDO","ADMITIDO",IF(W432="CANCELADA","CANCELADA",IF(H432="","",IFERROR(_xlfn.XLOOKUP(H432,Listas!I:I,Listas!J:J),"OUTROS"))))</f>
        <v>DOCUMENTAÇÃO</v>
      </c>
      <c r="J432" s="12" t="s">
        <v>53</v>
      </c>
      <c r="K432" s="12" t="s">
        <v>54</v>
      </c>
      <c r="L432" s="12" t="s">
        <v>164</v>
      </c>
      <c r="M432" s="12" t="s">
        <v>88</v>
      </c>
      <c r="N432" s="11" t="s">
        <v>34</v>
      </c>
      <c r="O432" s="11" t="s">
        <v>57</v>
      </c>
      <c r="P432" s="11" t="s">
        <v>94</v>
      </c>
      <c r="Q432" s="108"/>
      <c r="R432" s="24"/>
      <c r="S432" s="18"/>
      <c r="T432" s="11" t="s">
        <v>38</v>
      </c>
      <c r="U432" s="202">
        <v>46155</v>
      </c>
      <c r="V432" s="41" t="s">
        <v>1196</v>
      </c>
      <c r="W432" s="56" t="s">
        <v>188</v>
      </c>
      <c r="X432" s="14">
        <v>46160</v>
      </c>
      <c r="Y432" s="14">
        <v>46161</v>
      </c>
      <c r="Z432" s="10">
        <v>145977</v>
      </c>
      <c r="AB432" s="10">
        <v>0</v>
      </c>
    </row>
    <row r="433" spans="1:28" hidden="1">
      <c r="A433" s="100">
        <v>30200</v>
      </c>
      <c r="B433" s="10">
        <v>1</v>
      </c>
      <c r="C433" s="201">
        <v>46149</v>
      </c>
      <c r="D433" s="105">
        <f t="shared" ca="1" si="21"/>
        <v>78</v>
      </c>
      <c r="E433" s="138" t="str">
        <f t="shared" ca="1" si="18"/>
        <v>CRÍTICO</v>
      </c>
      <c r="F433" s="19" t="s">
        <v>28</v>
      </c>
      <c r="G433" s="34" t="s">
        <v>60</v>
      </c>
      <c r="H433" s="19" t="s">
        <v>91</v>
      </c>
      <c r="I433" s="19" t="str">
        <f>IF(W433="ADMITIDO","ADMITIDO",IF(W433="CANCELADA","CANCELADA",IF(H433="","",IFERROR(_xlfn.XLOOKUP(H433,Listas!I:I,Listas!J:J),"OUTROS"))))</f>
        <v>TRIAGEM</v>
      </c>
      <c r="J433" s="12" t="s">
        <v>586</v>
      </c>
      <c r="K433" s="12" t="s">
        <v>318</v>
      </c>
      <c r="L433" s="12" t="s">
        <v>921</v>
      </c>
      <c r="M433" s="12" t="s">
        <v>672</v>
      </c>
      <c r="N433" s="11" t="s">
        <v>56</v>
      </c>
      <c r="O433" s="11" t="s">
        <v>35</v>
      </c>
      <c r="P433" s="11" t="s">
        <v>176</v>
      </c>
      <c r="Q433" s="108"/>
      <c r="R433" s="24"/>
      <c r="S433" s="18"/>
      <c r="W433" s="44"/>
      <c r="AB433" s="10">
        <v>0</v>
      </c>
    </row>
    <row r="434" spans="1:28" hidden="1">
      <c r="A434" s="100">
        <v>30244</v>
      </c>
      <c r="B434" s="10">
        <v>1</v>
      </c>
      <c r="C434" s="201">
        <v>46149</v>
      </c>
      <c r="D434" s="105">
        <f t="shared" ca="1" si="21"/>
        <v>78</v>
      </c>
      <c r="E434" s="138" t="str">
        <f t="shared" si="18"/>
        <v>ADMITIDO</v>
      </c>
      <c r="F434" s="19" t="s">
        <v>28</v>
      </c>
      <c r="G434" s="34" t="s">
        <v>43</v>
      </c>
      <c r="H434" s="117" t="s">
        <v>40</v>
      </c>
      <c r="I434" s="19" t="str">
        <f>IF(W434="ADMITIDO","ADMITIDO",IF(W434="CANCELADA","CANCELADA",IF(H434="","",IFERROR(_xlfn.XLOOKUP(H434,Listas!I:I,Listas!J:J),"OUTROS"))))</f>
        <v>ADMITIDO</v>
      </c>
      <c r="J434" s="12" t="s">
        <v>1197</v>
      </c>
      <c r="K434" s="12" t="s">
        <v>1144</v>
      </c>
      <c r="L434" s="12" t="s">
        <v>386</v>
      </c>
      <c r="M434" s="12" t="s">
        <v>243</v>
      </c>
      <c r="N434" s="11" t="s">
        <v>34</v>
      </c>
      <c r="O434" s="11" t="s">
        <v>210</v>
      </c>
      <c r="P434" s="11" t="s">
        <v>1198</v>
      </c>
      <c r="Q434" s="108"/>
      <c r="R434" s="24"/>
      <c r="S434" s="18">
        <v>11988548774</v>
      </c>
      <c r="T434" s="11" t="s">
        <v>50</v>
      </c>
      <c r="U434" s="202">
        <v>46153</v>
      </c>
      <c r="V434" s="64" t="s">
        <v>1199</v>
      </c>
      <c r="W434" s="59" t="s">
        <v>40</v>
      </c>
      <c r="X434" s="43">
        <v>46155</v>
      </c>
      <c r="Y434" s="14">
        <v>46156</v>
      </c>
      <c r="Z434" s="10">
        <v>914270</v>
      </c>
      <c r="AB434" s="10">
        <v>0</v>
      </c>
    </row>
    <row r="435" spans="1:28" hidden="1">
      <c r="A435" s="100">
        <v>30245</v>
      </c>
      <c r="B435" s="10">
        <v>1</v>
      </c>
      <c r="C435" s="201">
        <v>46149</v>
      </c>
      <c r="D435" s="105">
        <f t="shared" ca="1" si="21"/>
        <v>78</v>
      </c>
      <c r="E435" s="138" t="str">
        <f t="shared" ca="1" si="18"/>
        <v>CRÍTICO</v>
      </c>
      <c r="F435" s="19" t="s">
        <v>42</v>
      </c>
      <c r="G435" s="34" t="s">
        <v>29</v>
      </c>
      <c r="H435" s="19" t="s">
        <v>91</v>
      </c>
      <c r="I435" s="19" t="str">
        <f>IF(W435="ADMITIDO","ADMITIDO",IF(W435="CANCELADA","CANCELADA",IF(H435="","",IFERROR(_xlfn.XLOOKUP(H435,Listas!I:I,Listas!J:J),"OUTROS"))))</f>
        <v>TRIAGEM</v>
      </c>
      <c r="J435" s="12" t="s">
        <v>44</v>
      </c>
      <c r="K435" s="12" t="s">
        <v>50</v>
      </c>
      <c r="L435" s="12" t="s">
        <v>1200</v>
      </c>
      <c r="M435" s="12" t="s">
        <v>88</v>
      </c>
      <c r="N435" s="11" t="s">
        <v>34</v>
      </c>
      <c r="O435" s="11" t="s">
        <v>48</v>
      </c>
      <c r="P435" s="11" t="s">
        <v>1201</v>
      </c>
      <c r="Q435" s="108"/>
      <c r="R435" s="24"/>
      <c r="S435" s="18"/>
      <c r="W435" s="173"/>
      <c r="AB435" s="10">
        <v>0</v>
      </c>
    </row>
    <row r="436" spans="1:28" hidden="1">
      <c r="A436" s="100">
        <v>30246</v>
      </c>
      <c r="B436" s="10">
        <v>1</v>
      </c>
      <c r="C436" s="201">
        <v>46149</v>
      </c>
      <c r="D436" s="105">
        <f t="shared" ca="1" si="21"/>
        <v>78</v>
      </c>
      <c r="E436" s="138" t="str">
        <f t="shared" si="18"/>
        <v>ADMITIDO</v>
      </c>
      <c r="F436" s="19" t="s">
        <v>28</v>
      </c>
      <c r="G436" s="34" t="s">
        <v>29</v>
      </c>
      <c r="H436" s="19" t="s">
        <v>40</v>
      </c>
      <c r="I436" s="19" t="str">
        <f>IF(W436="ADMITIDO","ADMITIDO",IF(W436="CANCELADA","CANCELADA",IF(H436="","",IFERROR(_xlfn.XLOOKUP(H436,Listas!I:I,Listas!J:J),"OUTROS"))))</f>
        <v>ADMITIDO</v>
      </c>
      <c r="J436" s="12" t="s">
        <v>609</v>
      </c>
      <c r="K436" s="12" t="s">
        <v>86</v>
      </c>
      <c r="L436" s="12" t="s">
        <v>610</v>
      </c>
      <c r="M436" s="12" t="s">
        <v>611</v>
      </c>
      <c r="N436" s="11" t="s">
        <v>34</v>
      </c>
      <c r="O436" s="11" t="s">
        <v>35</v>
      </c>
      <c r="P436" s="11" t="s">
        <v>612</v>
      </c>
      <c r="Q436" s="108"/>
      <c r="R436" s="24"/>
      <c r="S436" s="18" t="s">
        <v>1202</v>
      </c>
      <c r="T436" s="11" t="s">
        <v>1203</v>
      </c>
      <c r="U436" s="202">
        <v>46150</v>
      </c>
      <c r="V436" s="64" t="s">
        <v>1204</v>
      </c>
      <c r="W436" s="19" t="s">
        <v>40</v>
      </c>
      <c r="X436" s="43">
        <v>46155</v>
      </c>
      <c r="Y436" s="14">
        <v>46156</v>
      </c>
      <c r="Z436" s="10">
        <v>914275</v>
      </c>
      <c r="AB436" s="10">
        <v>0</v>
      </c>
    </row>
    <row r="437" spans="1:28" hidden="1">
      <c r="A437" s="100">
        <v>30237</v>
      </c>
      <c r="B437" s="10">
        <v>1</v>
      </c>
      <c r="C437" s="201">
        <v>46149</v>
      </c>
      <c r="D437" s="105">
        <f t="shared" ca="1" si="21"/>
        <v>78</v>
      </c>
      <c r="E437" s="138" t="str">
        <f t="shared" ca="1" si="18"/>
        <v>CRÍTICO</v>
      </c>
      <c r="F437" s="19" t="s">
        <v>28</v>
      </c>
      <c r="G437" s="34" t="s">
        <v>29</v>
      </c>
      <c r="H437" s="19" t="s">
        <v>91</v>
      </c>
      <c r="I437" s="19" t="str">
        <f>IF(W437="ADMITIDO","ADMITIDO",IF(W437="CANCELADA","CANCELADA",IF(H437="","",IFERROR(_xlfn.XLOOKUP(H437,Listas!I:I,Listas!J:J),"OUTROS"))))</f>
        <v>TRIAGEM</v>
      </c>
      <c r="J437" s="12" t="s">
        <v>146</v>
      </c>
      <c r="K437" s="12" t="s">
        <v>31</v>
      </c>
      <c r="L437" s="12" t="s">
        <v>1205</v>
      </c>
      <c r="M437" s="12" t="s">
        <v>205</v>
      </c>
      <c r="N437" s="11" t="s">
        <v>34</v>
      </c>
      <c r="O437" s="11" t="s">
        <v>35</v>
      </c>
      <c r="P437" s="11" t="s">
        <v>36</v>
      </c>
      <c r="Q437" s="108"/>
      <c r="R437" s="24"/>
      <c r="S437" s="18"/>
      <c r="W437" s="56"/>
      <c r="AB437" s="10">
        <v>0</v>
      </c>
    </row>
    <row r="438" spans="1:28" hidden="1">
      <c r="A438" s="100">
        <v>30226</v>
      </c>
      <c r="B438" s="10">
        <v>1</v>
      </c>
      <c r="C438" s="201">
        <v>46149</v>
      </c>
      <c r="D438" s="105">
        <f t="shared" ca="1" si="21"/>
        <v>78</v>
      </c>
      <c r="E438" s="138" t="str">
        <f t="shared" si="18"/>
        <v>ADMITIDO</v>
      </c>
      <c r="F438" s="19" t="s">
        <v>28</v>
      </c>
      <c r="G438" s="34" t="s">
        <v>43</v>
      </c>
      <c r="H438" s="204" t="s">
        <v>40</v>
      </c>
      <c r="I438" s="19" t="str">
        <f>IF(W438="ADMITIDO","ADMITIDO",IF(W438="CANCELADA","CANCELADA",IF(H438="","",IFERROR(_xlfn.XLOOKUP(H438,Listas!I:I,Listas!J:J),"OUTROS"))))</f>
        <v>ADMITIDO</v>
      </c>
      <c r="J438" s="12" t="s">
        <v>268</v>
      </c>
      <c r="K438" s="12" t="s">
        <v>360</v>
      </c>
      <c r="L438" s="89" t="s">
        <v>1206</v>
      </c>
      <c r="M438" s="12" t="s">
        <v>33</v>
      </c>
      <c r="N438" s="11" t="s">
        <v>34</v>
      </c>
      <c r="O438" s="11" t="s">
        <v>35</v>
      </c>
      <c r="P438" s="11" t="s">
        <v>36</v>
      </c>
      <c r="Q438" s="108"/>
      <c r="R438" s="24"/>
      <c r="S438" s="18">
        <v>19974079663</v>
      </c>
      <c r="T438" s="11" t="s">
        <v>67</v>
      </c>
      <c r="U438" s="202">
        <v>46150</v>
      </c>
      <c r="V438" s="58" t="s">
        <v>1207</v>
      </c>
      <c r="W438" s="59" t="s">
        <v>40</v>
      </c>
      <c r="X438" s="14">
        <v>46157</v>
      </c>
      <c r="Y438" s="14">
        <v>46157</v>
      </c>
      <c r="Z438" s="10">
        <v>914278</v>
      </c>
      <c r="AB438" s="10">
        <v>0</v>
      </c>
    </row>
    <row r="439" spans="1:28" hidden="1">
      <c r="A439" s="100">
        <v>30224</v>
      </c>
      <c r="B439" s="10">
        <v>1</v>
      </c>
      <c r="C439" s="201">
        <v>46149</v>
      </c>
      <c r="D439" s="105">
        <f t="shared" ca="1" si="21"/>
        <v>78</v>
      </c>
      <c r="E439" s="138" t="str">
        <f t="shared" ca="1" si="18"/>
        <v>CRÍTICO</v>
      </c>
      <c r="F439" s="19" t="s">
        <v>171</v>
      </c>
      <c r="G439" s="34" t="s">
        <v>43</v>
      </c>
      <c r="H439" s="19" t="s">
        <v>181</v>
      </c>
      <c r="I439" s="19" t="str">
        <f>IF(W439="ADMITIDO","ADMITIDO",IF(W439="CANCELADA","CANCELADA",IF(H439="","",IFERROR(_xlfn.XLOOKUP(H439,Listas!I:I,Listas!J:J),"OUTROS"))))</f>
        <v>DOCUMENTAÇÃO</v>
      </c>
      <c r="J439" s="12" t="s">
        <v>172</v>
      </c>
      <c r="K439" s="12" t="s">
        <v>360</v>
      </c>
      <c r="L439" s="12" t="s">
        <v>361</v>
      </c>
      <c r="M439" s="12" t="s">
        <v>33</v>
      </c>
      <c r="N439" s="11" t="s">
        <v>34</v>
      </c>
      <c r="O439" s="11" t="s">
        <v>35</v>
      </c>
      <c r="P439" s="11" t="s">
        <v>362</v>
      </c>
      <c r="Q439" s="108"/>
      <c r="R439" s="24" t="s">
        <v>1208</v>
      </c>
      <c r="S439" s="18">
        <v>15997560314</v>
      </c>
      <c r="T439" s="11" t="s">
        <v>67</v>
      </c>
      <c r="U439" s="202">
        <v>46156</v>
      </c>
      <c r="V439" s="41" t="s">
        <v>1209</v>
      </c>
      <c r="W439" s="44" t="s">
        <v>284</v>
      </c>
      <c r="AA439" s="149" t="s">
        <v>1210</v>
      </c>
      <c r="AB439" s="10">
        <v>0</v>
      </c>
    </row>
    <row r="440" spans="1:28" hidden="1">
      <c r="A440" s="100">
        <v>30242</v>
      </c>
      <c r="B440" s="10">
        <v>1</v>
      </c>
      <c r="C440" s="201">
        <v>46149</v>
      </c>
      <c r="D440" s="105">
        <f t="shared" ca="1" si="21"/>
        <v>78</v>
      </c>
      <c r="E440" s="138" t="str">
        <f t="shared" si="18"/>
        <v>ADMITIDO</v>
      </c>
      <c r="F440" s="19" t="s">
        <v>171</v>
      </c>
      <c r="G440" s="34" t="s">
        <v>145</v>
      </c>
      <c r="H440" s="19" t="s">
        <v>40</v>
      </c>
      <c r="I440" s="19" t="str">
        <f>IF(W440="ADMITIDO","ADMITIDO",IF(W440="CANCELADA","CANCELADA",IF(H440="","",IFERROR(_xlfn.XLOOKUP(H440,Listas!I:I,Listas!J:J),"OUTROS"))))</f>
        <v>ADMITIDO</v>
      </c>
      <c r="J440" s="12" t="s">
        <v>787</v>
      </c>
      <c r="K440" s="12" t="s">
        <v>371</v>
      </c>
      <c r="L440" s="12" t="s">
        <v>62</v>
      </c>
      <c r="M440" s="12" t="s">
        <v>63</v>
      </c>
      <c r="N440" s="11" t="s">
        <v>34</v>
      </c>
      <c r="O440" s="11" t="s">
        <v>35</v>
      </c>
      <c r="P440" s="11" t="s">
        <v>36</v>
      </c>
      <c r="Q440" s="108"/>
      <c r="R440" s="24"/>
      <c r="S440" s="18"/>
      <c r="T440" s="11" t="s">
        <v>132</v>
      </c>
      <c r="U440" s="202">
        <v>46149</v>
      </c>
      <c r="V440" s="42" t="s">
        <v>1211</v>
      </c>
      <c r="W440" s="59" t="s">
        <v>40</v>
      </c>
      <c r="X440" s="43">
        <v>46153</v>
      </c>
      <c r="Y440" s="14">
        <v>46154</v>
      </c>
      <c r="Z440" s="10">
        <v>83283</v>
      </c>
      <c r="AB440" s="10">
        <v>0</v>
      </c>
    </row>
    <row r="441" spans="1:28" ht="30" hidden="1">
      <c r="A441" s="100">
        <v>30247</v>
      </c>
      <c r="B441" s="10">
        <v>1</v>
      </c>
      <c r="C441" s="201">
        <v>46149</v>
      </c>
      <c r="D441" s="105">
        <f t="shared" ref="D441:D458" ca="1" si="22">TODAY()-C441</f>
        <v>78</v>
      </c>
      <c r="E441" s="138" t="str">
        <f t="shared" si="18"/>
        <v>ADMITIDO</v>
      </c>
      <c r="F441" s="19" t="s">
        <v>28</v>
      </c>
      <c r="G441" s="34" t="s">
        <v>240</v>
      </c>
      <c r="H441" s="19" t="s">
        <v>40</v>
      </c>
      <c r="I441" s="19" t="str">
        <f>IF(W441="ADMITIDO","ADMITIDO",IF(W441="CANCELADA","CANCELADA",IF(H441="","",IFERROR(_xlfn.XLOOKUP(H441,Listas!I:I,Listas!J:J),"OUTROS"))))</f>
        <v>ADMITIDO</v>
      </c>
      <c r="J441" s="12" t="s">
        <v>268</v>
      </c>
      <c r="K441" s="12" t="s">
        <v>423</v>
      </c>
      <c r="L441" s="12" t="s">
        <v>1212</v>
      </c>
      <c r="M441" s="12" t="s">
        <v>63</v>
      </c>
      <c r="N441" s="11" t="s">
        <v>34</v>
      </c>
      <c r="O441" s="11" t="s">
        <v>35</v>
      </c>
      <c r="P441" s="11" t="s">
        <v>905</v>
      </c>
      <c r="Q441" s="108"/>
      <c r="R441" s="24"/>
      <c r="S441" s="18" t="s">
        <v>1213</v>
      </c>
      <c r="T441" s="11" t="s">
        <v>76</v>
      </c>
      <c r="U441" s="202">
        <v>46153</v>
      </c>
      <c r="V441" s="64" t="s">
        <v>1214</v>
      </c>
      <c r="W441" s="19" t="s">
        <v>40</v>
      </c>
      <c r="X441" s="43">
        <v>46155</v>
      </c>
      <c r="Y441" s="14">
        <v>46157</v>
      </c>
      <c r="Z441" s="10">
        <v>914276</v>
      </c>
      <c r="AB441" s="10">
        <v>0</v>
      </c>
    </row>
    <row r="442" spans="1:28" hidden="1">
      <c r="A442" s="100">
        <v>30259</v>
      </c>
      <c r="B442" s="10">
        <v>1</v>
      </c>
      <c r="C442" s="201">
        <v>46150</v>
      </c>
      <c r="D442" s="105">
        <f t="shared" ca="1" si="22"/>
        <v>77</v>
      </c>
      <c r="E442" s="138" t="str">
        <f t="shared" si="18"/>
        <v>ADMITIDO</v>
      </c>
      <c r="F442" s="19" t="s">
        <v>28</v>
      </c>
      <c r="G442" s="34" t="s">
        <v>145</v>
      </c>
      <c r="H442" s="19" t="s">
        <v>40</v>
      </c>
      <c r="I442" s="19" t="str">
        <f>IF(W442="ADMITIDO","ADMITIDO",IF(W442="CANCELADA","CANCELADA",IF(H442="","",IFERROR(_xlfn.XLOOKUP(H442,Listas!I:I,Listas!J:J),"OUTROS"))))</f>
        <v>ADMITIDO</v>
      </c>
      <c r="J442" s="12" t="s">
        <v>268</v>
      </c>
      <c r="K442" s="12" t="s">
        <v>423</v>
      </c>
      <c r="L442" s="12" t="s">
        <v>242</v>
      </c>
      <c r="M442" s="12" t="s">
        <v>243</v>
      </c>
      <c r="N442" s="11" t="s">
        <v>56</v>
      </c>
      <c r="O442" s="11" t="s">
        <v>35</v>
      </c>
      <c r="P442" s="11" t="s">
        <v>760</v>
      </c>
      <c r="Q442" s="108"/>
      <c r="S442" s="18"/>
      <c r="T442" s="11" t="s">
        <v>132</v>
      </c>
      <c r="U442" s="202">
        <v>46155</v>
      </c>
      <c r="V442" s="42" t="s">
        <v>1215</v>
      </c>
      <c r="W442" s="59" t="s">
        <v>40</v>
      </c>
      <c r="X442" s="43">
        <v>46157</v>
      </c>
      <c r="Y442" s="14">
        <v>46162</v>
      </c>
      <c r="Z442" s="10">
        <v>914292</v>
      </c>
      <c r="AB442" s="10">
        <v>0</v>
      </c>
    </row>
    <row r="443" spans="1:28" hidden="1">
      <c r="A443" s="100">
        <v>30248</v>
      </c>
      <c r="B443" s="10">
        <v>1</v>
      </c>
      <c r="C443" s="201">
        <v>46150</v>
      </c>
      <c r="D443" s="105">
        <f t="shared" ca="1" si="22"/>
        <v>77</v>
      </c>
      <c r="E443" s="138" t="str">
        <f t="shared" ca="1" si="18"/>
        <v>CRÍTICO</v>
      </c>
      <c r="F443" s="19" t="s">
        <v>42</v>
      </c>
      <c r="G443" s="34" t="s">
        <v>552</v>
      </c>
      <c r="H443" s="19" t="s">
        <v>91</v>
      </c>
      <c r="I443" s="19" t="str">
        <f>IF(W443="ADMITIDO","ADMITIDO",IF(W443="CANCELADA","CANCELADA",IF(H443="","",IFERROR(_xlfn.XLOOKUP(H443,Listas!I:I,Listas!J:J),"OUTROS"))))</f>
        <v>TRIAGEM</v>
      </c>
      <c r="J443" s="12" t="s">
        <v>44</v>
      </c>
      <c r="K443" s="12" t="s">
        <v>553</v>
      </c>
      <c r="L443" s="12" t="s">
        <v>1216</v>
      </c>
      <c r="M443" s="12"/>
      <c r="N443" s="11" t="s">
        <v>34</v>
      </c>
      <c r="O443" s="11" t="s">
        <v>1217</v>
      </c>
      <c r="P443" s="11" t="s">
        <v>49</v>
      </c>
      <c r="Q443" s="108"/>
      <c r="S443" s="18"/>
      <c r="W443" s="56"/>
      <c r="AB443" s="10">
        <v>0</v>
      </c>
    </row>
    <row r="444" spans="1:28" hidden="1">
      <c r="A444" s="100">
        <v>30249</v>
      </c>
      <c r="B444" s="10">
        <v>1</v>
      </c>
      <c r="C444" s="201">
        <v>46150</v>
      </c>
      <c r="D444" s="105">
        <f t="shared" ca="1" si="22"/>
        <v>77</v>
      </c>
      <c r="E444" s="138" t="str">
        <f t="shared" ca="1" si="18"/>
        <v>CRÍTICO</v>
      </c>
      <c r="F444" s="19" t="s">
        <v>42</v>
      </c>
      <c r="G444" s="34" t="s">
        <v>29</v>
      </c>
      <c r="H444" s="19" t="s">
        <v>91</v>
      </c>
      <c r="I444" s="19" t="str">
        <f>IF(W444="ADMITIDO","ADMITIDO",IF(W444="CANCELADA","CANCELADA",IF(H444="","",IFERROR(_xlfn.XLOOKUP(H444,Listas!I:I,Listas!J:J),"OUTROS"))))</f>
        <v>TRIAGEM</v>
      </c>
      <c r="J444" s="12" t="s">
        <v>227</v>
      </c>
      <c r="K444" s="12" t="s">
        <v>228</v>
      </c>
      <c r="L444" s="12" t="s">
        <v>229</v>
      </c>
      <c r="M444" s="12" t="s">
        <v>88</v>
      </c>
      <c r="N444" s="11" t="s">
        <v>34</v>
      </c>
      <c r="O444" s="11" t="s">
        <v>35</v>
      </c>
      <c r="P444" s="11" t="s">
        <v>36</v>
      </c>
      <c r="Q444" s="108"/>
      <c r="S444" s="18"/>
      <c r="AB444" s="10">
        <v>0</v>
      </c>
    </row>
    <row r="445" spans="1:28" hidden="1">
      <c r="A445" s="100">
        <v>30267</v>
      </c>
      <c r="B445" s="10">
        <v>1</v>
      </c>
      <c r="C445" s="201">
        <v>46150</v>
      </c>
      <c r="D445" s="105">
        <f t="shared" ca="1" si="22"/>
        <v>77</v>
      </c>
      <c r="E445" s="138" t="str">
        <f t="shared" ca="1" si="18"/>
        <v>CRÍTICO</v>
      </c>
      <c r="F445" s="19" t="s">
        <v>28</v>
      </c>
      <c r="G445" s="34" t="s">
        <v>145</v>
      </c>
      <c r="H445" s="19" t="s">
        <v>181</v>
      </c>
      <c r="I445" s="19" t="str">
        <f>IF(W445="ADMITIDO","ADMITIDO",IF(W445="CANCELADA","CANCELADA",IF(H445="","",IFERROR(_xlfn.XLOOKUP(H445,Listas!I:I,Listas!J:J),"OUTROS"))))</f>
        <v>DOCUMENTAÇÃO</v>
      </c>
      <c r="J445" s="12" t="s">
        <v>487</v>
      </c>
      <c r="K445" s="12" t="s">
        <v>203</v>
      </c>
      <c r="L445" s="12" t="s">
        <v>845</v>
      </c>
      <c r="M445" s="12" t="s">
        <v>63</v>
      </c>
      <c r="N445" s="11" t="s">
        <v>56</v>
      </c>
      <c r="O445" s="11" t="s">
        <v>35</v>
      </c>
      <c r="P445" s="11" t="s">
        <v>1218</v>
      </c>
      <c r="Q445" s="108"/>
      <c r="R445" s="16" t="s">
        <v>373</v>
      </c>
      <c r="S445" s="18"/>
      <c r="T445" s="11" t="s">
        <v>132</v>
      </c>
      <c r="U445" s="202">
        <v>46157</v>
      </c>
      <c r="V445" s="41" t="s">
        <v>1219</v>
      </c>
      <c r="W445" s="23" t="s">
        <v>284</v>
      </c>
      <c r="AB445" s="10">
        <v>0</v>
      </c>
    </row>
    <row r="446" spans="1:28" hidden="1">
      <c r="A446" s="100">
        <v>30250</v>
      </c>
      <c r="B446" s="10">
        <v>1</v>
      </c>
      <c r="C446" s="201">
        <v>46150</v>
      </c>
      <c r="D446" s="105">
        <f t="shared" ca="1" si="22"/>
        <v>77</v>
      </c>
      <c r="E446" s="138" t="str">
        <f t="shared" ca="1" si="18"/>
        <v>CRÍTICO</v>
      </c>
      <c r="F446" s="19" t="s">
        <v>42</v>
      </c>
      <c r="G446" s="34" t="s">
        <v>69</v>
      </c>
      <c r="H446" s="19" t="s">
        <v>91</v>
      </c>
      <c r="I446" s="19" t="str">
        <f>IF(W446="ADMITIDO","ADMITIDO",IF(W446="CANCELADA","CANCELADA",IF(H446="","",IFERROR(_xlfn.XLOOKUP(H446,Listas!I:I,Listas!J:J),"OUTROS"))))</f>
        <v>TRIAGEM</v>
      </c>
      <c r="J446" s="12" t="s">
        <v>44</v>
      </c>
      <c r="K446" s="12" t="s">
        <v>158</v>
      </c>
      <c r="L446" s="12" t="s">
        <v>1012</v>
      </c>
      <c r="M446" s="12" t="s">
        <v>63</v>
      </c>
      <c r="N446" s="11" t="s">
        <v>34</v>
      </c>
      <c r="O446" s="11" t="s">
        <v>589</v>
      </c>
      <c r="P446" s="11" t="s">
        <v>98</v>
      </c>
      <c r="Q446" s="108"/>
      <c r="S446" s="18"/>
      <c r="AB446" s="10">
        <v>0</v>
      </c>
    </row>
    <row r="447" spans="1:28" hidden="1">
      <c r="A447" s="100">
        <v>30254</v>
      </c>
      <c r="B447" s="10">
        <v>1</v>
      </c>
      <c r="C447" s="201">
        <v>46150</v>
      </c>
      <c r="D447" s="105">
        <f t="shared" ca="1" si="22"/>
        <v>77</v>
      </c>
      <c r="E447" s="138" t="str">
        <f t="shared" ca="1" si="18"/>
        <v>CRÍTICO</v>
      </c>
      <c r="F447" s="19" t="s">
        <v>28</v>
      </c>
      <c r="G447" s="34" t="s">
        <v>69</v>
      </c>
      <c r="H447" s="19" t="s">
        <v>181</v>
      </c>
      <c r="I447" s="19" t="str">
        <f>IF(W447="ADMITIDO","ADMITIDO",IF(W447="CANCELADA","CANCELADA",IF(H447="","",IFERROR(_xlfn.XLOOKUP(H447,Listas!I:I,Listas!J:J),"OUTROS"))))</f>
        <v>DOCUMENTAÇÃO</v>
      </c>
      <c r="J447" s="12" t="s">
        <v>268</v>
      </c>
      <c r="K447" s="12" t="s">
        <v>173</v>
      </c>
      <c r="L447" s="12" t="s">
        <v>747</v>
      </c>
      <c r="M447" s="12" t="s">
        <v>63</v>
      </c>
      <c r="N447" s="11" t="s">
        <v>56</v>
      </c>
      <c r="O447" s="11" t="s">
        <v>35</v>
      </c>
      <c r="P447" s="11" t="s">
        <v>176</v>
      </c>
      <c r="Q447" s="108"/>
      <c r="S447" s="18"/>
      <c r="T447" s="11" t="s">
        <v>132</v>
      </c>
      <c r="U447" s="202">
        <v>46156</v>
      </c>
      <c r="V447" s="41" t="s">
        <v>1220</v>
      </c>
      <c r="W447" s="23" t="s">
        <v>284</v>
      </c>
      <c r="AB447" s="10">
        <v>0</v>
      </c>
    </row>
    <row r="448" spans="1:28" ht="30" hidden="1">
      <c r="A448" s="100">
        <v>30261</v>
      </c>
      <c r="B448" s="10">
        <v>1</v>
      </c>
      <c r="C448" s="201">
        <v>46150</v>
      </c>
      <c r="D448" s="105">
        <f t="shared" ca="1" si="22"/>
        <v>77</v>
      </c>
      <c r="E448" s="138" t="str">
        <f t="shared" ca="1" si="18"/>
        <v>CRÍTICO</v>
      </c>
      <c r="F448" s="19" t="s">
        <v>28</v>
      </c>
      <c r="G448" s="34" t="s">
        <v>240</v>
      </c>
      <c r="H448" s="19" t="s">
        <v>181</v>
      </c>
      <c r="I448" s="19" t="str">
        <f>IF(W448="ADMITIDO","ADMITIDO",IF(W448="CANCELADA","CANCELADA",IF(H448="","",IFERROR(_xlfn.XLOOKUP(H448,Listas!I:I,Listas!J:J),"OUTROS"))))</f>
        <v>DOCUMENTAÇÃO</v>
      </c>
      <c r="J448" s="12" t="s">
        <v>268</v>
      </c>
      <c r="K448" s="12" t="s">
        <v>676</v>
      </c>
      <c r="L448" s="12" t="s">
        <v>424</v>
      </c>
      <c r="M448" s="12" t="s">
        <v>243</v>
      </c>
      <c r="N448" s="11" t="s">
        <v>56</v>
      </c>
      <c r="O448" s="11" t="s">
        <v>35</v>
      </c>
      <c r="P448" s="11" t="s">
        <v>176</v>
      </c>
      <c r="Q448" s="108"/>
      <c r="R448" s="16" t="s">
        <v>899</v>
      </c>
      <c r="S448" s="18" t="s">
        <v>1221</v>
      </c>
      <c r="T448" s="11" t="s">
        <v>109</v>
      </c>
      <c r="U448" s="202">
        <v>46156</v>
      </c>
      <c r="V448" s="41" t="s">
        <v>1222</v>
      </c>
      <c r="W448" s="44" t="s">
        <v>188</v>
      </c>
      <c r="X448" s="14">
        <v>46160</v>
      </c>
      <c r="Y448" s="14">
        <v>46161</v>
      </c>
      <c r="Z448" s="10">
        <v>914296</v>
      </c>
      <c r="AB448" s="10">
        <v>0</v>
      </c>
    </row>
    <row r="449" spans="1:28" ht="30" hidden="1">
      <c r="A449" s="100">
        <v>30260</v>
      </c>
      <c r="B449" s="10">
        <v>1</v>
      </c>
      <c r="C449" s="201">
        <v>46150</v>
      </c>
      <c r="D449" s="105">
        <f t="shared" ca="1" si="22"/>
        <v>77</v>
      </c>
      <c r="E449" s="138" t="str">
        <f t="shared" si="18"/>
        <v>ADMITIDO</v>
      </c>
      <c r="F449" s="19" t="s">
        <v>28</v>
      </c>
      <c r="G449" s="147" t="s">
        <v>240</v>
      </c>
      <c r="H449" s="19" t="s">
        <v>40</v>
      </c>
      <c r="I449" s="19" t="str">
        <f>IF(W449="ADMITIDO","ADMITIDO",IF(W449="CANCELADA","CANCELADA",IF(H449="","",IFERROR(_xlfn.XLOOKUP(H449,Listas!I:I,Listas!J:J),"OUTROS"))))</f>
        <v>ADMITIDO</v>
      </c>
      <c r="J449" s="12" t="s">
        <v>616</v>
      </c>
      <c r="K449" s="12" t="s">
        <v>676</v>
      </c>
      <c r="L449" s="12" t="s">
        <v>424</v>
      </c>
      <c r="M449" s="12" t="s">
        <v>243</v>
      </c>
      <c r="N449" s="11" t="s">
        <v>56</v>
      </c>
      <c r="O449" s="11" t="s">
        <v>35</v>
      </c>
      <c r="P449" s="11" t="s">
        <v>176</v>
      </c>
      <c r="Q449" s="108" t="s">
        <v>1223</v>
      </c>
      <c r="R449" s="16" t="s">
        <v>65</v>
      </c>
      <c r="S449" s="18" t="s">
        <v>1224</v>
      </c>
      <c r="T449" s="11" t="s">
        <v>67</v>
      </c>
      <c r="U449" s="202">
        <v>46154</v>
      </c>
      <c r="V449" s="42" t="s">
        <v>1225</v>
      </c>
      <c r="W449" s="59" t="s">
        <v>40</v>
      </c>
      <c r="X449" s="43">
        <v>46157</v>
      </c>
      <c r="Y449" s="14">
        <v>46158</v>
      </c>
      <c r="Z449" s="10">
        <v>914290</v>
      </c>
      <c r="AB449" s="10">
        <v>0</v>
      </c>
    </row>
    <row r="450" spans="1:28" hidden="1">
      <c r="A450" s="100">
        <v>30258</v>
      </c>
      <c r="B450" s="10">
        <v>1</v>
      </c>
      <c r="C450" s="201">
        <v>46150</v>
      </c>
      <c r="D450" s="105">
        <f t="shared" ca="1" si="22"/>
        <v>77</v>
      </c>
      <c r="E450" s="138" t="str">
        <f t="shared" ca="1" si="18"/>
        <v>CRÍTICO</v>
      </c>
      <c r="F450" s="19" t="s">
        <v>42</v>
      </c>
      <c r="G450" s="147" t="s">
        <v>29</v>
      </c>
      <c r="H450" s="19" t="s">
        <v>91</v>
      </c>
      <c r="I450" s="19" t="str">
        <f>IF(W450="ADMITIDO","ADMITIDO",IF(W450="CANCELADA","CANCELADA",IF(H450="","",IFERROR(_xlfn.XLOOKUP(H450,Listas!I:I,Listas!J:J),"OUTROS"))))</f>
        <v>TRIAGEM</v>
      </c>
      <c r="J450" s="12" t="s">
        <v>53</v>
      </c>
      <c r="K450" s="12" t="s">
        <v>228</v>
      </c>
      <c r="L450" s="12" t="s">
        <v>807</v>
      </c>
      <c r="M450" s="12" t="s">
        <v>88</v>
      </c>
      <c r="N450" s="11" t="s">
        <v>34</v>
      </c>
      <c r="O450" s="11" t="s">
        <v>57</v>
      </c>
      <c r="P450" s="11" t="s">
        <v>555</v>
      </c>
      <c r="Q450" s="108"/>
      <c r="S450" s="18"/>
      <c r="W450" s="56"/>
      <c r="AB450" s="10">
        <v>0</v>
      </c>
    </row>
    <row r="451" spans="1:28" hidden="1">
      <c r="A451" s="100">
        <v>30266</v>
      </c>
      <c r="B451" s="10">
        <v>1</v>
      </c>
      <c r="C451" s="201">
        <v>46150</v>
      </c>
      <c r="D451" s="105">
        <f t="shared" ca="1" si="22"/>
        <v>77</v>
      </c>
      <c r="E451" s="138" t="str">
        <f t="shared" ref="E451:E514" ca="1" si="23">IF(W451="ADMITIDO","ADMITIDO",IF(W451="CANCELADA","CANCELADA",IF(H451="","",IF(H451="ADMITIDO","ADMITIDO",IF(H451="CANCELADA","CANCELADA",IF(OR(H451="ANALISE CANCELAMENTO",H451="ANÁLISE CANCELAMENTO"),"EM ANÁLISE",IF(D451="","",IF(D451&lt;=7,"NO PRAZO",IF(D451&lt;=14,"ATENÇÃO","CRÍTICO")))))))))</f>
        <v>CRÍTICO</v>
      </c>
      <c r="F451" s="19" t="s">
        <v>42</v>
      </c>
      <c r="G451" s="147" t="s">
        <v>69</v>
      </c>
      <c r="H451" s="19" t="s">
        <v>91</v>
      </c>
      <c r="I451" s="19" t="str">
        <f>IF(W451="ADMITIDO","ADMITIDO",IF(W451="CANCELADA","CANCELADA",IF(H451="","",IFERROR(_xlfn.XLOOKUP(H451,Listas!I:I,Listas!J:J),"OUTROS"))))</f>
        <v>TRIAGEM</v>
      </c>
      <c r="J451" s="12" t="s">
        <v>44</v>
      </c>
      <c r="K451" s="12" t="s">
        <v>103</v>
      </c>
      <c r="L451" s="12" t="s">
        <v>1226</v>
      </c>
      <c r="M451" s="12" t="s">
        <v>274</v>
      </c>
      <c r="N451" s="11" t="s">
        <v>34</v>
      </c>
      <c r="O451" s="11" t="s">
        <v>48</v>
      </c>
      <c r="P451" s="11" t="s">
        <v>275</v>
      </c>
      <c r="Q451" s="108"/>
      <c r="S451" s="18"/>
      <c r="AB451" s="10">
        <v>0</v>
      </c>
    </row>
    <row r="452" spans="1:28" hidden="1">
      <c r="A452" s="100">
        <v>30251</v>
      </c>
      <c r="B452" s="10">
        <v>1</v>
      </c>
      <c r="C452" s="201">
        <v>46150</v>
      </c>
      <c r="D452" s="105">
        <f t="shared" ca="1" si="22"/>
        <v>77</v>
      </c>
      <c r="E452" s="138" t="str">
        <f t="shared" ca="1" si="23"/>
        <v>CRÍTICO</v>
      </c>
      <c r="F452" s="19" t="s">
        <v>42</v>
      </c>
      <c r="G452" s="147" t="s">
        <v>69</v>
      </c>
      <c r="H452" s="19" t="s">
        <v>91</v>
      </c>
      <c r="I452" s="19" t="str">
        <f>IF(W452="ADMITIDO","ADMITIDO",IF(W452="CANCELADA","CANCELADA",IF(H452="","",IFERROR(_xlfn.XLOOKUP(H452,Listas!I:I,Listas!J:J),"OUTROS"))))</f>
        <v>TRIAGEM</v>
      </c>
      <c r="J452" s="12" t="s">
        <v>44</v>
      </c>
      <c r="K452" s="12" t="s">
        <v>158</v>
      </c>
      <c r="L452" s="12" t="s">
        <v>1227</v>
      </c>
      <c r="M452" s="12" t="s">
        <v>63</v>
      </c>
      <c r="N452" s="11" t="s">
        <v>34</v>
      </c>
      <c r="O452" s="11" t="s">
        <v>57</v>
      </c>
      <c r="P452" s="11" t="s">
        <v>151</v>
      </c>
      <c r="Q452" s="108"/>
      <c r="S452" s="18"/>
      <c r="AB452" s="10">
        <v>0</v>
      </c>
    </row>
    <row r="453" spans="1:28" hidden="1">
      <c r="A453" s="100">
        <v>30263</v>
      </c>
      <c r="B453" s="10">
        <v>1</v>
      </c>
      <c r="C453" s="201">
        <v>46150</v>
      </c>
      <c r="D453" s="105">
        <f t="shared" ca="1" si="22"/>
        <v>77</v>
      </c>
      <c r="E453" s="138" t="str">
        <f t="shared" ca="1" si="23"/>
        <v>CRÍTICO</v>
      </c>
      <c r="F453" s="19" t="s">
        <v>42</v>
      </c>
      <c r="G453" s="147" t="s">
        <v>145</v>
      </c>
      <c r="H453" s="19" t="s">
        <v>259</v>
      </c>
      <c r="I453" s="19" t="str">
        <f>IF(W453="ADMITIDO","ADMITIDO",IF(W453="CANCELADA","CANCELADA",IF(H453="","",IFERROR(_xlfn.XLOOKUP(H453,Listas!I:I,Listas!J:J),"OUTROS"))))</f>
        <v>TRIAGEM</v>
      </c>
      <c r="J453" s="12" t="s">
        <v>163</v>
      </c>
      <c r="K453" s="12" t="s">
        <v>103</v>
      </c>
      <c r="L453" s="12" t="s">
        <v>1173</v>
      </c>
      <c r="M453" s="12" t="s">
        <v>1174</v>
      </c>
      <c r="N453" s="11" t="s">
        <v>34</v>
      </c>
      <c r="O453" s="11" t="s">
        <v>57</v>
      </c>
      <c r="P453" s="11" t="s">
        <v>216</v>
      </c>
      <c r="Q453" s="108"/>
      <c r="S453" s="18"/>
      <c r="AB453" s="10">
        <v>0</v>
      </c>
    </row>
    <row r="454" spans="1:28" hidden="1">
      <c r="A454" s="100">
        <v>30252</v>
      </c>
      <c r="B454" s="10">
        <v>1</v>
      </c>
      <c r="C454" s="201">
        <v>46150</v>
      </c>
      <c r="D454" s="105">
        <f t="shared" ca="1" si="22"/>
        <v>77</v>
      </c>
      <c r="E454" s="138" t="str">
        <f t="shared" ca="1" si="23"/>
        <v>CRÍTICO</v>
      </c>
      <c r="F454" s="19" t="s">
        <v>42</v>
      </c>
      <c r="G454" s="147" t="s">
        <v>69</v>
      </c>
      <c r="H454" s="19" t="s">
        <v>91</v>
      </c>
      <c r="I454" s="19" t="str">
        <f>IF(W454="ADMITIDO","ADMITIDO",IF(W454="CANCELADA","CANCELADA",IF(H454="","",IFERROR(_xlfn.XLOOKUP(H454,Listas!I:I,Listas!J:J),"OUTROS"))))</f>
        <v>TRIAGEM</v>
      </c>
      <c r="J454" s="12" t="s">
        <v>44</v>
      </c>
      <c r="K454" s="12" t="s">
        <v>158</v>
      </c>
      <c r="L454" s="12" t="s">
        <v>618</v>
      </c>
      <c r="M454" s="12" t="s">
        <v>63</v>
      </c>
      <c r="N454" s="11" t="s">
        <v>34</v>
      </c>
      <c r="O454" s="11" t="s">
        <v>72</v>
      </c>
      <c r="P454" s="11" t="s">
        <v>73</v>
      </c>
      <c r="Q454" s="108"/>
      <c r="S454" s="18"/>
      <c r="AB454" s="10">
        <v>0</v>
      </c>
    </row>
    <row r="455" spans="1:28" hidden="1">
      <c r="A455" s="100">
        <v>30265</v>
      </c>
      <c r="B455" s="10">
        <v>1</v>
      </c>
      <c r="C455" s="201">
        <v>46150</v>
      </c>
      <c r="D455" s="105">
        <f t="shared" ca="1" si="22"/>
        <v>77</v>
      </c>
      <c r="E455" s="138" t="str">
        <f t="shared" ca="1" si="23"/>
        <v>CRÍTICO</v>
      </c>
      <c r="F455" s="19" t="s">
        <v>42</v>
      </c>
      <c r="G455" s="147" t="s">
        <v>145</v>
      </c>
      <c r="H455" s="19" t="s">
        <v>91</v>
      </c>
      <c r="I455" s="19" t="str">
        <f>IF(W455="ADMITIDO","ADMITIDO",IF(W455="CANCELADA","CANCELADA",IF(H455="","",IFERROR(_xlfn.XLOOKUP(H455,Listas!I:I,Listas!J:J),"OUTROS"))))</f>
        <v>TRIAGEM</v>
      </c>
      <c r="J455" s="12" t="s">
        <v>44</v>
      </c>
      <c r="K455" s="12" t="s">
        <v>103</v>
      </c>
      <c r="L455" s="12" t="s">
        <v>1228</v>
      </c>
      <c r="M455" s="12" t="s">
        <v>274</v>
      </c>
      <c r="N455" s="11" t="s">
        <v>34</v>
      </c>
      <c r="O455" s="11" t="s">
        <v>48</v>
      </c>
      <c r="P455" s="11" t="s">
        <v>275</v>
      </c>
      <c r="Q455" s="108"/>
      <c r="S455" s="18"/>
      <c r="AB455" s="10">
        <v>0</v>
      </c>
    </row>
    <row r="456" spans="1:28" hidden="1">
      <c r="A456" s="100">
        <v>30264</v>
      </c>
      <c r="B456" s="10">
        <v>1</v>
      </c>
      <c r="C456" s="201">
        <v>46150</v>
      </c>
      <c r="D456" s="105">
        <f t="shared" ca="1" si="22"/>
        <v>77</v>
      </c>
      <c r="E456" s="138" t="str">
        <f t="shared" ca="1" si="23"/>
        <v>CRÍTICO</v>
      </c>
      <c r="F456" s="19" t="s">
        <v>42</v>
      </c>
      <c r="G456" s="147" t="s">
        <v>145</v>
      </c>
      <c r="H456" s="19" t="s">
        <v>91</v>
      </c>
      <c r="I456" s="19" t="str">
        <f>IF(W456="ADMITIDO","ADMITIDO",IF(W456="CANCELADA","CANCELADA",IF(H456="","",IFERROR(_xlfn.XLOOKUP(H456,Listas!I:I,Listas!J:J),"OUTROS"))))</f>
        <v>TRIAGEM</v>
      </c>
      <c r="J456" s="12" t="s">
        <v>53</v>
      </c>
      <c r="K456" s="12" t="s">
        <v>103</v>
      </c>
      <c r="L456" s="12" t="s">
        <v>488</v>
      </c>
      <c r="M456" s="12" t="s">
        <v>63</v>
      </c>
      <c r="N456" s="11" t="s">
        <v>34</v>
      </c>
      <c r="O456" s="11" t="s">
        <v>210</v>
      </c>
      <c r="P456" s="11" t="s">
        <v>1170</v>
      </c>
      <c r="Q456" s="108"/>
      <c r="S456" s="18"/>
      <c r="AB456" s="10">
        <v>0</v>
      </c>
    </row>
    <row r="457" spans="1:28" ht="30" hidden="1">
      <c r="A457" s="100">
        <v>30262</v>
      </c>
      <c r="B457" s="10">
        <v>1</v>
      </c>
      <c r="C457" s="201">
        <v>46150</v>
      </c>
      <c r="D457" s="105">
        <f t="shared" ca="1" si="22"/>
        <v>77</v>
      </c>
      <c r="E457" s="138" t="str">
        <f t="shared" ca="1" si="23"/>
        <v>CRÍTICO</v>
      </c>
      <c r="F457" s="19" t="s">
        <v>28</v>
      </c>
      <c r="G457" s="147" t="s">
        <v>240</v>
      </c>
      <c r="H457" s="19" t="s">
        <v>181</v>
      </c>
      <c r="I457" s="19" t="str">
        <f>IF(W457="ADMITIDO","ADMITIDO",IF(W457="CANCELADA","CANCELADA",IF(H457="","",IFERROR(_xlfn.XLOOKUP(H457,Listas!I:I,Listas!J:J),"OUTROS"))))</f>
        <v>DOCUMENTAÇÃO</v>
      </c>
      <c r="J457" s="12" t="s">
        <v>487</v>
      </c>
      <c r="K457" s="12" t="s">
        <v>676</v>
      </c>
      <c r="L457" s="12" t="s">
        <v>488</v>
      </c>
      <c r="M457" s="12" t="s">
        <v>63</v>
      </c>
      <c r="N457" s="11" t="s">
        <v>56</v>
      </c>
      <c r="O457" s="11" t="s">
        <v>35</v>
      </c>
      <c r="P457" s="11" t="s">
        <v>176</v>
      </c>
      <c r="Q457" s="108"/>
      <c r="R457" s="16" t="s">
        <v>1229</v>
      </c>
      <c r="S457" s="18" t="s">
        <v>1230</v>
      </c>
      <c r="T457" s="11" t="s">
        <v>132</v>
      </c>
      <c r="U457" s="202" t="s">
        <v>1138</v>
      </c>
      <c r="V457" s="41" t="s">
        <v>1231</v>
      </c>
      <c r="W457" s="23" t="s">
        <v>188</v>
      </c>
      <c r="X457" s="14">
        <v>46160</v>
      </c>
      <c r="Y457" s="14">
        <v>46162</v>
      </c>
      <c r="Z457" s="10">
        <v>914297</v>
      </c>
      <c r="AB457" s="10">
        <v>0</v>
      </c>
    </row>
    <row r="458" spans="1:28">
      <c r="A458" s="100">
        <v>30255</v>
      </c>
      <c r="B458" s="10">
        <v>1</v>
      </c>
      <c r="C458" s="201">
        <v>46150</v>
      </c>
      <c r="D458" s="105">
        <f t="shared" ca="1" si="22"/>
        <v>77</v>
      </c>
      <c r="E458" s="138" t="str">
        <f t="shared" ca="1" si="23"/>
        <v>CRÍTICO</v>
      </c>
      <c r="F458" s="19" t="s">
        <v>28</v>
      </c>
      <c r="G458" s="147" t="s">
        <v>29</v>
      </c>
      <c r="H458" s="19" t="s">
        <v>181</v>
      </c>
      <c r="I458" s="19" t="str">
        <f>IF(W458="ADMITIDO","ADMITIDO",IF(W458="CANCELADA","CANCELADA",IF(H458="","",IFERROR(_xlfn.XLOOKUP(H458,Listas!I:I,Listas!J:J),"OUTROS"))))</f>
        <v>DOCUMENTAÇÃO</v>
      </c>
      <c r="J458" s="12" t="s">
        <v>146</v>
      </c>
      <c r="K458" s="12" t="s">
        <v>614</v>
      </c>
      <c r="L458" s="12" t="s">
        <v>1232</v>
      </c>
      <c r="M458" s="12" t="s">
        <v>88</v>
      </c>
      <c r="N458" s="11" t="s">
        <v>56</v>
      </c>
      <c r="O458" s="11" t="s">
        <v>35</v>
      </c>
      <c r="P458" s="11" t="s">
        <v>357</v>
      </c>
      <c r="Q458" s="108"/>
      <c r="S458" s="18" t="s">
        <v>1233</v>
      </c>
      <c r="T458" s="11" t="s">
        <v>38</v>
      </c>
      <c r="U458" s="202">
        <v>46156</v>
      </c>
      <c r="V458" s="41" t="s">
        <v>1234</v>
      </c>
      <c r="W458" s="23" t="s">
        <v>810</v>
      </c>
      <c r="AB458" s="10">
        <v>0</v>
      </c>
    </row>
    <row r="459" spans="1:28" hidden="1">
      <c r="A459" s="100">
        <v>30285</v>
      </c>
      <c r="B459" s="10">
        <v>1</v>
      </c>
      <c r="C459" s="201">
        <v>46153</v>
      </c>
      <c r="D459" s="105">
        <f t="shared" ref="D459:D478" ca="1" si="24">TODAY()-C459</f>
        <v>74</v>
      </c>
      <c r="E459" s="138" t="str">
        <f t="shared" ca="1" si="23"/>
        <v>CRÍTICO</v>
      </c>
      <c r="F459" s="19" t="s">
        <v>42</v>
      </c>
      <c r="G459" s="147" t="s">
        <v>69</v>
      </c>
      <c r="H459" s="19" t="s">
        <v>181</v>
      </c>
      <c r="I459" s="19" t="str">
        <f>IF(W459="ADMITIDO","ADMITIDO",IF(W459="CANCELADA","CANCELADA",IF(H459="","",IFERROR(_xlfn.XLOOKUP(H459,Listas!I:I,Listas!J:J),"OUTROS"))))</f>
        <v>DOCUMENTAÇÃO</v>
      </c>
      <c r="J459" s="12" t="s">
        <v>44</v>
      </c>
      <c r="K459" s="12" t="s">
        <v>70</v>
      </c>
      <c r="L459" s="12" t="s">
        <v>128</v>
      </c>
      <c r="M459" s="12" t="s">
        <v>63</v>
      </c>
      <c r="N459" s="11" t="s">
        <v>34</v>
      </c>
      <c r="O459" s="11" t="s">
        <v>57</v>
      </c>
      <c r="P459" s="11" t="s">
        <v>98</v>
      </c>
      <c r="Q459" s="108" t="s">
        <v>1235</v>
      </c>
      <c r="S459" s="18"/>
      <c r="T459" s="11" t="s">
        <v>1236</v>
      </c>
      <c r="U459" s="202">
        <v>46156</v>
      </c>
      <c r="V459" s="41" t="s">
        <v>1237</v>
      </c>
      <c r="W459" s="23" t="s">
        <v>188</v>
      </c>
      <c r="X459" s="14">
        <v>46160</v>
      </c>
      <c r="Y459" s="14">
        <v>46161</v>
      </c>
      <c r="Z459" s="10">
        <v>145980</v>
      </c>
      <c r="AB459" s="10">
        <v>0</v>
      </c>
    </row>
    <row r="460" spans="1:28" hidden="1">
      <c r="A460" s="100">
        <v>30280</v>
      </c>
      <c r="B460" s="10">
        <v>1</v>
      </c>
      <c r="C460" s="201">
        <v>46153</v>
      </c>
      <c r="D460" s="105">
        <f t="shared" ca="1" si="24"/>
        <v>74</v>
      </c>
      <c r="E460" s="138" t="str">
        <f t="shared" ca="1" si="23"/>
        <v>CRÍTICO</v>
      </c>
      <c r="F460" s="19" t="s">
        <v>28</v>
      </c>
      <c r="G460" s="147" t="s">
        <v>60</v>
      </c>
      <c r="H460" s="19" t="s">
        <v>91</v>
      </c>
      <c r="I460" s="19" t="str">
        <f>IF(W460="ADMITIDO","ADMITIDO",IF(W460="CANCELADA","CANCELADA",IF(H460="","",IFERROR(_xlfn.XLOOKUP(H460,Listas!I:I,Listas!J:J),"OUTROS"))))</f>
        <v>TRIAGEM</v>
      </c>
      <c r="J460" s="12" t="s">
        <v>586</v>
      </c>
      <c r="K460" s="12" t="s">
        <v>330</v>
      </c>
      <c r="L460" s="12" t="s">
        <v>996</v>
      </c>
      <c r="M460" s="12" t="s">
        <v>63</v>
      </c>
      <c r="N460" s="11" t="s">
        <v>34</v>
      </c>
      <c r="O460" s="11" t="s">
        <v>35</v>
      </c>
      <c r="P460" s="11" t="s">
        <v>36</v>
      </c>
      <c r="Q460" s="108"/>
      <c r="S460" s="18"/>
      <c r="W460" s="44"/>
      <c r="AB460" s="10">
        <v>0</v>
      </c>
    </row>
    <row r="461" spans="1:28" hidden="1">
      <c r="A461" s="100">
        <v>30269</v>
      </c>
      <c r="B461" s="10">
        <v>1</v>
      </c>
      <c r="C461" s="201">
        <v>46153</v>
      </c>
      <c r="D461" s="105">
        <f t="shared" ca="1" si="24"/>
        <v>74</v>
      </c>
      <c r="E461" s="138" t="str">
        <f t="shared" si="23"/>
        <v>ADMITIDO</v>
      </c>
      <c r="F461" s="19" t="s">
        <v>28</v>
      </c>
      <c r="G461" s="147" t="s">
        <v>145</v>
      </c>
      <c r="H461" s="19" t="s">
        <v>40</v>
      </c>
      <c r="I461" s="19" t="str">
        <f>IF(W461="ADMITIDO","ADMITIDO",IF(W461="CANCELADA","CANCELADA",IF(H461="","",IFERROR(_xlfn.XLOOKUP(H461,Listas!I:I,Listas!J:J),"OUTROS"))))</f>
        <v>ADMITIDO</v>
      </c>
      <c r="J461" s="12" t="s">
        <v>268</v>
      </c>
      <c r="K461" s="12" t="s">
        <v>371</v>
      </c>
      <c r="L461" s="12" t="s">
        <v>998</v>
      </c>
      <c r="M461" s="12" t="s">
        <v>999</v>
      </c>
      <c r="N461" s="11" t="s">
        <v>34</v>
      </c>
      <c r="O461" s="11" t="s">
        <v>35</v>
      </c>
      <c r="P461" s="11" t="s">
        <v>36</v>
      </c>
      <c r="Q461" s="108"/>
      <c r="S461" s="18"/>
      <c r="T461" s="11" t="s">
        <v>132</v>
      </c>
      <c r="U461" s="202">
        <v>46156</v>
      </c>
      <c r="V461" s="42" t="s">
        <v>1238</v>
      </c>
      <c r="W461" s="59" t="s">
        <v>40</v>
      </c>
      <c r="X461" s="43">
        <v>46157</v>
      </c>
      <c r="Y461" s="14">
        <v>46161</v>
      </c>
      <c r="Z461" s="10">
        <v>914291</v>
      </c>
      <c r="AB461" s="10">
        <v>0</v>
      </c>
    </row>
    <row r="462" spans="1:28" hidden="1">
      <c r="A462" s="100">
        <v>30289</v>
      </c>
      <c r="B462" s="10">
        <v>1</v>
      </c>
      <c r="C462" s="201">
        <v>46153</v>
      </c>
      <c r="D462" s="105">
        <f t="shared" ca="1" si="24"/>
        <v>74</v>
      </c>
      <c r="E462" s="138" t="str">
        <f t="shared" ca="1" si="23"/>
        <v>CRÍTICO</v>
      </c>
      <c r="F462" s="19" t="s">
        <v>42</v>
      </c>
      <c r="G462" s="147" t="s">
        <v>29</v>
      </c>
      <c r="H462" s="19" t="s">
        <v>91</v>
      </c>
      <c r="I462" s="19" t="str">
        <f>IF(W462="ADMITIDO","ADMITIDO",IF(W462="CANCELADA","CANCELADA",IF(H462="","",IFERROR(_xlfn.XLOOKUP(H462,Listas!I:I,Listas!J:J),"OUTROS"))))</f>
        <v>TRIAGEM</v>
      </c>
      <c r="J462" s="12" t="s">
        <v>53</v>
      </c>
      <c r="K462" s="12" t="s">
        <v>54</v>
      </c>
      <c r="L462" s="12" t="s">
        <v>164</v>
      </c>
      <c r="M462" s="12" t="s">
        <v>88</v>
      </c>
      <c r="N462" s="11" t="s">
        <v>34</v>
      </c>
      <c r="O462" s="11" t="s">
        <v>57</v>
      </c>
      <c r="P462" s="11" t="s">
        <v>231</v>
      </c>
      <c r="Q462" s="108"/>
      <c r="S462" s="18"/>
      <c r="W462" s="56"/>
      <c r="AB462" s="10">
        <v>0</v>
      </c>
    </row>
    <row r="463" spans="1:28" hidden="1">
      <c r="A463" s="100">
        <v>30283</v>
      </c>
      <c r="B463" s="10">
        <v>1</v>
      </c>
      <c r="C463" s="201">
        <v>46153</v>
      </c>
      <c r="D463" s="105">
        <f t="shared" ca="1" si="24"/>
        <v>74</v>
      </c>
      <c r="E463" s="138" t="str">
        <f t="shared" ca="1" si="23"/>
        <v>CRÍTICO</v>
      </c>
      <c r="F463" s="19" t="s">
        <v>171</v>
      </c>
      <c r="G463" s="147" t="s">
        <v>240</v>
      </c>
      <c r="H463" s="19" t="s">
        <v>91</v>
      </c>
      <c r="I463" s="19" t="str">
        <f>IF(W463="ADMITIDO","ADMITIDO",IF(W463="CANCELADA","CANCELADA",IF(H463="","",IFERROR(_xlfn.XLOOKUP(H463,Listas!I:I,Listas!J:J),"OUTROS"))))</f>
        <v>TRIAGEM</v>
      </c>
      <c r="J463" s="12" t="s">
        <v>514</v>
      </c>
      <c r="K463" s="12" t="s">
        <v>423</v>
      </c>
      <c r="L463" s="12" t="s">
        <v>307</v>
      </c>
      <c r="M463" s="12" t="s">
        <v>243</v>
      </c>
      <c r="N463" s="11" t="s">
        <v>34</v>
      </c>
      <c r="O463" s="11" t="s">
        <v>35</v>
      </c>
      <c r="P463" s="11" t="s">
        <v>36</v>
      </c>
      <c r="Q463" s="108"/>
      <c r="S463" s="18"/>
      <c r="AB463" s="10">
        <v>0</v>
      </c>
    </row>
    <row r="464" spans="1:28" hidden="1">
      <c r="A464" s="100">
        <v>30268</v>
      </c>
      <c r="B464" s="10">
        <v>1</v>
      </c>
      <c r="C464" s="201">
        <v>46153</v>
      </c>
      <c r="D464" s="105">
        <f t="shared" ca="1" si="24"/>
        <v>74</v>
      </c>
      <c r="E464" s="138" t="str">
        <f t="shared" ca="1" si="23"/>
        <v>CRÍTICO</v>
      </c>
      <c r="F464" s="19" t="s">
        <v>28</v>
      </c>
      <c r="G464" s="147" t="s">
        <v>145</v>
      </c>
      <c r="H464" s="19" t="s">
        <v>91</v>
      </c>
      <c r="I464" s="19" t="str">
        <f>IF(W464="ADMITIDO","ADMITIDO",IF(W464="CANCELADA","CANCELADA",IF(H464="","",IFERROR(_xlfn.XLOOKUP(H464,Listas!I:I,Listas!J:J),"OUTROS"))))</f>
        <v>TRIAGEM</v>
      </c>
      <c r="J464" s="12" t="s">
        <v>586</v>
      </c>
      <c r="K464" s="12" t="s">
        <v>371</v>
      </c>
      <c r="L464" s="12" t="s">
        <v>921</v>
      </c>
      <c r="M464" s="12" t="s">
        <v>672</v>
      </c>
      <c r="N464" s="11" t="s">
        <v>34</v>
      </c>
      <c r="O464" s="11" t="s">
        <v>35</v>
      </c>
      <c r="P464" s="11" t="s">
        <v>36</v>
      </c>
      <c r="Q464" s="108"/>
      <c r="S464" s="18"/>
      <c r="AB464" s="10">
        <v>0</v>
      </c>
    </row>
    <row r="465" spans="1:28" hidden="1">
      <c r="A465" s="100">
        <v>30276</v>
      </c>
      <c r="B465" s="10">
        <v>1</v>
      </c>
      <c r="C465" s="201">
        <v>46153</v>
      </c>
      <c r="D465" s="105">
        <f t="shared" ca="1" si="24"/>
        <v>74</v>
      </c>
      <c r="E465" s="138" t="str">
        <f t="shared" ca="1" si="23"/>
        <v>CRÍTICO</v>
      </c>
      <c r="F465" s="19" t="s">
        <v>171</v>
      </c>
      <c r="G465" s="147" t="s">
        <v>145</v>
      </c>
      <c r="H465" s="117" t="s">
        <v>181</v>
      </c>
      <c r="I465" s="19" t="str">
        <f>IF(W465="ADMITIDO","ADMITIDO",IF(W465="CANCELADA","CANCELADA",IF(H465="","",IFERROR(_xlfn.XLOOKUP(H465,Listas!I:I,Listas!J:J),"OUTROS"))))</f>
        <v>DOCUMENTAÇÃO</v>
      </c>
      <c r="J465" s="12" t="s">
        <v>514</v>
      </c>
      <c r="K465" s="12" t="s">
        <v>371</v>
      </c>
      <c r="L465" s="12" t="s">
        <v>921</v>
      </c>
      <c r="M465" s="12" t="s">
        <v>672</v>
      </c>
      <c r="N465" s="11" t="s">
        <v>34</v>
      </c>
      <c r="O465" s="11" t="s">
        <v>35</v>
      </c>
      <c r="P465" s="11" t="s">
        <v>36</v>
      </c>
      <c r="Q465" s="108"/>
      <c r="S465" s="18"/>
      <c r="AB465" s="10">
        <v>0</v>
      </c>
    </row>
    <row r="466" spans="1:28" hidden="1">
      <c r="A466" s="100">
        <v>30274</v>
      </c>
      <c r="B466" s="10">
        <v>1</v>
      </c>
      <c r="C466" s="201">
        <v>46153</v>
      </c>
      <c r="D466" s="105">
        <f t="shared" ca="1" si="24"/>
        <v>74</v>
      </c>
      <c r="E466" s="138" t="str">
        <f t="shared" ca="1" si="23"/>
        <v>CRÍTICO</v>
      </c>
      <c r="F466" s="19" t="s">
        <v>171</v>
      </c>
      <c r="G466" s="147" t="s">
        <v>145</v>
      </c>
      <c r="H466" s="117" t="s">
        <v>181</v>
      </c>
      <c r="I466" s="19" t="str">
        <f>IF(W466="ADMITIDO","ADMITIDO",IF(W466="CANCELADA","CANCELADA",IF(H466="","",IFERROR(_xlfn.XLOOKUP(H466,Listas!I:I,Listas!J:J),"OUTROS"))))</f>
        <v>DOCUMENTAÇÃO</v>
      </c>
      <c r="J466" s="12" t="s">
        <v>514</v>
      </c>
      <c r="K466" s="12" t="s">
        <v>371</v>
      </c>
      <c r="L466" s="12" t="s">
        <v>1239</v>
      </c>
      <c r="M466" s="12" t="s">
        <v>63</v>
      </c>
      <c r="N466" s="11" t="s">
        <v>34</v>
      </c>
      <c r="O466" s="11" t="s">
        <v>35</v>
      </c>
      <c r="P466" s="11" t="s">
        <v>36</v>
      </c>
      <c r="Q466" s="108"/>
      <c r="S466" s="18"/>
      <c r="T466" s="11" t="s">
        <v>132</v>
      </c>
      <c r="U466" s="202">
        <v>46157</v>
      </c>
      <c r="V466" s="41" t="s">
        <v>1240</v>
      </c>
      <c r="W466" s="23" t="s">
        <v>284</v>
      </c>
      <c r="AB466" s="10">
        <v>0</v>
      </c>
    </row>
    <row r="467" spans="1:28" hidden="1">
      <c r="A467" s="100">
        <v>30286</v>
      </c>
      <c r="B467" s="10">
        <v>1</v>
      </c>
      <c r="C467" s="201">
        <v>46153</v>
      </c>
      <c r="D467" s="105">
        <f t="shared" ca="1" si="24"/>
        <v>74</v>
      </c>
      <c r="E467" s="138" t="str">
        <f t="shared" ca="1" si="23"/>
        <v>CRÍTICO</v>
      </c>
      <c r="F467" s="19" t="s">
        <v>42</v>
      </c>
      <c r="G467" s="147" t="s">
        <v>145</v>
      </c>
      <c r="H467" s="117" t="s">
        <v>91</v>
      </c>
      <c r="I467" s="19" t="str">
        <f>IF(W467="ADMITIDO","ADMITIDO",IF(W467="CANCELADA","CANCELADA",IF(H467="","",IFERROR(_xlfn.XLOOKUP(H467,Listas!I:I,Listas!J:J),"OUTROS"))))</f>
        <v>TRIAGEM</v>
      </c>
      <c r="J467" s="12" t="s">
        <v>44</v>
      </c>
      <c r="K467" s="12" t="s">
        <v>103</v>
      </c>
      <c r="L467" s="12" t="s">
        <v>1226</v>
      </c>
      <c r="M467" s="12"/>
      <c r="N467" s="11" t="s">
        <v>34</v>
      </c>
      <c r="O467" s="11" t="s">
        <v>48</v>
      </c>
      <c r="P467" s="11" t="s">
        <v>275</v>
      </c>
      <c r="Q467" s="108"/>
      <c r="S467" s="18"/>
      <c r="AB467" s="10">
        <v>0</v>
      </c>
    </row>
    <row r="468" spans="1:28" hidden="1">
      <c r="A468" s="100">
        <v>30281</v>
      </c>
      <c r="B468" s="10">
        <v>1</v>
      </c>
      <c r="C468" s="201">
        <v>46153</v>
      </c>
      <c r="D468" s="105">
        <f t="shared" ca="1" si="24"/>
        <v>74</v>
      </c>
      <c r="E468" s="138" t="str">
        <f t="shared" ca="1" si="23"/>
        <v>CRÍTICO</v>
      </c>
      <c r="F468" s="19" t="s">
        <v>28</v>
      </c>
      <c r="G468" s="147" t="s">
        <v>240</v>
      </c>
      <c r="H468" s="117" t="s">
        <v>822</v>
      </c>
      <c r="I468" s="19" t="str">
        <f>IF(W468="ADMITIDO","ADMITIDO",IF(W468="CANCELADA","CANCELADA",IF(H468="","",IFERROR(_xlfn.XLOOKUP(H468,Listas!I:I,Listas!J:J),"OUTROS"))))</f>
        <v>ENTREVISTA RH</v>
      </c>
      <c r="J468" s="12" t="s">
        <v>683</v>
      </c>
      <c r="K468" s="12" t="s">
        <v>423</v>
      </c>
      <c r="L468" s="12" t="s">
        <v>684</v>
      </c>
      <c r="M468" s="12" t="s">
        <v>63</v>
      </c>
      <c r="N468" s="11" t="s">
        <v>34</v>
      </c>
      <c r="O468" s="11" t="s">
        <v>35</v>
      </c>
      <c r="P468" s="11" t="s">
        <v>1241</v>
      </c>
      <c r="Q468" s="108"/>
      <c r="S468" s="18"/>
      <c r="AB468" s="10">
        <v>0</v>
      </c>
    </row>
    <row r="469" spans="1:28" hidden="1">
      <c r="A469" s="100">
        <v>30282</v>
      </c>
      <c r="B469" s="10">
        <v>1</v>
      </c>
      <c r="C469" s="201">
        <v>46153</v>
      </c>
      <c r="D469" s="105">
        <f t="shared" ca="1" si="24"/>
        <v>74</v>
      </c>
      <c r="E469" s="138" t="str">
        <f t="shared" ca="1" si="23"/>
        <v>CRÍTICO</v>
      </c>
      <c r="F469" s="19" t="s">
        <v>28</v>
      </c>
      <c r="G469" s="147" t="s">
        <v>240</v>
      </c>
      <c r="H469" s="117" t="s">
        <v>822</v>
      </c>
      <c r="I469" s="19" t="str">
        <f>IF(W469="ADMITIDO","ADMITIDO",IF(W469="CANCELADA","CANCELADA",IF(H469="","",IFERROR(_xlfn.XLOOKUP(H469,Listas!I:I,Listas!J:J),"OUTROS"))))</f>
        <v>ENTREVISTA RH</v>
      </c>
      <c r="J469" s="12" t="s">
        <v>683</v>
      </c>
      <c r="K469" s="12" t="s">
        <v>423</v>
      </c>
      <c r="L469" s="12" t="s">
        <v>684</v>
      </c>
      <c r="M469" s="12" t="s">
        <v>63</v>
      </c>
      <c r="N469" s="11" t="s">
        <v>34</v>
      </c>
      <c r="O469" s="11" t="s">
        <v>35</v>
      </c>
      <c r="P469" s="11" t="s">
        <v>36</v>
      </c>
      <c r="Q469" s="108"/>
      <c r="S469" s="18"/>
      <c r="AB469" s="10">
        <v>0</v>
      </c>
    </row>
    <row r="470" spans="1:28" hidden="1">
      <c r="A470" s="100">
        <v>30278</v>
      </c>
      <c r="B470" s="10">
        <v>1</v>
      </c>
      <c r="C470" s="201">
        <v>46153</v>
      </c>
      <c r="D470" s="105">
        <f t="shared" ca="1" si="24"/>
        <v>74</v>
      </c>
      <c r="E470" s="138" t="str">
        <f t="shared" ca="1" si="23"/>
        <v>CRÍTICO</v>
      </c>
      <c r="F470" s="19" t="s">
        <v>28</v>
      </c>
      <c r="G470" s="147" t="s">
        <v>60</v>
      </c>
      <c r="H470" s="117" t="s">
        <v>91</v>
      </c>
      <c r="I470" s="19" t="str">
        <f>IF(W470="ADMITIDO","ADMITIDO",IF(W470="CANCELADA","CANCELADA",IF(H470="","",IFERROR(_xlfn.XLOOKUP(H470,Listas!I:I,Listas!J:J),"OUTROS"))))</f>
        <v>TRIAGEM</v>
      </c>
      <c r="J470" s="12" t="s">
        <v>268</v>
      </c>
      <c r="K470" s="12" t="s">
        <v>330</v>
      </c>
      <c r="L470" s="12" t="s">
        <v>1242</v>
      </c>
      <c r="M470" s="12" t="s">
        <v>63</v>
      </c>
      <c r="N470" s="11" t="s">
        <v>34</v>
      </c>
      <c r="O470" s="11" t="s">
        <v>35</v>
      </c>
      <c r="P470" s="11" t="s">
        <v>36</v>
      </c>
      <c r="Q470" s="108"/>
      <c r="S470" s="18"/>
      <c r="AB470" s="10">
        <v>0</v>
      </c>
    </row>
    <row r="471" spans="1:28" hidden="1">
      <c r="A471" s="100">
        <v>30279</v>
      </c>
      <c r="B471" s="10">
        <v>1</v>
      </c>
      <c r="C471" s="201">
        <v>46153</v>
      </c>
      <c r="D471" s="105">
        <f t="shared" ca="1" si="24"/>
        <v>74</v>
      </c>
      <c r="E471" s="138" t="str">
        <f t="shared" ca="1" si="23"/>
        <v>CRÍTICO</v>
      </c>
      <c r="F471" s="19" t="s">
        <v>28</v>
      </c>
      <c r="G471" s="147" t="s">
        <v>60</v>
      </c>
      <c r="H471" s="117" t="s">
        <v>91</v>
      </c>
      <c r="I471" s="19" t="str">
        <f>IF(W471="ADMITIDO","ADMITIDO",IF(W471="CANCELADA","CANCELADA",IF(H471="","",IFERROR(_xlfn.XLOOKUP(H471,Listas!I:I,Listas!J:J),"OUTROS"))))</f>
        <v>TRIAGEM</v>
      </c>
      <c r="J471" s="12" t="s">
        <v>268</v>
      </c>
      <c r="K471" s="12" t="s">
        <v>330</v>
      </c>
      <c r="L471" s="12" t="s">
        <v>1242</v>
      </c>
      <c r="M471" s="12" t="s">
        <v>63</v>
      </c>
      <c r="N471" s="11" t="s">
        <v>34</v>
      </c>
      <c r="O471" s="11" t="s">
        <v>35</v>
      </c>
      <c r="P471" s="11" t="s">
        <v>36</v>
      </c>
      <c r="Q471" s="108"/>
      <c r="S471" s="18"/>
      <c r="AB471" s="10">
        <v>0</v>
      </c>
    </row>
    <row r="472" spans="1:28" hidden="1">
      <c r="A472" s="100">
        <v>30284</v>
      </c>
      <c r="B472" s="10">
        <v>1</v>
      </c>
      <c r="C472" s="201">
        <v>46153</v>
      </c>
      <c r="D472" s="105">
        <f t="shared" ca="1" si="24"/>
        <v>74</v>
      </c>
      <c r="E472" s="138" t="str">
        <f t="shared" ca="1" si="23"/>
        <v>CRÍTICO</v>
      </c>
      <c r="F472" s="19" t="s">
        <v>28</v>
      </c>
      <c r="G472" s="147" t="s">
        <v>240</v>
      </c>
      <c r="H472" s="117" t="s">
        <v>91</v>
      </c>
      <c r="I472" s="19" t="str">
        <f>IF(W472="ADMITIDO","ADMITIDO",IF(W472="CANCELADA","CANCELADA",IF(H472="","",IFERROR(_xlfn.XLOOKUP(H472,Listas!I:I,Listas!J:J),"OUTROS"))))</f>
        <v>TRIAGEM</v>
      </c>
      <c r="J472" s="12" t="s">
        <v>268</v>
      </c>
      <c r="K472" s="12" t="s">
        <v>423</v>
      </c>
      <c r="L472" s="12" t="s">
        <v>855</v>
      </c>
      <c r="M472" s="12" t="s">
        <v>63</v>
      </c>
      <c r="N472" s="11" t="s">
        <v>34</v>
      </c>
      <c r="O472" s="11" t="s">
        <v>35</v>
      </c>
      <c r="P472" s="11" t="s">
        <v>36</v>
      </c>
      <c r="Q472" s="108"/>
      <c r="S472" s="18"/>
      <c r="AB472" s="10">
        <v>0</v>
      </c>
    </row>
    <row r="473" spans="1:28" hidden="1">
      <c r="A473" s="100">
        <v>30272</v>
      </c>
      <c r="B473" s="10">
        <v>1</v>
      </c>
      <c r="C473" s="201">
        <v>46153</v>
      </c>
      <c r="D473" s="105">
        <f t="shared" ca="1" si="24"/>
        <v>74</v>
      </c>
      <c r="E473" s="138" t="str">
        <f t="shared" ca="1" si="23"/>
        <v>CRÍTICO</v>
      </c>
      <c r="F473" s="19" t="s">
        <v>42</v>
      </c>
      <c r="G473" s="147" t="s">
        <v>69</v>
      </c>
      <c r="H473" s="117" t="s">
        <v>91</v>
      </c>
      <c r="I473" s="19" t="str">
        <f>IF(W473="ADMITIDO","ADMITIDO",IF(W473="CANCELADA","CANCELADA",IF(H473="","",IFERROR(_xlfn.XLOOKUP(H473,Listas!I:I,Listas!J:J),"OUTROS"))))</f>
        <v>TRIAGEM</v>
      </c>
      <c r="J473" s="12" t="s">
        <v>53</v>
      </c>
      <c r="K473" s="12" t="s">
        <v>158</v>
      </c>
      <c r="L473" s="12" t="s">
        <v>618</v>
      </c>
      <c r="M473" s="12" t="s">
        <v>63</v>
      </c>
      <c r="N473" s="11" t="s">
        <v>34</v>
      </c>
      <c r="O473" s="11" t="s">
        <v>72</v>
      </c>
      <c r="P473" s="11" t="s">
        <v>619</v>
      </c>
      <c r="Q473" s="108"/>
      <c r="S473" s="18"/>
      <c r="AB473" s="10">
        <v>0</v>
      </c>
    </row>
    <row r="474" spans="1:28" hidden="1">
      <c r="A474" s="100">
        <v>30292</v>
      </c>
      <c r="B474" s="10">
        <v>1</v>
      </c>
      <c r="C474" s="201">
        <v>46153</v>
      </c>
      <c r="D474" s="105">
        <f t="shared" ca="1" si="24"/>
        <v>74</v>
      </c>
      <c r="E474" s="138" t="str">
        <f t="shared" ca="1" si="23"/>
        <v>CRÍTICO</v>
      </c>
      <c r="F474" s="19" t="s">
        <v>42</v>
      </c>
      <c r="G474" s="147" t="s">
        <v>69</v>
      </c>
      <c r="H474" s="117" t="s">
        <v>91</v>
      </c>
      <c r="I474" s="19" t="str">
        <f>IF(W474="ADMITIDO","ADMITIDO",IF(W474="CANCELADA","CANCELADA",IF(H474="","",IFERROR(_xlfn.XLOOKUP(H474,Listas!I:I,Listas!J:J),"OUTROS"))))</f>
        <v>TRIAGEM</v>
      </c>
      <c r="J474" s="12" t="s">
        <v>53</v>
      </c>
      <c r="K474" s="12" t="s">
        <v>70</v>
      </c>
      <c r="L474" s="12" t="s">
        <v>215</v>
      </c>
      <c r="M474" s="12" t="s">
        <v>63</v>
      </c>
      <c r="N474" s="11" t="s">
        <v>34</v>
      </c>
      <c r="O474" s="11" t="s">
        <v>48</v>
      </c>
      <c r="P474" s="11" t="s">
        <v>49</v>
      </c>
      <c r="Q474" s="108"/>
      <c r="S474" s="18"/>
      <c r="AB474" s="10">
        <v>0</v>
      </c>
    </row>
    <row r="475" spans="1:28" hidden="1">
      <c r="A475" s="100">
        <v>30287</v>
      </c>
      <c r="B475" s="10">
        <v>1</v>
      </c>
      <c r="C475" s="201">
        <v>46153</v>
      </c>
      <c r="D475" s="105">
        <f t="shared" ca="1" si="24"/>
        <v>74</v>
      </c>
      <c r="E475" s="138" t="str">
        <f t="shared" ca="1" si="23"/>
        <v>CRÍTICO</v>
      </c>
      <c r="F475" s="19" t="s">
        <v>42</v>
      </c>
      <c r="G475" s="147" t="s">
        <v>43</v>
      </c>
      <c r="H475" s="117" t="s">
        <v>181</v>
      </c>
      <c r="I475" s="19" t="str">
        <f>IF(W475="ADMITIDO","ADMITIDO",IF(W475="CANCELADA","CANCELADA",IF(H475="","",IFERROR(_xlfn.XLOOKUP(H475,Listas!I:I,Listas!J:J),"OUTROS"))))</f>
        <v>DOCUMENTAÇÃO</v>
      </c>
      <c r="J475" s="12" t="s">
        <v>44</v>
      </c>
      <c r="K475" s="12" t="s">
        <v>189</v>
      </c>
      <c r="L475" s="12" t="s">
        <v>528</v>
      </c>
      <c r="M475" s="12" t="s">
        <v>529</v>
      </c>
      <c r="N475" s="11" t="s">
        <v>34</v>
      </c>
      <c r="O475" s="11" t="s">
        <v>1243</v>
      </c>
      <c r="P475" s="11" t="s">
        <v>414</v>
      </c>
      <c r="Q475" s="108"/>
      <c r="R475" s="16" t="s">
        <v>1244</v>
      </c>
      <c r="S475" s="18">
        <v>11914796079</v>
      </c>
      <c r="T475" s="11" t="s">
        <v>67</v>
      </c>
      <c r="U475" s="202">
        <v>46154</v>
      </c>
      <c r="V475" s="41" t="s">
        <v>1245</v>
      </c>
      <c r="W475" s="23" t="s">
        <v>284</v>
      </c>
      <c r="AA475" s="149" t="s">
        <v>1246</v>
      </c>
      <c r="AB475" s="10">
        <v>0</v>
      </c>
    </row>
    <row r="476" spans="1:28" hidden="1">
      <c r="A476" s="100">
        <v>30288</v>
      </c>
      <c r="B476" s="10">
        <v>1</v>
      </c>
      <c r="C476" s="201">
        <v>46153</v>
      </c>
      <c r="D476" s="105">
        <f t="shared" ca="1" si="24"/>
        <v>74</v>
      </c>
      <c r="E476" s="138" t="str">
        <f t="shared" ca="1" si="23"/>
        <v>CRÍTICO</v>
      </c>
      <c r="F476" s="19" t="s">
        <v>42</v>
      </c>
      <c r="G476" s="147" t="s">
        <v>43</v>
      </c>
      <c r="H476" s="117" t="s">
        <v>91</v>
      </c>
      <c r="I476" s="19" t="str">
        <f>IF(W476="ADMITIDO","ADMITIDO",IF(W476="CANCELADA","CANCELADA",IF(H476="","",IFERROR(_xlfn.XLOOKUP(H476,Listas!I:I,Listas!J:J),"OUTROS"))))</f>
        <v>TRIAGEM</v>
      </c>
      <c r="J476" s="12" t="s">
        <v>44</v>
      </c>
      <c r="K476" s="12" t="s">
        <v>189</v>
      </c>
      <c r="L476" s="12" t="s">
        <v>528</v>
      </c>
      <c r="M476" s="12" t="s">
        <v>529</v>
      </c>
      <c r="N476" s="11" t="s">
        <v>34</v>
      </c>
      <c r="O476" s="11" t="s">
        <v>1243</v>
      </c>
      <c r="P476" s="11" t="s">
        <v>414</v>
      </c>
      <c r="Q476" s="108"/>
      <c r="S476" s="18"/>
      <c r="AB476" s="10">
        <v>0</v>
      </c>
    </row>
    <row r="477" spans="1:28" hidden="1">
      <c r="A477" s="100">
        <v>30273</v>
      </c>
      <c r="B477" s="10">
        <v>1</v>
      </c>
      <c r="C477" s="201">
        <v>46153</v>
      </c>
      <c r="D477" s="105">
        <f t="shared" ca="1" si="24"/>
        <v>74</v>
      </c>
      <c r="E477" s="138" t="str">
        <f t="shared" ca="1" si="23"/>
        <v>CRÍTICO</v>
      </c>
      <c r="F477" s="19" t="s">
        <v>42</v>
      </c>
      <c r="G477" s="147" t="s">
        <v>240</v>
      </c>
      <c r="H477" s="117" t="s">
        <v>91</v>
      </c>
      <c r="I477" s="19" t="str">
        <f>IF(W477="ADMITIDO","ADMITIDO",IF(W477="CANCELADA","CANCELADA",IF(H477="","",IFERROR(_xlfn.XLOOKUP(H477,Listas!I:I,Listas!J:J),"OUTROS"))))</f>
        <v>TRIAGEM</v>
      </c>
      <c r="J477" s="12" t="s">
        <v>53</v>
      </c>
      <c r="K477" s="12" t="s">
        <v>241</v>
      </c>
      <c r="L477" s="12" t="s">
        <v>494</v>
      </c>
      <c r="M477" s="12" t="s">
        <v>175</v>
      </c>
      <c r="N477" s="11" t="s">
        <v>34</v>
      </c>
      <c r="O477" s="11" t="s">
        <v>35</v>
      </c>
      <c r="P477" s="11" t="s">
        <v>36</v>
      </c>
      <c r="Q477" s="108"/>
      <c r="S477" s="18"/>
      <c r="W477" s="44"/>
      <c r="AB477" s="10">
        <v>0</v>
      </c>
    </row>
    <row r="478" spans="1:28" ht="22.5" hidden="1">
      <c r="A478" s="100">
        <v>30277</v>
      </c>
      <c r="B478" s="10">
        <v>1</v>
      </c>
      <c r="C478" s="201">
        <v>46153</v>
      </c>
      <c r="D478" s="105">
        <f t="shared" ca="1" si="24"/>
        <v>74</v>
      </c>
      <c r="E478" s="138" t="str">
        <f t="shared" si="23"/>
        <v>ADMITIDO</v>
      </c>
      <c r="F478" s="19" t="s">
        <v>42</v>
      </c>
      <c r="G478" s="147" t="s">
        <v>145</v>
      </c>
      <c r="H478" s="117" t="s">
        <v>40</v>
      </c>
      <c r="I478" s="19" t="str">
        <f>IF(W478="ADMITIDO","ADMITIDO",IF(W478="CANCELADA","CANCELADA",IF(H478="","",IFERROR(_xlfn.XLOOKUP(H478,Listas!I:I,Listas!J:J),"OUTROS"))))</f>
        <v>ADMITIDO</v>
      </c>
      <c r="J478" s="12" t="s">
        <v>1247</v>
      </c>
      <c r="K478" s="12" t="s">
        <v>103</v>
      </c>
      <c r="L478" s="12" t="s">
        <v>194</v>
      </c>
      <c r="M478" s="12" t="s">
        <v>63</v>
      </c>
      <c r="N478" s="11" t="s">
        <v>34</v>
      </c>
      <c r="O478" s="11" t="s">
        <v>35</v>
      </c>
      <c r="P478" s="11" t="s">
        <v>711</v>
      </c>
      <c r="Q478" s="108" t="s">
        <v>1248</v>
      </c>
      <c r="R478" s="16" t="s">
        <v>1249</v>
      </c>
      <c r="S478" s="18"/>
      <c r="T478" s="11" t="s">
        <v>67</v>
      </c>
      <c r="U478" s="202">
        <v>46155</v>
      </c>
      <c r="V478" s="42" t="s">
        <v>1250</v>
      </c>
      <c r="W478" s="59" t="s">
        <v>40</v>
      </c>
      <c r="X478" s="43">
        <v>46157</v>
      </c>
      <c r="Y478" s="14">
        <v>46159</v>
      </c>
      <c r="Z478" s="10">
        <v>914289</v>
      </c>
      <c r="AB478" s="10">
        <v>0</v>
      </c>
    </row>
    <row r="479" spans="1:28" hidden="1">
      <c r="A479" s="22">
        <v>30291</v>
      </c>
      <c r="B479" s="10">
        <v>1</v>
      </c>
      <c r="C479" s="201">
        <v>46154</v>
      </c>
      <c r="D479" s="105">
        <f t="shared" ref="D479:D499" ca="1" si="25">TODAY()-C479</f>
        <v>73</v>
      </c>
      <c r="E479" s="138" t="str">
        <f t="shared" ca="1" si="23"/>
        <v>CRÍTICO</v>
      </c>
      <c r="F479" s="28" t="s">
        <v>42</v>
      </c>
      <c r="G479" s="147" t="s">
        <v>69</v>
      </c>
      <c r="H479" s="117" t="s">
        <v>91</v>
      </c>
      <c r="I479" s="19" t="str">
        <f>IF(W479="ADMITIDO","ADMITIDO",IF(W479="CANCELADA","CANCELADA",IF(H479="","",IFERROR(_xlfn.XLOOKUP(H479,Listas!I:I,Listas!J:J),"OUTROS"))))</f>
        <v>TRIAGEM</v>
      </c>
      <c r="J479" s="12" t="s">
        <v>461</v>
      </c>
      <c r="K479" s="12" t="s">
        <v>70</v>
      </c>
      <c r="L479" s="12" t="s">
        <v>343</v>
      </c>
      <c r="M479" s="12" t="s">
        <v>63</v>
      </c>
      <c r="N479" s="11" t="s">
        <v>34</v>
      </c>
      <c r="O479" s="11" t="s">
        <v>219</v>
      </c>
      <c r="P479" s="11" t="s">
        <v>462</v>
      </c>
      <c r="Q479" s="108"/>
      <c r="S479" s="18"/>
      <c r="W479" s="56"/>
      <c r="AB479" s="10">
        <v>0</v>
      </c>
    </row>
    <row r="480" spans="1:28" hidden="1">
      <c r="A480" s="22">
        <v>30290</v>
      </c>
      <c r="B480" s="10">
        <v>1</v>
      </c>
      <c r="C480" s="201">
        <v>46154</v>
      </c>
      <c r="D480" s="105">
        <f t="shared" ca="1" si="25"/>
        <v>73</v>
      </c>
      <c r="E480" s="138" t="str">
        <f t="shared" ca="1" si="23"/>
        <v>CRÍTICO</v>
      </c>
      <c r="F480" s="28" t="s">
        <v>28</v>
      </c>
      <c r="G480" s="147" t="s">
        <v>552</v>
      </c>
      <c r="H480" s="117" t="s">
        <v>91</v>
      </c>
      <c r="I480" s="19" t="str">
        <f>IF(W480="ADMITIDO","ADMITIDO",IF(W480="CANCELADA","CANCELADA",IF(H480="","",IFERROR(_xlfn.XLOOKUP(H480,Listas!I:I,Listas!J:J),"OUTROS"))))</f>
        <v>TRIAGEM</v>
      </c>
      <c r="J480" s="12" t="s">
        <v>146</v>
      </c>
      <c r="K480" s="12" t="s">
        <v>553</v>
      </c>
      <c r="L480" s="12" t="s">
        <v>1251</v>
      </c>
      <c r="M480" s="12" t="s">
        <v>1186</v>
      </c>
      <c r="N480" s="11" t="s">
        <v>34</v>
      </c>
      <c r="O480" s="11" t="s">
        <v>35</v>
      </c>
      <c r="P480" s="11" t="s">
        <v>287</v>
      </c>
      <c r="Q480" s="108"/>
      <c r="S480" s="18"/>
      <c r="AB480" s="10">
        <v>0</v>
      </c>
    </row>
    <row r="481" spans="1:28" hidden="1">
      <c r="A481" s="22">
        <v>30314</v>
      </c>
      <c r="B481" s="10">
        <v>1</v>
      </c>
      <c r="C481" s="201">
        <v>46154</v>
      </c>
      <c r="D481" s="105">
        <f t="shared" ca="1" si="25"/>
        <v>73</v>
      </c>
      <c r="E481" s="138" t="str">
        <f t="shared" ca="1" si="23"/>
        <v>CRÍTICO</v>
      </c>
      <c r="F481" s="28" t="s">
        <v>119</v>
      </c>
      <c r="G481" s="147" t="s">
        <v>821</v>
      </c>
      <c r="H481" s="117" t="s">
        <v>259</v>
      </c>
      <c r="I481" s="19" t="str">
        <f>IF(W481="ADMITIDO","ADMITIDO",IF(W481="CANCELADA","CANCELADA",IF(H481="","",IFERROR(_xlfn.XLOOKUP(H481,Listas!I:I,Listas!J:J),"OUTROS"))))</f>
        <v>TRIAGEM</v>
      </c>
      <c r="J481" s="12" t="s">
        <v>1252</v>
      </c>
      <c r="K481" s="12" t="s">
        <v>1253</v>
      </c>
      <c r="L481" s="12" t="s">
        <v>1254</v>
      </c>
      <c r="M481" s="12" t="s">
        <v>119</v>
      </c>
      <c r="N481" s="11" t="s">
        <v>34</v>
      </c>
      <c r="O481" s="11" t="s">
        <v>48</v>
      </c>
      <c r="P481" s="11" t="s">
        <v>441</v>
      </c>
      <c r="Q481" s="108"/>
      <c r="S481" s="18"/>
      <c r="AA481" s="203" t="s">
        <v>1255</v>
      </c>
      <c r="AB481" s="10">
        <v>1</v>
      </c>
    </row>
    <row r="482" spans="1:28" hidden="1">
      <c r="A482" s="22">
        <v>30299</v>
      </c>
      <c r="B482" s="10">
        <v>1</v>
      </c>
      <c r="C482" s="201">
        <v>46154</v>
      </c>
      <c r="D482" s="105">
        <f t="shared" ca="1" si="25"/>
        <v>73</v>
      </c>
      <c r="E482" s="138" t="str">
        <f t="shared" ca="1" si="23"/>
        <v>CRÍTICO</v>
      </c>
      <c r="F482" s="28" t="s">
        <v>42</v>
      </c>
      <c r="G482" s="147" t="s">
        <v>145</v>
      </c>
      <c r="H482" s="117" t="s">
        <v>91</v>
      </c>
      <c r="I482" s="19" t="str">
        <f>IF(W482="ADMITIDO","ADMITIDO",IF(W482="CANCELADA","CANCELADA",IF(H482="","",IFERROR(_xlfn.XLOOKUP(H482,Listas!I:I,Listas!J:J),"OUTROS"))))</f>
        <v>TRIAGEM</v>
      </c>
      <c r="J482" s="12" t="s">
        <v>53</v>
      </c>
      <c r="K482" s="12" t="s">
        <v>103</v>
      </c>
      <c r="L482" s="12" t="s">
        <v>104</v>
      </c>
      <c r="M482" s="12" t="s">
        <v>33</v>
      </c>
      <c r="N482" s="11" t="s">
        <v>34</v>
      </c>
      <c r="O482" s="11" t="s">
        <v>72</v>
      </c>
      <c r="P482" s="11" t="s">
        <v>73</v>
      </c>
      <c r="Q482" s="108"/>
      <c r="S482" s="18"/>
      <c r="AB482" s="10">
        <v>0</v>
      </c>
    </row>
    <row r="483" spans="1:28">
      <c r="A483" s="22">
        <v>30308</v>
      </c>
      <c r="B483" s="10">
        <v>1</v>
      </c>
      <c r="C483" s="201">
        <v>46154</v>
      </c>
      <c r="D483" s="105">
        <f t="shared" ca="1" si="25"/>
        <v>73</v>
      </c>
      <c r="E483" s="138" t="str">
        <f t="shared" ca="1" si="23"/>
        <v>CRÍTICO</v>
      </c>
      <c r="F483" s="28" t="s">
        <v>42</v>
      </c>
      <c r="G483" s="147" t="s">
        <v>663</v>
      </c>
      <c r="H483" s="117" t="s">
        <v>181</v>
      </c>
      <c r="I483" s="19" t="str">
        <f>IF(W483="ADMITIDO","ADMITIDO",IF(W483="CANCELADA","CANCELADA",IF(H483="","",IFERROR(_xlfn.XLOOKUP(H483,Listas!I:I,Listas!J:J),"OUTROS"))))</f>
        <v>DOCUMENTAÇÃO</v>
      </c>
      <c r="J483" s="12" t="s">
        <v>53</v>
      </c>
      <c r="K483" s="12" t="s">
        <v>54</v>
      </c>
      <c r="L483" s="12" t="s">
        <v>164</v>
      </c>
      <c r="M483" s="12" t="s">
        <v>88</v>
      </c>
      <c r="N483" s="11" t="s">
        <v>34</v>
      </c>
      <c r="O483" s="11" t="s">
        <v>57</v>
      </c>
      <c r="P483" s="11" t="s">
        <v>231</v>
      </c>
      <c r="Q483" s="108"/>
      <c r="S483" s="18" t="s">
        <v>1256</v>
      </c>
      <c r="T483" s="11" t="s">
        <v>38</v>
      </c>
      <c r="U483" s="202">
        <v>46156</v>
      </c>
      <c r="V483" s="41" t="s">
        <v>1257</v>
      </c>
      <c r="W483" s="44" t="s">
        <v>188</v>
      </c>
      <c r="X483" s="14">
        <v>46160</v>
      </c>
      <c r="Y483" s="14">
        <v>46161</v>
      </c>
      <c r="AB483" s="10">
        <v>0</v>
      </c>
    </row>
    <row r="484" spans="1:28" hidden="1">
      <c r="A484" s="22">
        <v>30311</v>
      </c>
      <c r="B484" s="10">
        <v>1</v>
      </c>
      <c r="C484" s="201">
        <v>46154</v>
      </c>
      <c r="D484" s="105">
        <f t="shared" ca="1" si="25"/>
        <v>73</v>
      </c>
      <c r="E484" s="138" t="str">
        <f t="shared" si="23"/>
        <v>ADMITIDO</v>
      </c>
      <c r="F484" s="28" t="s">
        <v>42</v>
      </c>
      <c r="G484" s="147" t="s">
        <v>29</v>
      </c>
      <c r="H484" s="117" t="s">
        <v>40</v>
      </c>
      <c r="I484" s="19" t="str">
        <f>IF(W484="ADMITIDO","ADMITIDO",IF(W484="CANCELADA","CANCELADA",IF(H484="","",IFERROR(_xlfn.XLOOKUP(H484,Listas!I:I,Listas!J:J),"OUTROS"))))</f>
        <v>ADMITIDO</v>
      </c>
      <c r="J484" s="12" t="s">
        <v>53</v>
      </c>
      <c r="K484" s="12" t="s">
        <v>54</v>
      </c>
      <c r="L484" s="12" t="s">
        <v>164</v>
      </c>
      <c r="M484" s="12" t="s">
        <v>88</v>
      </c>
      <c r="N484" s="11" t="s">
        <v>34</v>
      </c>
      <c r="O484" s="11" t="s">
        <v>35</v>
      </c>
      <c r="P484" s="11" t="s">
        <v>36</v>
      </c>
      <c r="Q484" s="108"/>
      <c r="S484" s="18" t="s">
        <v>1258</v>
      </c>
      <c r="T484" s="11" t="s">
        <v>38</v>
      </c>
      <c r="U484" s="202">
        <v>46155</v>
      </c>
      <c r="V484" s="42" t="s">
        <v>1259</v>
      </c>
      <c r="W484" s="59" t="s">
        <v>40</v>
      </c>
      <c r="X484" s="43">
        <v>46157</v>
      </c>
      <c r="Y484" s="14">
        <v>46158</v>
      </c>
      <c r="Z484" s="10">
        <v>145968</v>
      </c>
      <c r="AB484" s="10">
        <v>0</v>
      </c>
    </row>
    <row r="485" spans="1:28" hidden="1">
      <c r="A485" s="22">
        <v>30312</v>
      </c>
      <c r="B485" s="10">
        <v>1</v>
      </c>
      <c r="C485" s="201">
        <v>46154</v>
      </c>
      <c r="D485" s="105">
        <f t="shared" ca="1" si="25"/>
        <v>73</v>
      </c>
      <c r="E485" s="138" t="str">
        <f t="shared" ca="1" si="23"/>
        <v>CRÍTICO</v>
      </c>
      <c r="F485" s="28" t="s">
        <v>42</v>
      </c>
      <c r="G485" s="147" t="s">
        <v>29</v>
      </c>
      <c r="H485" s="117" t="s">
        <v>91</v>
      </c>
      <c r="I485" s="19" t="str">
        <f>IF(W485="ADMITIDO","ADMITIDO",IF(W485="CANCELADA","CANCELADA",IF(H485="","",IFERROR(_xlfn.XLOOKUP(H485,Listas!I:I,Listas!J:J),"OUTROS"))))</f>
        <v>TRIAGEM</v>
      </c>
      <c r="J485" s="12" t="s">
        <v>53</v>
      </c>
      <c r="K485" s="12" t="s">
        <v>54</v>
      </c>
      <c r="L485" s="12" t="s">
        <v>164</v>
      </c>
      <c r="M485" s="12" t="s">
        <v>88</v>
      </c>
      <c r="N485" s="11" t="s">
        <v>34</v>
      </c>
      <c r="O485" s="11" t="s">
        <v>57</v>
      </c>
      <c r="P485" s="11" t="s">
        <v>94</v>
      </c>
      <c r="Q485" s="108"/>
      <c r="S485" s="18"/>
      <c r="W485" s="56"/>
      <c r="AB485" s="10">
        <v>0</v>
      </c>
    </row>
    <row r="486" spans="1:28">
      <c r="A486" s="22">
        <v>30313</v>
      </c>
      <c r="B486" s="10">
        <v>1</v>
      </c>
      <c r="C486" s="201">
        <v>46154</v>
      </c>
      <c r="D486" s="105">
        <f t="shared" ca="1" si="25"/>
        <v>73</v>
      </c>
      <c r="E486" s="138" t="str">
        <f t="shared" ca="1" si="23"/>
        <v>CRÍTICO</v>
      </c>
      <c r="F486" s="28" t="s">
        <v>42</v>
      </c>
      <c r="G486" s="147" t="s">
        <v>29</v>
      </c>
      <c r="H486" s="117" t="s">
        <v>181</v>
      </c>
      <c r="I486" s="19" t="str">
        <f>IF(W486="ADMITIDO","ADMITIDO",IF(W486="CANCELADA","CANCELADA",IF(H486="","",IFERROR(_xlfn.XLOOKUP(H486,Listas!I:I,Listas!J:J),"OUTROS"))))</f>
        <v>DOCUMENTAÇÃO</v>
      </c>
      <c r="J486" s="12" t="s">
        <v>116</v>
      </c>
      <c r="K486" s="12" t="s">
        <v>54</v>
      </c>
      <c r="L486" s="12" t="s">
        <v>164</v>
      </c>
      <c r="M486" s="12" t="s">
        <v>88</v>
      </c>
      <c r="N486" s="11" t="s">
        <v>34</v>
      </c>
      <c r="O486" s="11" t="s">
        <v>57</v>
      </c>
      <c r="P486" s="11" t="s">
        <v>231</v>
      </c>
      <c r="Q486" s="108"/>
      <c r="S486" s="18" t="s">
        <v>1260</v>
      </c>
      <c r="T486" s="11" t="s">
        <v>38</v>
      </c>
      <c r="U486" s="202">
        <v>46155</v>
      </c>
      <c r="V486" s="41" t="s">
        <v>1261</v>
      </c>
      <c r="W486" s="23" t="s">
        <v>810</v>
      </c>
      <c r="AB486" s="10">
        <v>0</v>
      </c>
    </row>
    <row r="487" spans="1:28" hidden="1">
      <c r="A487" s="22">
        <v>30307</v>
      </c>
      <c r="B487" s="10">
        <v>1</v>
      </c>
      <c r="C487" s="201">
        <v>46154</v>
      </c>
      <c r="D487" s="105">
        <f t="shared" ca="1" si="25"/>
        <v>73</v>
      </c>
      <c r="E487" s="138" t="str">
        <f t="shared" ca="1" si="23"/>
        <v>CRÍTICO</v>
      </c>
      <c r="F487" s="28" t="s">
        <v>28</v>
      </c>
      <c r="G487" s="147" t="s">
        <v>240</v>
      </c>
      <c r="H487" s="117" t="s">
        <v>822</v>
      </c>
      <c r="I487" s="19" t="str">
        <f>IF(W487="ADMITIDO","ADMITIDO",IF(W487="CANCELADA","CANCELADA",IF(H487="","",IFERROR(_xlfn.XLOOKUP(H487,Listas!I:I,Listas!J:J),"OUTROS"))))</f>
        <v>ENTREVISTA RH</v>
      </c>
      <c r="J487" s="12" t="s">
        <v>268</v>
      </c>
      <c r="K487" s="12" t="s">
        <v>423</v>
      </c>
      <c r="L487" s="12" t="s">
        <v>1262</v>
      </c>
      <c r="M487" s="12" t="s">
        <v>63</v>
      </c>
      <c r="N487" s="11" t="s">
        <v>34</v>
      </c>
      <c r="O487" s="11" t="s">
        <v>48</v>
      </c>
      <c r="P487" s="11" t="s">
        <v>1263</v>
      </c>
      <c r="Q487" s="108"/>
      <c r="S487" s="18"/>
      <c r="AB487" s="10">
        <v>0</v>
      </c>
    </row>
    <row r="488" spans="1:28" hidden="1">
      <c r="A488" s="22">
        <v>30298</v>
      </c>
      <c r="B488" s="10">
        <v>1</v>
      </c>
      <c r="C488" s="201">
        <v>46154</v>
      </c>
      <c r="D488" s="105">
        <f t="shared" ca="1" si="25"/>
        <v>73</v>
      </c>
      <c r="E488" s="138" t="str">
        <f t="shared" ca="1" si="23"/>
        <v>CRÍTICO</v>
      </c>
      <c r="F488" s="28" t="s">
        <v>42</v>
      </c>
      <c r="G488" s="147" t="s">
        <v>60</v>
      </c>
      <c r="H488" s="117" t="s">
        <v>91</v>
      </c>
      <c r="I488" s="19" t="str">
        <f>IF(W488="ADMITIDO","ADMITIDO",IF(W488="CANCELADA","CANCELADA",IF(H488="","",IFERROR(_xlfn.XLOOKUP(H488,Listas!I:I,Listas!J:J),"OUTROS"))))</f>
        <v>TRIAGEM</v>
      </c>
      <c r="J488" s="12" t="s">
        <v>53</v>
      </c>
      <c r="K488" s="12" t="s">
        <v>61</v>
      </c>
      <c r="L488" s="12" t="s">
        <v>506</v>
      </c>
      <c r="M488" s="12" t="s">
        <v>63</v>
      </c>
      <c r="N488" s="11" t="s">
        <v>34</v>
      </c>
      <c r="O488" s="11" t="s">
        <v>219</v>
      </c>
      <c r="P488" s="11" t="s">
        <v>578</v>
      </c>
      <c r="Q488" s="108"/>
      <c r="S488" s="18"/>
      <c r="AB488" s="10">
        <v>0</v>
      </c>
    </row>
    <row r="489" spans="1:28" hidden="1">
      <c r="A489" s="22">
        <v>30306</v>
      </c>
      <c r="B489" s="10">
        <v>1</v>
      </c>
      <c r="C489" s="201">
        <v>46154</v>
      </c>
      <c r="D489" s="105">
        <f t="shared" ca="1" si="25"/>
        <v>73</v>
      </c>
      <c r="E489" s="138" t="str">
        <f t="shared" ca="1" si="23"/>
        <v>CRÍTICO</v>
      </c>
      <c r="F489" s="28" t="s">
        <v>28</v>
      </c>
      <c r="G489" s="147" t="s">
        <v>29</v>
      </c>
      <c r="H489" s="117" t="s">
        <v>91</v>
      </c>
      <c r="I489" s="19" t="str">
        <f>IF(W489="ADMITIDO","ADMITIDO",IF(W489="CANCELADA","CANCELADA",IF(H489="","",IFERROR(_xlfn.XLOOKUP(H489,Listas!I:I,Listas!J:J),"OUTROS"))))</f>
        <v>TRIAGEM</v>
      </c>
      <c r="J489" s="12" t="s">
        <v>427</v>
      </c>
      <c r="K489" s="12" t="s">
        <v>31</v>
      </c>
      <c r="L489" s="12" t="s">
        <v>428</v>
      </c>
      <c r="M489" s="12" t="s">
        <v>205</v>
      </c>
      <c r="N489" s="11" t="s">
        <v>34</v>
      </c>
      <c r="O489" s="11" t="s">
        <v>35</v>
      </c>
      <c r="P489" s="11" t="s">
        <v>36</v>
      </c>
      <c r="Q489" s="108"/>
      <c r="S489" s="18"/>
      <c r="AB489" s="10">
        <v>0</v>
      </c>
    </row>
    <row r="490" spans="1:28">
      <c r="A490" s="22">
        <v>30309</v>
      </c>
      <c r="B490" s="10">
        <v>1</v>
      </c>
      <c r="C490" s="201">
        <v>46154</v>
      </c>
      <c r="D490" s="105">
        <f t="shared" ca="1" si="25"/>
        <v>73</v>
      </c>
      <c r="E490" s="138" t="str">
        <f t="shared" ca="1" si="23"/>
        <v>CRÍTICO</v>
      </c>
      <c r="F490" s="28" t="s">
        <v>28</v>
      </c>
      <c r="G490" s="147" t="s">
        <v>29</v>
      </c>
      <c r="H490" s="117" t="s">
        <v>181</v>
      </c>
      <c r="I490" s="19" t="str">
        <f>IF(W490="ADMITIDO","ADMITIDO",IF(W490="CANCELADA","CANCELADA",IF(H490="","",IFERROR(_xlfn.XLOOKUP(H490,Listas!I:I,Listas!J:J),"OUTROS"))))</f>
        <v>DOCUMENTAÇÃO</v>
      </c>
      <c r="J490" s="12" t="s">
        <v>202</v>
      </c>
      <c r="K490" s="12" t="s">
        <v>31</v>
      </c>
      <c r="L490" s="12" t="s">
        <v>204</v>
      </c>
      <c r="M490" s="12" t="s">
        <v>205</v>
      </c>
      <c r="N490" s="11" t="s">
        <v>34</v>
      </c>
      <c r="O490" s="11" t="s">
        <v>35</v>
      </c>
      <c r="P490" s="11" t="s">
        <v>36</v>
      </c>
      <c r="Q490" s="108"/>
      <c r="S490" s="18" t="s">
        <v>1264</v>
      </c>
      <c r="T490" s="11" t="s">
        <v>38</v>
      </c>
      <c r="V490" s="41" t="s">
        <v>1265</v>
      </c>
      <c r="AB490" s="10">
        <v>0</v>
      </c>
    </row>
    <row r="491" spans="1:28" hidden="1">
      <c r="A491" s="22">
        <v>30304</v>
      </c>
      <c r="B491" s="10">
        <v>1</v>
      </c>
      <c r="C491" s="201">
        <v>46154</v>
      </c>
      <c r="D491" s="105">
        <f t="shared" ca="1" si="25"/>
        <v>73</v>
      </c>
      <c r="E491" s="138" t="str">
        <f t="shared" ca="1" si="23"/>
        <v>CRÍTICO</v>
      </c>
      <c r="F491" s="28" t="s">
        <v>28</v>
      </c>
      <c r="G491" s="147" t="s">
        <v>552</v>
      </c>
      <c r="H491" s="117" t="s">
        <v>91</v>
      </c>
      <c r="I491" s="19" t="str">
        <f>IF(W491="ADMITIDO","ADMITIDO",IF(W491="CANCELADA","CANCELADA",IF(H491="","",IFERROR(_xlfn.XLOOKUP(H491,Listas!I:I,Listas!J:J),"OUTROS"))))</f>
        <v>TRIAGEM</v>
      </c>
      <c r="J491" s="12" t="s">
        <v>1266</v>
      </c>
      <c r="K491" s="12" t="s">
        <v>553</v>
      </c>
      <c r="L491" s="12" t="s">
        <v>1028</v>
      </c>
      <c r="M491" s="12" t="s">
        <v>1029</v>
      </c>
      <c r="N491" s="11" t="s">
        <v>34</v>
      </c>
      <c r="O491" s="11" t="s">
        <v>210</v>
      </c>
      <c r="P491" s="11" t="s">
        <v>1267</v>
      </c>
      <c r="Q491" s="108"/>
      <c r="S491" s="18"/>
      <c r="AB491" s="10">
        <v>0</v>
      </c>
    </row>
    <row r="492" spans="1:28" hidden="1">
      <c r="A492" s="22">
        <v>30305</v>
      </c>
      <c r="B492" s="10">
        <v>1</v>
      </c>
      <c r="C492" s="201">
        <v>46154</v>
      </c>
      <c r="D492" s="105">
        <f t="shared" ca="1" si="25"/>
        <v>73</v>
      </c>
      <c r="E492" s="138" t="str">
        <f t="shared" ca="1" si="23"/>
        <v>CRÍTICO</v>
      </c>
      <c r="F492" s="28" t="s">
        <v>28</v>
      </c>
      <c r="G492" s="147" t="s">
        <v>145</v>
      </c>
      <c r="H492" s="117" t="s">
        <v>91</v>
      </c>
      <c r="I492" s="19" t="str">
        <f>IF(W492="ADMITIDO","ADMITIDO",IF(W492="CANCELADA","CANCELADA",IF(H492="","",IFERROR(_xlfn.XLOOKUP(H492,Listas!I:I,Listas!J:J),"OUTROS"))))</f>
        <v>TRIAGEM</v>
      </c>
      <c r="J492" s="12" t="s">
        <v>1268</v>
      </c>
      <c r="K492" s="12" t="s">
        <v>371</v>
      </c>
      <c r="L492" s="12" t="s">
        <v>895</v>
      </c>
      <c r="M492" s="12" t="s">
        <v>391</v>
      </c>
      <c r="N492" s="11" t="s">
        <v>34</v>
      </c>
      <c r="O492" s="11" t="s">
        <v>1243</v>
      </c>
      <c r="P492" s="11" t="s">
        <v>1269</v>
      </c>
      <c r="Q492" s="108"/>
      <c r="S492" s="18"/>
      <c r="AB492" s="10">
        <v>0</v>
      </c>
    </row>
    <row r="493" spans="1:28" hidden="1">
      <c r="A493" s="22">
        <v>30293</v>
      </c>
      <c r="B493" s="10">
        <v>1</v>
      </c>
      <c r="C493" s="201">
        <v>46154</v>
      </c>
      <c r="D493" s="105">
        <f t="shared" ca="1" si="25"/>
        <v>73</v>
      </c>
      <c r="E493" s="138" t="str">
        <f t="shared" ca="1" si="23"/>
        <v>CRÍTICO</v>
      </c>
      <c r="F493" s="28" t="s">
        <v>42</v>
      </c>
      <c r="G493" s="147" t="s">
        <v>43</v>
      </c>
      <c r="H493" s="117" t="s">
        <v>91</v>
      </c>
      <c r="I493" s="19" t="str">
        <f>IF(W493="ADMITIDO","ADMITIDO",IF(W493="CANCELADA","CANCELADA",IF(H493="","",IFERROR(_xlfn.XLOOKUP(H493,Listas!I:I,Listas!J:J),"OUTROS"))))</f>
        <v>TRIAGEM</v>
      </c>
      <c r="J493" s="12" t="s">
        <v>53</v>
      </c>
      <c r="K493" s="12" t="s">
        <v>45</v>
      </c>
      <c r="L493" s="12" t="s">
        <v>46</v>
      </c>
      <c r="M493" s="12" t="s">
        <v>47</v>
      </c>
      <c r="N493" s="11" t="s">
        <v>34</v>
      </c>
      <c r="O493" s="11" t="s">
        <v>48</v>
      </c>
      <c r="P493" s="11" t="s">
        <v>49</v>
      </c>
      <c r="Q493" s="108"/>
      <c r="S493" s="18"/>
      <c r="AB493" s="10">
        <v>0</v>
      </c>
    </row>
    <row r="494" spans="1:28" hidden="1">
      <c r="A494" s="22">
        <v>30297</v>
      </c>
      <c r="B494" s="10">
        <v>1</v>
      </c>
      <c r="C494" s="201">
        <v>46154</v>
      </c>
      <c r="D494" s="105">
        <f t="shared" ca="1" si="25"/>
        <v>73</v>
      </c>
      <c r="E494" s="138" t="str">
        <f t="shared" ca="1" si="23"/>
        <v>CRÍTICO</v>
      </c>
      <c r="F494" s="28" t="s">
        <v>42</v>
      </c>
      <c r="G494" s="147" t="s">
        <v>60</v>
      </c>
      <c r="H494" s="117" t="s">
        <v>91</v>
      </c>
      <c r="I494" s="19" t="str">
        <f>IF(W494="ADMITIDO","ADMITIDO",IF(W494="CANCELADA","CANCELADA",IF(H494="","",IFERROR(_xlfn.XLOOKUP(H494,Listas!I:I,Listas!J:J),"OUTROS"))))</f>
        <v>TRIAGEM</v>
      </c>
      <c r="J494" s="12" t="s">
        <v>53</v>
      </c>
      <c r="K494" s="12" t="s">
        <v>61</v>
      </c>
      <c r="L494" s="12" t="s">
        <v>255</v>
      </c>
      <c r="M494" s="12" t="s">
        <v>63</v>
      </c>
      <c r="N494" s="11" t="s">
        <v>34</v>
      </c>
      <c r="O494" s="11" t="s">
        <v>219</v>
      </c>
      <c r="P494" s="11" t="s">
        <v>73</v>
      </c>
      <c r="Q494" s="108"/>
      <c r="S494" s="18"/>
      <c r="AA494" s="149" t="s">
        <v>1160</v>
      </c>
      <c r="AB494" s="10">
        <v>0</v>
      </c>
    </row>
    <row r="495" spans="1:28" hidden="1">
      <c r="A495" s="22">
        <v>30294</v>
      </c>
      <c r="B495" s="10">
        <v>1</v>
      </c>
      <c r="C495" s="201">
        <v>46154</v>
      </c>
      <c r="D495" s="105">
        <f t="shared" ca="1" si="25"/>
        <v>73</v>
      </c>
      <c r="E495" s="138" t="str">
        <f t="shared" ca="1" si="23"/>
        <v>CRÍTICO</v>
      </c>
      <c r="F495" s="28" t="s">
        <v>42</v>
      </c>
      <c r="G495" s="147" t="s">
        <v>43</v>
      </c>
      <c r="H495" s="117" t="s">
        <v>91</v>
      </c>
      <c r="I495" s="19" t="str">
        <f>IF(W495="ADMITIDO","ADMITIDO",IF(W495="CANCELADA","CANCELADA",IF(H495="","",IFERROR(_xlfn.XLOOKUP(H495,Listas!I:I,Listas!J:J),"OUTROS"))))</f>
        <v>TRIAGEM</v>
      </c>
      <c r="J495" s="12" t="s">
        <v>53</v>
      </c>
      <c r="K495" s="12" t="s">
        <v>45</v>
      </c>
      <c r="L495" s="12" t="s">
        <v>1270</v>
      </c>
      <c r="M495" s="12" t="s">
        <v>97</v>
      </c>
      <c r="N495" s="11" t="s">
        <v>34</v>
      </c>
      <c r="O495" s="11" t="s">
        <v>57</v>
      </c>
      <c r="P495" s="11" t="s">
        <v>1271</v>
      </c>
      <c r="Q495" s="108"/>
      <c r="S495" s="18"/>
      <c r="AB495" s="10">
        <v>0</v>
      </c>
    </row>
    <row r="496" spans="1:28" hidden="1">
      <c r="A496" s="22">
        <v>30296</v>
      </c>
      <c r="B496" s="10">
        <v>1</v>
      </c>
      <c r="C496" s="201">
        <v>46154</v>
      </c>
      <c r="D496" s="105">
        <f t="shared" ca="1" si="25"/>
        <v>73</v>
      </c>
      <c r="E496" s="138" t="str">
        <f t="shared" ca="1" si="23"/>
        <v>CRÍTICO</v>
      </c>
      <c r="F496" s="28" t="s">
        <v>42</v>
      </c>
      <c r="G496" s="147" t="s">
        <v>60</v>
      </c>
      <c r="H496" s="117" t="s">
        <v>91</v>
      </c>
      <c r="I496" s="19" t="str">
        <f>IF(W496="ADMITIDO","ADMITIDO",IF(W496="CANCELADA","CANCELADA",IF(H496="","",IFERROR(_xlfn.XLOOKUP(H496,Listas!I:I,Listas!J:J),"OUTROS"))))</f>
        <v>TRIAGEM</v>
      </c>
      <c r="J496" s="12" t="s">
        <v>53</v>
      </c>
      <c r="K496" s="12" t="s">
        <v>61</v>
      </c>
      <c r="L496" s="12" t="s">
        <v>62</v>
      </c>
      <c r="M496" s="12" t="s">
        <v>63</v>
      </c>
      <c r="N496" s="11" t="s">
        <v>34</v>
      </c>
      <c r="O496" s="11" t="s">
        <v>57</v>
      </c>
      <c r="P496" s="11" t="s">
        <v>64</v>
      </c>
      <c r="Q496" s="108"/>
      <c r="S496" s="18"/>
      <c r="AB496" s="10">
        <v>0</v>
      </c>
    </row>
    <row r="497" spans="1:28" hidden="1">
      <c r="A497" s="22">
        <v>30275</v>
      </c>
      <c r="B497" s="10">
        <v>1</v>
      </c>
      <c r="C497" s="201">
        <v>46154</v>
      </c>
      <c r="D497" s="105">
        <f t="shared" ca="1" si="25"/>
        <v>73</v>
      </c>
      <c r="E497" s="138" t="str">
        <f t="shared" ca="1" si="23"/>
        <v>CRÍTICO</v>
      </c>
      <c r="F497" s="28" t="s">
        <v>28</v>
      </c>
      <c r="G497" s="147" t="s">
        <v>145</v>
      </c>
      <c r="H497" s="117" t="s">
        <v>91</v>
      </c>
      <c r="I497" s="19" t="str">
        <f>IF(W497="ADMITIDO","ADMITIDO",IF(W497="CANCELADA","CANCELADA",IF(H497="","",IFERROR(_xlfn.XLOOKUP(H497,Listas!I:I,Listas!J:J),"OUTROS"))))</f>
        <v>TRIAGEM</v>
      </c>
      <c r="J497" s="12" t="s">
        <v>268</v>
      </c>
      <c r="K497" s="12" t="s">
        <v>371</v>
      </c>
      <c r="L497" s="12" t="s">
        <v>728</v>
      </c>
      <c r="M497" s="12" t="s">
        <v>63</v>
      </c>
      <c r="N497" s="11" t="s">
        <v>34</v>
      </c>
      <c r="O497" s="11" t="s">
        <v>35</v>
      </c>
      <c r="P497" s="11" t="s">
        <v>36</v>
      </c>
      <c r="Q497" s="108"/>
      <c r="S497" s="18"/>
      <c r="W497" s="44"/>
      <c r="AB497" s="10">
        <v>0</v>
      </c>
    </row>
    <row r="498" spans="1:28" hidden="1">
      <c r="A498" s="22">
        <v>30301</v>
      </c>
      <c r="B498" s="10">
        <v>1</v>
      </c>
      <c r="C498" s="201">
        <v>46154</v>
      </c>
      <c r="D498" s="105">
        <f t="shared" ca="1" si="25"/>
        <v>73</v>
      </c>
      <c r="E498" s="138" t="str">
        <f t="shared" si="23"/>
        <v>ADMITIDO</v>
      </c>
      <c r="F498" s="28" t="s">
        <v>28</v>
      </c>
      <c r="G498" s="147" t="s">
        <v>145</v>
      </c>
      <c r="H498" s="117" t="s">
        <v>181</v>
      </c>
      <c r="I498" s="19" t="str">
        <f>IF(W498="ADMITIDO","ADMITIDO",IF(W498="CANCELADA","CANCELADA",IF(H498="","",IFERROR(_xlfn.XLOOKUP(H498,Listas!I:I,Listas!J:J),"OUTROS"))))</f>
        <v>ADMITIDO</v>
      </c>
      <c r="J498" s="12" t="s">
        <v>616</v>
      </c>
      <c r="K498" s="12" t="s">
        <v>326</v>
      </c>
      <c r="L498" s="12" t="s">
        <v>953</v>
      </c>
      <c r="M498" s="12" t="s">
        <v>63</v>
      </c>
      <c r="N498" s="11" t="s">
        <v>56</v>
      </c>
      <c r="O498" s="11" t="s">
        <v>35</v>
      </c>
      <c r="P498" s="11" t="s">
        <v>176</v>
      </c>
      <c r="Q498" s="108"/>
      <c r="S498" s="18"/>
      <c r="T498" s="11" t="s">
        <v>132</v>
      </c>
      <c r="U498" s="202">
        <v>46153</v>
      </c>
      <c r="V498" s="42" t="s">
        <v>1272</v>
      </c>
      <c r="W498" s="59" t="s">
        <v>40</v>
      </c>
      <c r="X498" s="43">
        <v>46157</v>
      </c>
      <c r="Y498" s="14">
        <v>46161</v>
      </c>
      <c r="Z498" s="10">
        <v>914293</v>
      </c>
      <c r="AB498" s="10">
        <v>0</v>
      </c>
    </row>
    <row r="499" spans="1:28" hidden="1">
      <c r="A499" s="22">
        <v>30295</v>
      </c>
      <c r="B499" s="10">
        <v>1</v>
      </c>
      <c r="C499" s="201">
        <v>46154</v>
      </c>
      <c r="D499" s="105">
        <f t="shared" ca="1" si="25"/>
        <v>73</v>
      </c>
      <c r="E499" s="138" t="str">
        <f t="shared" ca="1" si="23"/>
        <v>CRÍTICO</v>
      </c>
      <c r="F499" s="28" t="s">
        <v>42</v>
      </c>
      <c r="G499" s="147" t="s">
        <v>145</v>
      </c>
      <c r="H499" s="117" t="s">
        <v>91</v>
      </c>
      <c r="I499" s="19" t="str">
        <f>IF(W499="ADMITIDO","ADMITIDO",IF(W499="CANCELADA","CANCELADA",IF(H499="","",IFERROR(_xlfn.XLOOKUP(H499,Listas!I:I,Listas!J:J),"OUTROS"))))</f>
        <v>TRIAGEM</v>
      </c>
      <c r="J499" s="12" t="s">
        <v>53</v>
      </c>
      <c r="K499" s="12" t="s">
        <v>103</v>
      </c>
      <c r="L499" s="12" t="s">
        <v>194</v>
      </c>
      <c r="M499" s="12" t="s">
        <v>63</v>
      </c>
      <c r="N499" s="11" t="s">
        <v>34</v>
      </c>
      <c r="O499" s="11" t="s">
        <v>219</v>
      </c>
      <c r="P499" s="11" t="s">
        <v>238</v>
      </c>
      <c r="Q499" s="108"/>
      <c r="S499" s="18"/>
      <c r="W499" s="56"/>
      <c r="AB499" s="10">
        <v>0</v>
      </c>
    </row>
    <row r="500" spans="1:28" hidden="1">
      <c r="A500" s="22">
        <v>30331</v>
      </c>
      <c r="B500" s="10">
        <v>1</v>
      </c>
      <c r="C500" s="63">
        <v>46155</v>
      </c>
      <c r="D500" s="105">
        <f t="shared" ref="D500:D518" ca="1" si="26">TODAY()-C500</f>
        <v>72</v>
      </c>
      <c r="E500" s="138" t="str">
        <f t="shared" ca="1" si="23"/>
        <v>CRÍTICO</v>
      </c>
      <c r="F500" s="28" t="s">
        <v>42</v>
      </c>
      <c r="G500" s="147" t="s">
        <v>60</v>
      </c>
      <c r="H500" s="117" t="s">
        <v>91</v>
      </c>
      <c r="I500" s="19" t="str">
        <f>IF(W500="ADMITIDO","ADMITIDO",IF(W500="CANCELADA","CANCELADA",IF(H500="","",IFERROR(_xlfn.XLOOKUP(H500,Listas!I:I,Listas!J:J),"OUTROS"))))</f>
        <v>TRIAGEM</v>
      </c>
      <c r="J500" s="12" t="s">
        <v>53</v>
      </c>
      <c r="K500" s="12" t="s">
        <v>61</v>
      </c>
      <c r="L500" s="12" t="s">
        <v>498</v>
      </c>
      <c r="M500" s="107" t="s">
        <v>63</v>
      </c>
      <c r="N500" s="11" t="s">
        <v>34</v>
      </c>
      <c r="O500" s="11" t="s">
        <v>72</v>
      </c>
      <c r="P500" s="11" t="s">
        <v>151</v>
      </c>
      <c r="Q500" s="108"/>
      <c r="S500" s="18"/>
      <c r="AB500" s="10">
        <v>0</v>
      </c>
    </row>
    <row r="501" spans="1:28" hidden="1">
      <c r="A501" s="22">
        <v>30315</v>
      </c>
      <c r="B501" s="15">
        <v>1</v>
      </c>
      <c r="C501" s="63">
        <v>46155</v>
      </c>
      <c r="D501" s="105">
        <f t="shared" ca="1" si="26"/>
        <v>72</v>
      </c>
      <c r="E501" s="138" t="str">
        <f t="shared" ca="1" si="23"/>
        <v>CRÍTICO</v>
      </c>
      <c r="F501" s="28" t="s">
        <v>171</v>
      </c>
      <c r="G501" s="147" t="s">
        <v>60</v>
      </c>
      <c r="H501" s="117" t="s">
        <v>91</v>
      </c>
      <c r="I501" s="19" t="str">
        <f>IF(W501="ADMITIDO","ADMITIDO",IF(W501="CANCELADA","CANCELADA",IF(H501="","",IFERROR(_xlfn.XLOOKUP(H501,Listas!I:I,Listas!J:J),"OUTROS"))))</f>
        <v>TRIAGEM</v>
      </c>
      <c r="J501" s="12" t="s">
        <v>1273</v>
      </c>
      <c r="K501" s="12" t="s">
        <v>330</v>
      </c>
      <c r="L501" s="12" t="s">
        <v>407</v>
      </c>
      <c r="M501" s="107" t="s">
        <v>243</v>
      </c>
      <c r="N501" s="11" t="s">
        <v>34</v>
      </c>
      <c r="O501" s="11" t="s">
        <v>35</v>
      </c>
      <c r="P501" s="11" t="s">
        <v>612</v>
      </c>
      <c r="Q501" s="108"/>
      <c r="S501" s="18"/>
      <c r="AB501" s="10">
        <v>0</v>
      </c>
    </row>
    <row r="502" spans="1:28" hidden="1">
      <c r="A502" s="22">
        <v>30323</v>
      </c>
      <c r="B502" s="15">
        <v>1</v>
      </c>
      <c r="C502" s="63">
        <v>46155</v>
      </c>
      <c r="D502" s="105">
        <f t="shared" ca="1" si="26"/>
        <v>72</v>
      </c>
      <c r="E502" s="138" t="str">
        <f t="shared" ca="1" si="23"/>
        <v>CRÍTICO</v>
      </c>
      <c r="F502" s="28" t="s">
        <v>171</v>
      </c>
      <c r="G502" s="147" t="s">
        <v>43</v>
      </c>
      <c r="H502" s="117" t="s">
        <v>91</v>
      </c>
      <c r="I502" s="19" t="str">
        <f>IF(W502="ADMITIDO","ADMITIDO",IF(W502="CANCELADA","CANCELADA",IF(H502="","",IFERROR(_xlfn.XLOOKUP(H502,Listas!I:I,Listas!J:J),"OUTROS"))))</f>
        <v>TRIAGEM</v>
      </c>
      <c r="J502" s="12" t="s">
        <v>787</v>
      </c>
      <c r="K502" s="12" t="s">
        <v>335</v>
      </c>
      <c r="L502" s="12" t="s">
        <v>788</v>
      </c>
      <c r="M502" s="107" t="s">
        <v>337</v>
      </c>
      <c r="N502" s="11" t="s">
        <v>56</v>
      </c>
      <c r="O502" s="11" t="s">
        <v>35</v>
      </c>
      <c r="P502" s="11" t="s">
        <v>176</v>
      </c>
      <c r="Q502" s="108"/>
      <c r="S502" s="18"/>
      <c r="AB502" s="10">
        <v>0</v>
      </c>
    </row>
    <row r="503" spans="1:28" hidden="1">
      <c r="A503" s="22">
        <v>30332</v>
      </c>
      <c r="B503" s="15">
        <v>1</v>
      </c>
      <c r="C503" s="63">
        <v>46155</v>
      </c>
      <c r="D503" s="105">
        <f t="shared" ca="1" si="26"/>
        <v>72</v>
      </c>
      <c r="E503" s="138" t="str">
        <f t="shared" ca="1" si="23"/>
        <v>CRÍTICO</v>
      </c>
      <c r="F503" s="28" t="s">
        <v>42</v>
      </c>
      <c r="G503" s="147" t="s">
        <v>60</v>
      </c>
      <c r="H503" s="117" t="s">
        <v>91</v>
      </c>
      <c r="I503" s="19" t="str">
        <f>IF(W503="ADMITIDO","ADMITIDO",IF(W503="CANCELADA","CANCELADA",IF(H503="","",IFERROR(_xlfn.XLOOKUP(H503,Listas!I:I,Listas!J:J),"OUTROS"))))</f>
        <v>TRIAGEM</v>
      </c>
      <c r="J503" s="12" t="s">
        <v>53</v>
      </c>
      <c r="K503" s="12" t="s">
        <v>61</v>
      </c>
      <c r="L503" s="12" t="s">
        <v>161</v>
      </c>
      <c r="M503" s="107" t="s">
        <v>33</v>
      </c>
      <c r="N503" s="11" t="s">
        <v>34</v>
      </c>
      <c r="O503" s="11" t="s">
        <v>72</v>
      </c>
      <c r="P503" s="11" t="s">
        <v>73</v>
      </c>
      <c r="Q503" s="108"/>
      <c r="S503" s="18"/>
      <c r="AB503" s="10">
        <v>0</v>
      </c>
    </row>
    <row r="504" spans="1:28" hidden="1">
      <c r="A504" s="22">
        <v>30327</v>
      </c>
      <c r="B504" s="15">
        <v>1</v>
      </c>
      <c r="C504" s="63">
        <v>46155</v>
      </c>
      <c r="D504" s="105">
        <f t="shared" ca="1" si="26"/>
        <v>72</v>
      </c>
      <c r="E504" s="138" t="str">
        <f t="shared" ca="1" si="23"/>
        <v>CRÍTICO</v>
      </c>
      <c r="F504" s="28" t="s">
        <v>42</v>
      </c>
      <c r="G504" s="147" t="s">
        <v>60</v>
      </c>
      <c r="H504" s="117" t="s">
        <v>833</v>
      </c>
      <c r="I504" s="19" t="str">
        <f>IF(W504="ADMITIDO","ADMITIDO",IF(W504="CANCELADA","CANCELADA",IF(H504="","",IFERROR(_xlfn.XLOOKUP(H504,Listas!I:I,Listas!J:J),"OUTROS"))))</f>
        <v>ENTREVISTA OPS</v>
      </c>
      <c r="J504" s="12" t="s">
        <v>461</v>
      </c>
      <c r="K504" s="12" t="s">
        <v>61</v>
      </c>
      <c r="L504" s="12" t="s">
        <v>506</v>
      </c>
      <c r="M504" s="107" t="s">
        <v>63</v>
      </c>
      <c r="N504" s="11" t="s">
        <v>34</v>
      </c>
      <c r="O504" s="11" t="s">
        <v>57</v>
      </c>
      <c r="P504" s="11" t="s">
        <v>98</v>
      </c>
      <c r="Q504" s="108" t="s">
        <v>1274</v>
      </c>
      <c r="S504" s="18"/>
      <c r="AB504" s="10">
        <v>0</v>
      </c>
    </row>
    <row r="505" spans="1:28" hidden="1">
      <c r="A505" s="22">
        <v>30321</v>
      </c>
      <c r="B505" s="15">
        <v>1</v>
      </c>
      <c r="C505" s="63">
        <v>46155</v>
      </c>
      <c r="D505" s="105">
        <f t="shared" ca="1" si="26"/>
        <v>72</v>
      </c>
      <c r="E505" s="138" t="str">
        <f t="shared" ca="1" si="23"/>
        <v>CRÍTICO</v>
      </c>
      <c r="F505" s="28" t="s">
        <v>28</v>
      </c>
      <c r="G505" s="147"/>
      <c r="H505" s="117" t="s">
        <v>91</v>
      </c>
      <c r="I505" s="19" t="str">
        <f>IF(W505="ADMITIDO","ADMITIDO",IF(W505="CANCELADA","CANCELADA",IF(H505="","",IFERROR(_xlfn.XLOOKUP(H505,Listas!I:I,Listas!J:J),"OUTROS"))))</f>
        <v>TRIAGEM</v>
      </c>
      <c r="J505" s="12" t="s">
        <v>268</v>
      </c>
      <c r="K505" s="12" t="s">
        <v>1144</v>
      </c>
      <c r="L505" s="12" t="s">
        <v>1275</v>
      </c>
      <c r="M505" s="107" t="s">
        <v>378</v>
      </c>
      <c r="N505" s="11" t="s">
        <v>34</v>
      </c>
      <c r="O505" s="11" t="s">
        <v>35</v>
      </c>
      <c r="P505" s="11" t="s">
        <v>287</v>
      </c>
      <c r="Q505" s="108"/>
      <c r="S505" s="18"/>
      <c r="AB505" s="10">
        <v>0</v>
      </c>
    </row>
    <row r="506" spans="1:28" hidden="1">
      <c r="A506" s="22">
        <v>30344</v>
      </c>
      <c r="B506" s="15">
        <v>1</v>
      </c>
      <c r="C506" s="63">
        <v>46155</v>
      </c>
      <c r="D506" s="105">
        <f t="shared" ca="1" si="26"/>
        <v>72</v>
      </c>
      <c r="E506" s="138" t="str">
        <f t="shared" ca="1" si="23"/>
        <v>CRÍTICO</v>
      </c>
      <c r="F506" s="28" t="s">
        <v>28</v>
      </c>
      <c r="G506" s="147" t="s">
        <v>240</v>
      </c>
      <c r="H506" s="117" t="s">
        <v>91</v>
      </c>
      <c r="I506" s="19" t="str">
        <f>IF(W506="ADMITIDO","ADMITIDO",IF(W506="CANCELADA","CANCELADA",IF(H506="","",IFERROR(_xlfn.XLOOKUP(H506,Listas!I:I,Listas!J:J),"OUTROS"))))</f>
        <v>TRIAGEM</v>
      </c>
      <c r="J506" s="12" t="s">
        <v>268</v>
      </c>
      <c r="K506" s="12" t="s">
        <v>423</v>
      </c>
      <c r="L506" s="12" t="s">
        <v>424</v>
      </c>
      <c r="M506" s="107" t="s">
        <v>243</v>
      </c>
      <c r="N506" s="11" t="s">
        <v>34</v>
      </c>
      <c r="O506" s="11" t="s">
        <v>35</v>
      </c>
      <c r="P506" s="11" t="s">
        <v>36</v>
      </c>
      <c r="Q506" s="108"/>
      <c r="S506" s="18"/>
      <c r="AB506" s="10">
        <v>0</v>
      </c>
    </row>
    <row r="507" spans="1:28" hidden="1">
      <c r="A507" s="22">
        <v>30318</v>
      </c>
      <c r="B507" s="15">
        <v>1</v>
      </c>
      <c r="C507" s="63">
        <v>46155</v>
      </c>
      <c r="D507" s="105">
        <f t="shared" ca="1" si="26"/>
        <v>72</v>
      </c>
      <c r="E507" s="138" t="str">
        <f t="shared" ca="1" si="23"/>
        <v>CRÍTICO</v>
      </c>
      <c r="F507" s="28" t="s">
        <v>42</v>
      </c>
      <c r="G507" s="147" t="s">
        <v>43</v>
      </c>
      <c r="H507" s="117" t="s">
        <v>91</v>
      </c>
      <c r="I507" s="19" t="str">
        <f>IF(W507="ADMITIDO","ADMITIDO",IF(W507="CANCELADA","CANCELADA",IF(H507="","",IFERROR(_xlfn.XLOOKUP(H507,Listas!I:I,Listas!J:J),"OUTROS"))))</f>
        <v>TRIAGEM</v>
      </c>
      <c r="J507" s="12" t="s">
        <v>53</v>
      </c>
      <c r="K507" s="12" t="s">
        <v>189</v>
      </c>
      <c r="L507" s="12" t="s">
        <v>924</v>
      </c>
      <c r="M507" s="107" t="s">
        <v>925</v>
      </c>
      <c r="N507" s="11" t="s">
        <v>34</v>
      </c>
      <c r="O507" s="11" t="s">
        <v>57</v>
      </c>
      <c r="P507" s="11" t="s">
        <v>308</v>
      </c>
      <c r="Q507" s="108"/>
      <c r="S507" s="18"/>
      <c r="AB507" s="10">
        <v>0</v>
      </c>
    </row>
    <row r="508" spans="1:28" hidden="1">
      <c r="A508" s="22">
        <v>30319</v>
      </c>
      <c r="B508" s="15">
        <v>1</v>
      </c>
      <c r="C508" s="63">
        <v>46155</v>
      </c>
      <c r="D508" s="105">
        <f t="shared" ca="1" si="26"/>
        <v>72</v>
      </c>
      <c r="E508" s="138" t="str">
        <f t="shared" ca="1" si="23"/>
        <v>CRÍTICO</v>
      </c>
      <c r="F508" s="28" t="s">
        <v>42</v>
      </c>
      <c r="G508" s="147" t="s">
        <v>43</v>
      </c>
      <c r="H508" s="117" t="s">
        <v>91</v>
      </c>
      <c r="I508" s="19" t="str">
        <f>IF(W508="ADMITIDO","ADMITIDO",IF(W508="CANCELADA","CANCELADA",IF(H508="","",IFERROR(_xlfn.XLOOKUP(H508,Listas!I:I,Listas!J:J),"OUTROS"))))</f>
        <v>TRIAGEM</v>
      </c>
      <c r="J508" s="12" t="s">
        <v>44</v>
      </c>
      <c r="K508" s="12" t="s">
        <v>189</v>
      </c>
      <c r="L508" s="12" t="s">
        <v>924</v>
      </c>
      <c r="M508" s="107" t="s">
        <v>925</v>
      </c>
      <c r="N508" s="11" t="s">
        <v>34</v>
      </c>
      <c r="O508" s="11" t="s">
        <v>57</v>
      </c>
      <c r="P508" s="11" t="s">
        <v>308</v>
      </c>
      <c r="Q508" s="108"/>
      <c r="S508" s="18"/>
      <c r="AB508" s="10">
        <v>0</v>
      </c>
    </row>
    <row r="509" spans="1:28" hidden="1">
      <c r="A509" s="22">
        <v>30320</v>
      </c>
      <c r="B509" s="15">
        <v>1</v>
      </c>
      <c r="C509" s="63">
        <v>46155</v>
      </c>
      <c r="D509" s="105">
        <f t="shared" ca="1" si="26"/>
        <v>72</v>
      </c>
      <c r="E509" s="138" t="str">
        <f t="shared" ca="1" si="23"/>
        <v>CRÍTICO</v>
      </c>
      <c r="F509" s="28" t="s">
        <v>28</v>
      </c>
      <c r="G509" s="147" t="s">
        <v>43</v>
      </c>
      <c r="H509" s="117" t="s">
        <v>181</v>
      </c>
      <c r="I509" s="19" t="str">
        <f>IF(W509="ADMITIDO","ADMITIDO",IF(W509="CANCELADA","CANCELADA",IF(H509="","",IFERROR(_xlfn.XLOOKUP(H509,Listas!I:I,Listas!J:J),"OUTROS"))))</f>
        <v>DOCUMENTAÇÃO</v>
      </c>
      <c r="J509" s="12" t="s">
        <v>268</v>
      </c>
      <c r="K509" s="12" t="s">
        <v>1144</v>
      </c>
      <c r="L509" s="12" t="s">
        <v>386</v>
      </c>
      <c r="M509" s="107" t="s">
        <v>243</v>
      </c>
      <c r="N509" s="11" t="s">
        <v>34</v>
      </c>
      <c r="O509" s="11" t="s">
        <v>57</v>
      </c>
      <c r="P509" s="11" t="s">
        <v>532</v>
      </c>
      <c r="Q509" s="108"/>
      <c r="R509" s="16" t="s">
        <v>1276</v>
      </c>
      <c r="S509" s="18">
        <v>11954127095</v>
      </c>
      <c r="T509" s="11" t="s">
        <v>67</v>
      </c>
      <c r="U509" s="202">
        <v>46156</v>
      </c>
      <c r="V509" s="41" t="s">
        <v>1277</v>
      </c>
      <c r="W509" s="23" t="s">
        <v>284</v>
      </c>
      <c r="AA509" s="149" t="s">
        <v>1010</v>
      </c>
      <c r="AB509" s="10">
        <v>0</v>
      </c>
    </row>
    <row r="510" spans="1:28" hidden="1">
      <c r="A510" s="22">
        <v>30334</v>
      </c>
      <c r="B510" s="15">
        <v>1</v>
      </c>
      <c r="C510" s="63">
        <v>46155</v>
      </c>
      <c r="D510" s="105">
        <f t="shared" ca="1" si="26"/>
        <v>72</v>
      </c>
      <c r="E510" s="138" t="str">
        <f t="shared" ca="1" si="23"/>
        <v>CRÍTICO</v>
      </c>
      <c r="F510" s="28" t="s">
        <v>42</v>
      </c>
      <c r="G510" s="147" t="s">
        <v>145</v>
      </c>
      <c r="H510" s="117" t="s">
        <v>91</v>
      </c>
      <c r="I510" s="19" t="str">
        <f>IF(W510="ADMITIDO","ADMITIDO",IF(W510="CANCELADA","CANCELADA",IF(H510="","",IFERROR(_xlfn.XLOOKUP(H510,Listas!I:I,Listas!J:J),"OUTROS"))))</f>
        <v>TRIAGEM</v>
      </c>
      <c r="J510" s="12" t="s">
        <v>53</v>
      </c>
      <c r="K510" s="12" t="s">
        <v>103</v>
      </c>
      <c r="L510" s="12" t="s">
        <v>1173</v>
      </c>
      <c r="M510" s="107" t="s">
        <v>1174</v>
      </c>
      <c r="N510" s="11" t="s">
        <v>34</v>
      </c>
      <c r="O510" s="11" t="s">
        <v>57</v>
      </c>
      <c r="P510" s="11" t="s">
        <v>1175</v>
      </c>
      <c r="Q510" s="108"/>
      <c r="S510" s="18"/>
      <c r="AB510" s="10">
        <v>0</v>
      </c>
    </row>
    <row r="511" spans="1:28" hidden="1">
      <c r="A511" s="22">
        <v>30322</v>
      </c>
      <c r="B511" s="15">
        <v>1</v>
      </c>
      <c r="C511" s="63">
        <v>46155</v>
      </c>
      <c r="D511" s="105">
        <f t="shared" ca="1" si="26"/>
        <v>72</v>
      </c>
      <c r="E511" s="138" t="str">
        <f t="shared" ca="1" si="23"/>
        <v>CRÍTICO</v>
      </c>
      <c r="F511" s="28" t="s">
        <v>171</v>
      </c>
      <c r="G511" s="147" t="s">
        <v>43</v>
      </c>
      <c r="H511" s="117" t="s">
        <v>91</v>
      </c>
      <c r="I511" s="19" t="str">
        <f>IF(W511="ADMITIDO","ADMITIDO",IF(W511="CANCELADA","CANCELADA",IF(H511="","",IFERROR(_xlfn.XLOOKUP(H511,Listas!I:I,Listas!J:J),"OUTROS"))))</f>
        <v>TRIAGEM</v>
      </c>
      <c r="J511" s="12" t="s">
        <v>172</v>
      </c>
      <c r="K511" s="12" t="s">
        <v>360</v>
      </c>
      <c r="L511" s="12" t="s">
        <v>696</v>
      </c>
      <c r="M511" s="107" t="s">
        <v>337</v>
      </c>
      <c r="N511" s="11" t="s">
        <v>34</v>
      </c>
      <c r="O511" s="11" t="s">
        <v>35</v>
      </c>
      <c r="P511" s="11" t="s">
        <v>36</v>
      </c>
      <c r="Q511" s="108"/>
      <c r="S511" s="18"/>
      <c r="AB511" s="10">
        <v>0</v>
      </c>
    </row>
    <row r="512" spans="1:28" hidden="1">
      <c r="A512" s="22">
        <v>30324</v>
      </c>
      <c r="B512" s="15">
        <v>1</v>
      </c>
      <c r="C512" s="63">
        <v>46155</v>
      </c>
      <c r="D512" s="105">
        <f t="shared" ca="1" si="26"/>
        <v>72</v>
      </c>
      <c r="E512" s="138" t="str">
        <f t="shared" ca="1" si="23"/>
        <v>CRÍTICO</v>
      </c>
      <c r="F512" s="28" t="s">
        <v>42</v>
      </c>
      <c r="G512" s="147" t="s">
        <v>43</v>
      </c>
      <c r="H512" s="117" t="s">
        <v>91</v>
      </c>
      <c r="I512" s="19" t="str">
        <f>IF(W512="ADMITIDO","ADMITIDO",IF(W512="CANCELADA","CANCELADA",IF(H512="","",IFERROR(_xlfn.XLOOKUP(H512,Listas!I:I,Listas!J:J),"OUTROS"))))</f>
        <v>TRIAGEM</v>
      </c>
      <c r="J512" s="12" t="s">
        <v>44</v>
      </c>
      <c r="K512" s="12" t="s">
        <v>45</v>
      </c>
      <c r="L512" s="12" t="s">
        <v>46</v>
      </c>
      <c r="M512" s="107" t="s">
        <v>47</v>
      </c>
      <c r="N512" s="11" t="s">
        <v>34</v>
      </c>
      <c r="O512" s="11" t="s">
        <v>48</v>
      </c>
      <c r="P512" s="11" t="s">
        <v>49</v>
      </c>
      <c r="Q512" s="108"/>
      <c r="S512" s="18"/>
      <c r="AB512" s="10">
        <v>0</v>
      </c>
    </row>
    <row r="513" spans="1:28" hidden="1">
      <c r="A513" s="22">
        <v>30325</v>
      </c>
      <c r="B513" s="15">
        <v>1</v>
      </c>
      <c r="C513" s="63">
        <v>46155</v>
      </c>
      <c r="D513" s="105">
        <f t="shared" ca="1" si="26"/>
        <v>72</v>
      </c>
      <c r="E513" s="138" t="str">
        <f t="shared" ca="1" si="23"/>
        <v>CRÍTICO</v>
      </c>
      <c r="F513" s="28" t="s">
        <v>42</v>
      </c>
      <c r="G513" s="147" t="s">
        <v>60</v>
      </c>
      <c r="H513" s="117" t="s">
        <v>91</v>
      </c>
      <c r="I513" s="19" t="str">
        <f>IF(W513="ADMITIDO","ADMITIDO",IF(W513="CANCELADA","CANCELADA",IF(H513="","",IFERROR(_xlfn.XLOOKUP(H513,Listas!I:I,Listas!J:J),"OUTROS"))))</f>
        <v>TRIAGEM</v>
      </c>
      <c r="J513" s="12" t="s">
        <v>53</v>
      </c>
      <c r="K513" s="12" t="s">
        <v>61</v>
      </c>
      <c r="L513" s="12" t="s">
        <v>255</v>
      </c>
      <c r="M513" s="107" t="s">
        <v>63</v>
      </c>
      <c r="N513" s="11" t="s">
        <v>34</v>
      </c>
      <c r="O513" s="11" t="s">
        <v>219</v>
      </c>
      <c r="P513" s="11" t="s">
        <v>73</v>
      </c>
      <c r="Q513" s="108"/>
      <c r="S513" s="18"/>
      <c r="AB513" s="10">
        <v>0</v>
      </c>
    </row>
    <row r="514" spans="1:28" hidden="1">
      <c r="A514" s="22">
        <v>30326</v>
      </c>
      <c r="B514" s="15">
        <v>1</v>
      </c>
      <c r="C514" s="63">
        <v>46155</v>
      </c>
      <c r="D514" s="105">
        <f t="shared" ca="1" si="26"/>
        <v>72</v>
      </c>
      <c r="E514" s="138" t="str">
        <f t="shared" ca="1" si="23"/>
        <v>CRÍTICO</v>
      </c>
      <c r="F514" s="28" t="s">
        <v>42</v>
      </c>
      <c r="G514" s="147" t="s">
        <v>60</v>
      </c>
      <c r="H514" s="117" t="s">
        <v>91</v>
      </c>
      <c r="I514" s="19" t="str">
        <f>IF(W514="ADMITIDO","ADMITIDO",IF(W514="CANCELADA","CANCELADA",IF(H514="","",IFERROR(_xlfn.XLOOKUP(H514,Listas!I:I,Listas!J:J),"OUTROS"))))</f>
        <v>TRIAGEM</v>
      </c>
      <c r="J514" s="12" t="s">
        <v>53</v>
      </c>
      <c r="K514" s="12" t="s">
        <v>61</v>
      </c>
      <c r="L514" s="12" t="s">
        <v>255</v>
      </c>
      <c r="M514" s="107" t="s">
        <v>63</v>
      </c>
      <c r="N514" s="11" t="s">
        <v>34</v>
      </c>
      <c r="O514" s="11" t="s">
        <v>219</v>
      </c>
      <c r="P514" s="11" t="s">
        <v>73</v>
      </c>
      <c r="Q514" s="108"/>
      <c r="S514" s="18"/>
      <c r="AB514" s="10">
        <v>0</v>
      </c>
    </row>
    <row r="515" spans="1:28" hidden="1">
      <c r="A515" s="22">
        <v>30317</v>
      </c>
      <c r="B515" s="15">
        <v>1</v>
      </c>
      <c r="C515" s="63">
        <v>46155</v>
      </c>
      <c r="D515" s="105">
        <f t="shared" ca="1" si="26"/>
        <v>72</v>
      </c>
      <c r="E515" s="138" t="str">
        <f t="shared" ref="E515:E538" ca="1" si="27">IF(W515="ADMITIDO","ADMITIDO",IF(W515="CANCELADA","CANCELADA",IF(H515="","",IF(H515="ADMITIDO","ADMITIDO",IF(H515="CANCELADA","CANCELADA",IF(OR(H515="ANALISE CANCELAMENTO",H515="ANÁLISE CANCELAMENTO"),"EM ANÁLISE",IF(D515="","",IF(D515&lt;=7,"NO PRAZO",IF(D515&lt;=14,"ATENÇÃO","CRÍTICO")))))))))</f>
        <v>CRÍTICO</v>
      </c>
      <c r="F515" s="28" t="s">
        <v>28</v>
      </c>
      <c r="G515" s="147" t="s">
        <v>29</v>
      </c>
      <c r="H515" s="117" t="s">
        <v>91</v>
      </c>
      <c r="I515" s="19" t="str">
        <f>IF(W515="ADMITIDO","ADMITIDO",IF(W515="CANCELADA","CANCELADA",IF(H515="","",IFERROR(_xlfn.XLOOKUP(H515,Listas!I:I,Listas!J:J),"OUTROS"))))</f>
        <v>TRIAGEM</v>
      </c>
      <c r="J515" s="12" t="s">
        <v>146</v>
      </c>
      <c r="K515" s="12" t="s">
        <v>86</v>
      </c>
      <c r="L515" s="12" t="s">
        <v>903</v>
      </c>
      <c r="M515" s="107" t="s">
        <v>904</v>
      </c>
      <c r="N515" s="11" t="s">
        <v>34</v>
      </c>
      <c r="O515" s="11" t="s">
        <v>35</v>
      </c>
      <c r="P515" s="11" t="s">
        <v>905</v>
      </c>
      <c r="Q515" s="108"/>
      <c r="S515" s="18"/>
      <c r="AB515" s="10">
        <v>0</v>
      </c>
    </row>
    <row r="516" spans="1:28" hidden="1">
      <c r="A516" s="22">
        <v>30316</v>
      </c>
      <c r="B516" s="15">
        <v>1</v>
      </c>
      <c r="C516" s="63">
        <v>46155</v>
      </c>
      <c r="D516" s="105">
        <f t="shared" ca="1" si="26"/>
        <v>72</v>
      </c>
      <c r="E516" s="138" t="str">
        <f t="shared" ca="1" si="27"/>
        <v>CRÍTICO</v>
      </c>
      <c r="F516" s="28" t="s">
        <v>28</v>
      </c>
      <c r="G516" s="147" t="s">
        <v>60</v>
      </c>
      <c r="H516" s="117" t="s">
        <v>91</v>
      </c>
      <c r="I516" s="19" t="str">
        <f>IF(W516="ADMITIDO","ADMITIDO",IF(W516="CANCELADA","CANCELADA",IF(H516="","",IFERROR(_xlfn.XLOOKUP(H516,Listas!I:I,Listas!J:J),"OUTROS"))))</f>
        <v>TRIAGEM</v>
      </c>
      <c r="J516" s="12" t="s">
        <v>487</v>
      </c>
      <c r="K516" s="12" t="s">
        <v>330</v>
      </c>
      <c r="L516" s="12" t="s">
        <v>907</v>
      </c>
      <c r="M516" s="107" t="s">
        <v>63</v>
      </c>
      <c r="N516" s="11" t="s">
        <v>34</v>
      </c>
      <c r="O516" s="11" t="s">
        <v>35</v>
      </c>
      <c r="P516" s="11" t="s">
        <v>36</v>
      </c>
      <c r="Q516" s="108"/>
      <c r="S516" s="18"/>
      <c r="AB516" s="10">
        <v>0</v>
      </c>
    </row>
    <row r="517" spans="1:28" hidden="1">
      <c r="A517" s="22">
        <v>30328</v>
      </c>
      <c r="B517" s="15">
        <v>1</v>
      </c>
      <c r="C517" s="63">
        <v>46155</v>
      </c>
      <c r="D517" s="105">
        <f t="shared" ca="1" si="26"/>
        <v>72</v>
      </c>
      <c r="E517" s="138" t="str">
        <f t="shared" ca="1" si="27"/>
        <v>CRÍTICO</v>
      </c>
      <c r="F517" s="28" t="s">
        <v>42</v>
      </c>
      <c r="G517" s="147" t="s">
        <v>60</v>
      </c>
      <c r="H517" s="117" t="s">
        <v>91</v>
      </c>
      <c r="I517" s="19" t="str">
        <f>IF(W517="ADMITIDO","ADMITIDO",IF(W517="CANCELADA","CANCELADA",IF(H517="","",IFERROR(_xlfn.XLOOKUP(H517,Listas!I:I,Listas!J:J),"OUTROS"))))</f>
        <v>TRIAGEM</v>
      </c>
      <c r="J517" s="12" t="s">
        <v>53</v>
      </c>
      <c r="K517" s="12" t="s">
        <v>61</v>
      </c>
      <c r="L517" s="12" t="s">
        <v>62</v>
      </c>
      <c r="M517" s="107" t="s">
        <v>63</v>
      </c>
      <c r="N517" s="11" t="s">
        <v>34</v>
      </c>
      <c r="O517" s="11" t="s">
        <v>219</v>
      </c>
      <c r="P517" s="11" t="s">
        <v>73</v>
      </c>
      <c r="Q517" s="108"/>
      <c r="S517" s="18"/>
      <c r="AB517" s="10">
        <v>0</v>
      </c>
    </row>
    <row r="518" spans="1:28" hidden="1">
      <c r="A518" s="22">
        <v>30333</v>
      </c>
      <c r="B518" s="15">
        <v>1</v>
      </c>
      <c r="C518" s="63">
        <v>46155</v>
      </c>
      <c r="D518" s="105">
        <f t="shared" ca="1" si="26"/>
        <v>72</v>
      </c>
      <c r="E518" s="138" t="str">
        <f t="shared" ca="1" si="27"/>
        <v>CRÍTICO</v>
      </c>
      <c r="F518" s="28" t="s">
        <v>42</v>
      </c>
      <c r="G518" s="147" t="s">
        <v>145</v>
      </c>
      <c r="H518" s="117" t="s">
        <v>91</v>
      </c>
      <c r="I518" s="19" t="str">
        <f>IF(W518="ADMITIDO","ADMITIDO",IF(W518="CANCELADA","CANCELADA",IF(H518="","",IFERROR(_xlfn.XLOOKUP(H518,Listas!I:I,Listas!J:J),"OUTROS"))))</f>
        <v>TRIAGEM</v>
      </c>
      <c r="J518" s="12" t="s">
        <v>44</v>
      </c>
      <c r="K518" s="12" t="s">
        <v>103</v>
      </c>
      <c r="L518" s="12" t="s">
        <v>194</v>
      </c>
      <c r="M518" s="107" t="s">
        <v>63</v>
      </c>
      <c r="N518" s="11" t="s">
        <v>34</v>
      </c>
      <c r="O518" s="11" t="s">
        <v>35</v>
      </c>
      <c r="P518" s="11" t="s">
        <v>287</v>
      </c>
      <c r="Q518" s="108"/>
      <c r="S518" s="18"/>
      <c r="AB518" s="10">
        <v>0</v>
      </c>
    </row>
    <row r="519" spans="1:28" hidden="1">
      <c r="A519" s="22">
        <v>30354</v>
      </c>
      <c r="B519" s="15">
        <v>1</v>
      </c>
      <c r="C519" s="63">
        <v>46156</v>
      </c>
      <c r="D519" s="105">
        <f t="shared" ref="D519:D538" ca="1" si="28">TODAY()-C519</f>
        <v>71</v>
      </c>
      <c r="E519" s="138" t="str">
        <f t="shared" ca="1" si="27"/>
        <v>CRÍTICO</v>
      </c>
      <c r="F519" s="28" t="s">
        <v>42</v>
      </c>
      <c r="G519" s="147" t="s">
        <v>60</v>
      </c>
      <c r="H519" s="117" t="s">
        <v>91</v>
      </c>
      <c r="I519" s="19" t="str">
        <f>IF(W519="ADMITIDO","ADMITIDO",IF(W519="CANCELADA","CANCELADA",IF(H519="","",IFERROR(_xlfn.XLOOKUP(H519,Listas!I:I,Listas!J:J),"OUTROS"))))</f>
        <v>TRIAGEM</v>
      </c>
      <c r="J519" s="12" t="s">
        <v>53</v>
      </c>
      <c r="K519" s="12" t="s">
        <v>61</v>
      </c>
      <c r="L519" s="12" t="s">
        <v>556</v>
      </c>
      <c r="M519" s="12" t="s">
        <v>63</v>
      </c>
      <c r="N519" s="11" t="s">
        <v>34</v>
      </c>
      <c r="O519" s="11" t="s">
        <v>72</v>
      </c>
      <c r="P519" s="11" t="s">
        <v>73</v>
      </c>
      <c r="Q519" s="108"/>
      <c r="S519" s="18"/>
      <c r="AB519" s="10">
        <v>0</v>
      </c>
    </row>
    <row r="520" spans="1:28" hidden="1">
      <c r="A520" s="22">
        <v>30300</v>
      </c>
      <c r="B520" s="15">
        <v>1</v>
      </c>
      <c r="C520" s="63">
        <v>46156</v>
      </c>
      <c r="D520" s="105">
        <f t="shared" ca="1" si="28"/>
        <v>71</v>
      </c>
      <c r="E520" s="138" t="str">
        <f t="shared" ca="1" si="27"/>
        <v>CRÍTICO</v>
      </c>
      <c r="F520" s="28" t="s">
        <v>171</v>
      </c>
      <c r="G520" s="147" t="s">
        <v>29</v>
      </c>
      <c r="H520" s="117" t="s">
        <v>91</v>
      </c>
      <c r="I520" s="19" t="str">
        <f>IF(W520="ADMITIDO","ADMITIDO",IF(W520="CANCELADA","CANCELADA",IF(H520="","",IFERROR(_xlfn.XLOOKUP(H520,Listas!I:I,Listas!J:J),"OUTROS"))))</f>
        <v>TRIAGEM</v>
      </c>
      <c r="J520" s="12" t="s">
        <v>172</v>
      </c>
      <c r="K520" s="12" t="s">
        <v>203</v>
      </c>
      <c r="L520" s="12" t="s">
        <v>32</v>
      </c>
      <c r="M520" s="12" t="s">
        <v>33</v>
      </c>
      <c r="N520" s="11" t="s">
        <v>56</v>
      </c>
      <c r="O520" s="11" t="s">
        <v>35</v>
      </c>
      <c r="P520" s="11" t="s">
        <v>176</v>
      </c>
      <c r="Q520" s="108"/>
      <c r="S520" s="18"/>
      <c r="AB520" s="10">
        <v>0</v>
      </c>
    </row>
    <row r="521" spans="1:28" hidden="1">
      <c r="A521" s="22">
        <v>30349</v>
      </c>
      <c r="B521" s="15">
        <v>1</v>
      </c>
      <c r="C521" s="63">
        <v>46156</v>
      </c>
      <c r="D521" s="105">
        <f t="shared" ca="1" si="28"/>
        <v>71</v>
      </c>
      <c r="E521" s="138" t="str">
        <f t="shared" ca="1" si="27"/>
        <v>CRÍTICO</v>
      </c>
      <c r="F521" s="28" t="s">
        <v>28</v>
      </c>
      <c r="G521" s="147" t="s">
        <v>60</v>
      </c>
      <c r="H521" s="117" t="s">
        <v>91</v>
      </c>
      <c r="I521" s="19" t="str">
        <f>IF(W521="ADMITIDO","ADMITIDO",IF(W521="CANCELADA","CANCELADA",IF(H521="","",IFERROR(_xlfn.XLOOKUP(H521,Listas!I:I,Listas!J:J),"OUTROS"))))</f>
        <v>TRIAGEM</v>
      </c>
      <c r="J521" s="12" t="s">
        <v>616</v>
      </c>
      <c r="K521" s="12" t="s">
        <v>318</v>
      </c>
      <c r="L521" s="12" t="s">
        <v>1278</v>
      </c>
      <c r="M521" s="12" t="s">
        <v>63</v>
      </c>
      <c r="N521" s="11" t="s">
        <v>56</v>
      </c>
      <c r="O521" s="11" t="s">
        <v>35</v>
      </c>
      <c r="P521" s="11" t="s">
        <v>176</v>
      </c>
      <c r="Q521" s="108"/>
      <c r="S521" s="18"/>
      <c r="AB521" s="10">
        <v>0</v>
      </c>
    </row>
    <row r="522" spans="1:28" hidden="1">
      <c r="A522" s="22">
        <v>30350</v>
      </c>
      <c r="B522" s="15">
        <v>1</v>
      </c>
      <c r="C522" s="63">
        <v>46156</v>
      </c>
      <c r="D522" s="105">
        <f t="shared" ca="1" si="28"/>
        <v>71</v>
      </c>
      <c r="E522" s="138" t="str">
        <f t="shared" ca="1" si="27"/>
        <v>CRÍTICO</v>
      </c>
      <c r="F522" s="28" t="s">
        <v>28</v>
      </c>
      <c r="G522" s="147" t="s">
        <v>60</v>
      </c>
      <c r="H522" s="117" t="s">
        <v>91</v>
      </c>
      <c r="I522" s="19" t="str">
        <f>IF(W522="ADMITIDO","ADMITIDO",IF(W522="CANCELADA","CANCELADA",IF(H522="","",IFERROR(_xlfn.XLOOKUP(H522,Listas!I:I,Listas!J:J),"OUTROS"))))</f>
        <v>TRIAGEM</v>
      </c>
      <c r="J522" s="12" t="s">
        <v>616</v>
      </c>
      <c r="K522" s="12" t="s">
        <v>318</v>
      </c>
      <c r="L522" s="12" t="s">
        <v>1278</v>
      </c>
      <c r="M522" s="12" t="s">
        <v>63</v>
      </c>
      <c r="N522" s="11" t="s">
        <v>56</v>
      </c>
      <c r="O522" s="11" t="s">
        <v>35</v>
      </c>
      <c r="P522" s="11" t="s">
        <v>176</v>
      </c>
      <c r="Q522" s="108"/>
      <c r="S522" s="18"/>
      <c r="AB522" s="10">
        <v>0</v>
      </c>
    </row>
    <row r="523" spans="1:28" hidden="1">
      <c r="A523" s="22">
        <v>30356</v>
      </c>
      <c r="B523" s="15">
        <v>1</v>
      </c>
      <c r="C523" s="63">
        <v>46156</v>
      </c>
      <c r="D523" s="105">
        <f t="shared" ca="1" si="28"/>
        <v>71</v>
      </c>
      <c r="E523" s="138" t="str">
        <f t="shared" ca="1" si="27"/>
        <v>CRÍTICO</v>
      </c>
      <c r="F523" s="28" t="s">
        <v>42</v>
      </c>
      <c r="G523" s="147" t="s">
        <v>29</v>
      </c>
      <c r="H523" s="117" t="s">
        <v>91</v>
      </c>
      <c r="I523" s="19" t="str">
        <f>IF(W523="ADMITIDO","ADMITIDO",IF(W523="CANCELADA","CANCELADA",IF(H523="","",IFERROR(_xlfn.XLOOKUP(H523,Listas!I:I,Listas!J:J),"OUTROS"))))</f>
        <v>TRIAGEM</v>
      </c>
      <c r="J523" s="12" t="s">
        <v>44</v>
      </c>
      <c r="K523" s="12" t="s">
        <v>228</v>
      </c>
      <c r="L523" s="12" t="s">
        <v>807</v>
      </c>
      <c r="M523" s="12" t="s">
        <v>88</v>
      </c>
      <c r="N523" s="11" t="s">
        <v>34</v>
      </c>
      <c r="O523" s="11" t="s">
        <v>210</v>
      </c>
      <c r="P523" s="11" t="s">
        <v>349</v>
      </c>
      <c r="Q523" s="108"/>
      <c r="S523" s="18"/>
      <c r="AB523" s="10">
        <v>0</v>
      </c>
    </row>
    <row r="524" spans="1:28" hidden="1">
      <c r="A524" s="22">
        <v>30353</v>
      </c>
      <c r="B524" s="15">
        <v>1</v>
      </c>
      <c r="C524" s="63">
        <v>46156</v>
      </c>
      <c r="D524" s="105">
        <f t="shared" ca="1" si="28"/>
        <v>71</v>
      </c>
      <c r="E524" s="138" t="str">
        <f t="shared" ca="1" si="27"/>
        <v>CRÍTICO</v>
      </c>
      <c r="F524" s="28" t="s">
        <v>28</v>
      </c>
      <c r="G524" s="147" t="s">
        <v>240</v>
      </c>
      <c r="H524" s="117" t="s">
        <v>91</v>
      </c>
      <c r="I524" s="19" t="str">
        <f>IF(W524="ADMITIDO","ADMITIDO",IF(W524="CANCELADA","CANCELADA",IF(H524="","",IFERROR(_xlfn.XLOOKUP(H524,Listas!I:I,Listas!J:J),"OUTROS"))))</f>
        <v>TRIAGEM</v>
      </c>
      <c r="J524" s="12" t="s">
        <v>268</v>
      </c>
      <c r="K524" s="12" t="s">
        <v>676</v>
      </c>
      <c r="L524" s="12" t="s">
        <v>312</v>
      </c>
      <c r="M524" s="12" t="s">
        <v>243</v>
      </c>
      <c r="N524" s="11" t="s">
        <v>56</v>
      </c>
      <c r="O524" s="11" t="s">
        <v>35</v>
      </c>
      <c r="P524" s="11" t="s">
        <v>176</v>
      </c>
      <c r="Q524" s="108"/>
      <c r="S524" s="18"/>
      <c r="AB524" s="10">
        <v>0</v>
      </c>
    </row>
    <row r="525" spans="1:28" hidden="1">
      <c r="A525" s="22">
        <v>30358</v>
      </c>
      <c r="B525" s="15">
        <v>1</v>
      </c>
      <c r="C525" s="63">
        <v>46156</v>
      </c>
      <c r="D525" s="105">
        <f t="shared" ca="1" si="28"/>
        <v>71</v>
      </c>
      <c r="E525" s="138" t="str">
        <f t="shared" ca="1" si="27"/>
        <v>CRÍTICO</v>
      </c>
      <c r="F525" s="28" t="s">
        <v>28</v>
      </c>
      <c r="G525" s="147" t="s">
        <v>663</v>
      </c>
      <c r="H525" s="117" t="s">
        <v>833</v>
      </c>
      <c r="I525" s="19" t="str">
        <f>IF(W525="ADMITIDO","ADMITIDO",IF(W525="CANCELADA","CANCELADA",IF(H525="","",IFERROR(_xlfn.XLOOKUP(H525,Listas!I:I,Listas!J:J),"OUTROS"))))</f>
        <v>ENTREVISTA OPS</v>
      </c>
      <c r="J525" s="12" t="s">
        <v>146</v>
      </c>
      <c r="K525" s="12" t="s">
        <v>86</v>
      </c>
      <c r="L525" s="12" t="s">
        <v>1232</v>
      </c>
      <c r="M525" s="12" t="s">
        <v>88</v>
      </c>
      <c r="N525" s="11" t="s">
        <v>34</v>
      </c>
      <c r="O525" s="11" t="s">
        <v>35</v>
      </c>
      <c r="P525" s="11" t="s">
        <v>362</v>
      </c>
      <c r="Q525" s="108"/>
      <c r="S525" s="18"/>
      <c r="AB525" s="10">
        <v>0</v>
      </c>
    </row>
    <row r="526" spans="1:28" hidden="1">
      <c r="A526" s="22">
        <v>30347</v>
      </c>
      <c r="B526" s="15">
        <v>1</v>
      </c>
      <c r="C526" s="63">
        <v>46156</v>
      </c>
      <c r="D526" s="105">
        <f t="shared" ca="1" si="28"/>
        <v>71</v>
      </c>
      <c r="E526" s="138" t="str">
        <f t="shared" ca="1" si="27"/>
        <v>CRÍTICO</v>
      </c>
      <c r="F526" s="28" t="s">
        <v>28</v>
      </c>
      <c r="G526" s="147" t="s">
        <v>663</v>
      </c>
      <c r="H526" s="117" t="s">
        <v>259</v>
      </c>
      <c r="I526" s="19" t="str">
        <f>IF(W526="ADMITIDO","ADMITIDO",IF(W526="CANCELADA","CANCELADA",IF(H526="","",IFERROR(_xlfn.XLOOKUP(H526,Listas!I:I,Listas!J:J),"OUTROS"))))</f>
        <v>TRIAGEM</v>
      </c>
      <c r="J526" s="12" t="s">
        <v>146</v>
      </c>
      <c r="K526" s="12" t="s">
        <v>614</v>
      </c>
      <c r="L526" s="12" t="s">
        <v>1232</v>
      </c>
      <c r="M526" s="12" t="s">
        <v>88</v>
      </c>
      <c r="N526" s="11" t="s">
        <v>56</v>
      </c>
      <c r="O526" s="11" t="s">
        <v>35</v>
      </c>
      <c r="P526" s="11" t="s">
        <v>357</v>
      </c>
      <c r="Q526" s="108"/>
      <c r="S526" s="18"/>
      <c r="AB526" s="10">
        <v>0</v>
      </c>
    </row>
    <row r="527" spans="1:28" hidden="1">
      <c r="A527" s="22">
        <v>30348</v>
      </c>
      <c r="B527" s="15">
        <v>1</v>
      </c>
      <c r="C527" s="63">
        <v>46156</v>
      </c>
      <c r="D527" s="105">
        <f t="shared" ca="1" si="28"/>
        <v>71</v>
      </c>
      <c r="E527" s="138" t="str">
        <f t="shared" ca="1" si="27"/>
        <v>CRÍTICO</v>
      </c>
      <c r="F527" s="28" t="s">
        <v>28</v>
      </c>
      <c r="G527" s="147" t="s">
        <v>663</v>
      </c>
      <c r="H527" s="117" t="s">
        <v>833</v>
      </c>
      <c r="I527" s="19" t="str">
        <f>IF(W527="ADMITIDO","ADMITIDO",IF(W527="CANCELADA","CANCELADA",IF(H527="","",IFERROR(_xlfn.XLOOKUP(H527,Listas!I:I,Listas!J:J),"OUTROS"))))</f>
        <v>ENTREVISTA OPS</v>
      </c>
      <c r="J527" s="12" t="s">
        <v>146</v>
      </c>
      <c r="K527" s="12" t="s">
        <v>614</v>
      </c>
      <c r="L527" s="12" t="s">
        <v>1232</v>
      </c>
      <c r="M527" s="12" t="s">
        <v>88</v>
      </c>
      <c r="N527" s="11" t="s">
        <v>56</v>
      </c>
      <c r="O527" s="11" t="s">
        <v>35</v>
      </c>
      <c r="P527" s="11" t="s">
        <v>357</v>
      </c>
      <c r="Q527" s="108"/>
      <c r="S527" s="18"/>
      <c r="AB527" s="10">
        <v>0</v>
      </c>
    </row>
    <row r="528" spans="1:28" hidden="1">
      <c r="A528" s="22">
        <v>30352</v>
      </c>
      <c r="B528" s="15">
        <v>1</v>
      </c>
      <c r="C528" s="63">
        <v>46156</v>
      </c>
      <c r="D528" s="105">
        <f t="shared" ca="1" si="28"/>
        <v>71</v>
      </c>
      <c r="E528" s="138" t="str">
        <f t="shared" ca="1" si="27"/>
        <v>CRÍTICO</v>
      </c>
      <c r="F528" s="28" t="s">
        <v>171</v>
      </c>
      <c r="G528" s="147" t="s">
        <v>145</v>
      </c>
      <c r="H528" s="117" t="s">
        <v>91</v>
      </c>
      <c r="I528" s="19" t="str">
        <f>IF(W528="ADMITIDO","ADMITIDO",IF(W528="CANCELADA","CANCELADA",IF(H528="","",IFERROR(_xlfn.XLOOKUP(H528,Listas!I:I,Listas!J:J),"OUTROS"))))</f>
        <v>TRIAGEM</v>
      </c>
      <c r="J528" s="12" t="s">
        <v>172</v>
      </c>
      <c r="K528" s="12" t="s">
        <v>986</v>
      </c>
      <c r="L528" s="12" t="s">
        <v>1279</v>
      </c>
      <c r="M528" s="12" t="s">
        <v>33</v>
      </c>
      <c r="N528" s="11" t="s">
        <v>56</v>
      </c>
      <c r="O528" s="11" t="s">
        <v>35</v>
      </c>
      <c r="P528" s="11" t="s">
        <v>176</v>
      </c>
      <c r="Q528" s="108"/>
      <c r="S528" s="18"/>
      <c r="T528" s="11" t="s">
        <v>76</v>
      </c>
      <c r="U528" s="202">
        <v>46157</v>
      </c>
      <c r="V528" s="41" t="s">
        <v>1280</v>
      </c>
      <c r="W528" s="23" t="s">
        <v>284</v>
      </c>
      <c r="AB528" s="10">
        <v>0</v>
      </c>
    </row>
    <row r="529" spans="1:28" hidden="1">
      <c r="A529" s="22">
        <v>30345</v>
      </c>
      <c r="B529" s="15">
        <v>1</v>
      </c>
      <c r="C529" s="63">
        <v>46156</v>
      </c>
      <c r="D529" s="105">
        <f t="shared" ca="1" si="28"/>
        <v>71</v>
      </c>
      <c r="E529" s="138" t="str">
        <f ca="1">IF(W529="ADMITIDO","ADMITIDO",IF(W529="CANCELADA","CANCELADA",IF(H529="","",IF(H529="ADMITIDO","ADMITIDO",IF(H529="CANCELADA","CANCELADA",IF(OR(H529="ANALISE CANCELAMENTO",H529="ANÁLISE CANCELAMENTO"),"EM ANÁLISE",IF(D529="","",IF(D529&lt;=7,"NO PRAZO",IF(D529&lt;=14,"ATENÇÃO","CRÍTICO")))))))))</f>
        <v>CRÍTICO</v>
      </c>
      <c r="F529" s="28" t="s">
        <v>28</v>
      </c>
      <c r="G529" s="147" t="s">
        <v>43</v>
      </c>
      <c r="H529" s="117" t="s">
        <v>91</v>
      </c>
      <c r="I529" s="19" t="str">
        <f>IF(W529="ADMITIDO","ADMITIDO",IF(W529="CANCELADA","CANCELADA",IF(H529="","",IFERROR(_xlfn.XLOOKUP(H529,Listas!I:I,Listas!J:J),"OUTROS"))))</f>
        <v>TRIAGEM</v>
      </c>
      <c r="J529" s="12" t="s">
        <v>586</v>
      </c>
      <c r="K529" s="12" t="s">
        <v>335</v>
      </c>
      <c r="L529" s="12" t="s">
        <v>1281</v>
      </c>
      <c r="M529" s="12" t="s">
        <v>337</v>
      </c>
      <c r="N529" s="11" t="s">
        <v>56</v>
      </c>
      <c r="O529" s="11" t="s">
        <v>35</v>
      </c>
      <c r="P529" s="11" t="s">
        <v>760</v>
      </c>
      <c r="Q529" s="108"/>
      <c r="S529" s="18"/>
      <c r="AB529" s="10">
        <v>0</v>
      </c>
    </row>
    <row r="530" spans="1:28" hidden="1">
      <c r="A530" s="22">
        <v>30364</v>
      </c>
      <c r="B530" s="15">
        <v>1</v>
      </c>
      <c r="C530" s="63">
        <v>46157</v>
      </c>
      <c r="D530" s="105">
        <f t="shared" ca="1" si="28"/>
        <v>70</v>
      </c>
      <c r="E530" s="138" t="str">
        <f t="shared" ca="1" si="27"/>
        <v>CRÍTICO</v>
      </c>
      <c r="F530" s="28" t="s">
        <v>42</v>
      </c>
      <c r="G530" s="147" t="s">
        <v>43</v>
      </c>
      <c r="H530" s="117" t="s">
        <v>91</v>
      </c>
      <c r="I530" s="19" t="str">
        <f>IF(W530="ADMITIDO","ADMITIDO",IF(W530="CANCELADA","CANCELADA",IF(H530="","",IFERROR(_xlfn.XLOOKUP(H530,Listas!I:I,Listas!J:J),"OUTROS"))))</f>
        <v>TRIAGEM</v>
      </c>
      <c r="J530" s="221" t="s">
        <v>44</v>
      </c>
      <c r="K530" s="221" t="s">
        <v>45</v>
      </c>
      <c r="L530" s="221" t="s">
        <v>1282</v>
      </c>
      <c r="M530" s="221" t="s">
        <v>97</v>
      </c>
      <c r="N530" s="23" t="s">
        <v>34</v>
      </c>
      <c r="O530" s="23" t="s">
        <v>72</v>
      </c>
      <c r="P530" s="23" t="s">
        <v>238</v>
      </c>
      <c r="Q530" s="108"/>
      <c r="S530" s="18"/>
      <c r="AB530" s="10">
        <v>0</v>
      </c>
    </row>
    <row r="531" spans="1:28" hidden="1">
      <c r="A531" s="22">
        <v>30359</v>
      </c>
      <c r="B531" s="15">
        <v>1</v>
      </c>
      <c r="C531" s="63">
        <v>46157</v>
      </c>
      <c r="D531" s="105">
        <f t="shared" ca="1" si="28"/>
        <v>70</v>
      </c>
      <c r="E531" s="138" t="str">
        <f t="shared" ca="1" si="27"/>
        <v>CRÍTICO</v>
      </c>
      <c r="F531" s="28" t="s">
        <v>42</v>
      </c>
      <c r="G531" s="147" t="s">
        <v>240</v>
      </c>
      <c r="H531" s="117" t="s">
        <v>91</v>
      </c>
      <c r="I531" s="19" t="str">
        <f>IF(W531="ADMITIDO","ADMITIDO",IF(W531="CANCELADA","CANCELADA",IF(H531="","",IFERROR(_xlfn.XLOOKUP(H531,Listas!I:I,Listas!J:J),"OUTROS"))))</f>
        <v>TRIAGEM</v>
      </c>
      <c r="J531" s="221" t="s">
        <v>53</v>
      </c>
      <c r="K531" s="221" t="s">
        <v>241</v>
      </c>
      <c r="L531" s="221" t="s">
        <v>307</v>
      </c>
      <c r="M531" s="221" t="s">
        <v>243</v>
      </c>
      <c r="N531" s="23" t="s">
        <v>34</v>
      </c>
      <c r="O531" s="23" t="s">
        <v>57</v>
      </c>
      <c r="P531" s="23" t="s">
        <v>1283</v>
      </c>
      <c r="Q531" s="108"/>
      <c r="S531" s="18"/>
      <c r="AB531" s="10">
        <v>0</v>
      </c>
    </row>
    <row r="532" spans="1:28" hidden="1">
      <c r="A532" s="22">
        <v>30355</v>
      </c>
      <c r="B532" s="15">
        <v>1</v>
      </c>
      <c r="C532" s="63">
        <v>46157</v>
      </c>
      <c r="D532" s="105">
        <f t="shared" ca="1" si="28"/>
        <v>70</v>
      </c>
      <c r="E532" s="138" t="str">
        <f t="shared" ca="1" si="27"/>
        <v>CRÍTICO</v>
      </c>
      <c r="F532" s="28" t="s">
        <v>42</v>
      </c>
      <c r="G532" s="147" t="s">
        <v>29</v>
      </c>
      <c r="H532" s="117" t="s">
        <v>91</v>
      </c>
      <c r="I532" s="19" t="str">
        <f>IF(W532="ADMITIDO","ADMITIDO",IF(W532="CANCELADA","CANCELADA",IF(H532="","",IFERROR(_xlfn.XLOOKUP(H532,Listas!I:I,Listas!J:J),"OUTROS"))))</f>
        <v>TRIAGEM</v>
      </c>
      <c r="J532" s="221" t="s">
        <v>44</v>
      </c>
      <c r="K532" s="221" t="s">
        <v>228</v>
      </c>
      <c r="L532" s="221" t="s">
        <v>807</v>
      </c>
      <c r="M532" s="221" t="s">
        <v>88</v>
      </c>
      <c r="N532" s="23" t="s">
        <v>34</v>
      </c>
      <c r="O532" s="23" t="s">
        <v>210</v>
      </c>
      <c r="P532" s="23" t="s">
        <v>349</v>
      </c>
      <c r="Q532" s="108"/>
      <c r="S532" s="18"/>
      <c r="AB532" s="10">
        <v>0</v>
      </c>
    </row>
    <row r="533" spans="1:28" hidden="1">
      <c r="A533" s="22">
        <v>30366</v>
      </c>
      <c r="B533" s="15">
        <v>1</v>
      </c>
      <c r="C533" s="63">
        <v>46157</v>
      </c>
      <c r="D533" s="105">
        <f t="shared" ca="1" si="28"/>
        <v>70</v>
      </c>
      <c r="E533" s="138" t="str">
        <f t="shared" ca="1" si="27"/>
        <v>CRÍTICO</v>
      </c>
      <c r="F533" s="28" t="s">
        <v>28</v>
      </c>
      <c r="G533" s="147"/>
      <c r="H533" s="117" t="s">
        <v>91</v>
      </c>
      <c r="I533" s="19" t="str">
        <f>IF(W533="ADMITIDO","ADMITIDO",IF(W533="CANCELADA","CANCELADA",IF(H533="","",IFERROR(_xlfn.XLOOKUP(H533,Listas!I:I,Listas!J:J),"OUTROS"))))</f>
        <v>TRIAGEM</v>
      </c>
      <c r="J533" s="221" t="s">
        <v>1284</v>
      </c>
      <c r="K533" s="221" t="s">
        <v>1144</v>
      </c>
      <c r="L533" s="221" t="s">
        <v>700</v>
      </c>
      <c r="M533" s="221" t="s">
        <v>47</v>
      </c>
      <c r="N533" s="23" t="s">
        <v>34</v>
      </c>
      <c r="O533" s="23" t="s">
        <v>703</v>
      </c>
      <c r="P533" s="23" t="s">
        <v>36</v>
      </c>
      <c r="Q533" s="108"/>
      <c r="S533" s="18"/>
      <c r="AB533" s="10">
        <v>0</v>
      </c>
    </row>
    <row r="534" spans="1:28" hidden="1">
      <c r="A534" s="22">
        <v>30357</v>
      </c>
      <c r="B534" s="15">
        <v>1</v>
      </c>
      <c r="C534" s="63">
        <v>46157</v>
      </c>
      <c r="D534" s="105">
        <f t="shared" ca="1" si="28"/>
        <v>70</v>
      </c>
      <c r="E534" s="138" t="str">
        <f t="shared" ca="1" si="27"/>
        <v>CRÍTICO</v>
      </c>
      <c r="F534" s="28" t="s">
        <v>28</v>
      </c>
      <c r="G534" s="147" t="s">
        <v>240</v>
      </c>
      <c r="H534" s="117" t="s">
        <v>91</v>
      </c>
      <c r="I534" s="19" t="str">
        <f>IF(W534="ADMITIDO","ADMITIDO",IF(W534="CANCELADA","CANCELADA",IF(H534="","",IFERROR(_xlfn.XLOOKUP(H534,Listas!I:I,Listas!J:J),"OUTROS"))))</f>
        <v>TRIAGEM</v>
      </c>
      <c r="J534" s="221" t="s">
        <v>268</v>
      </c>
      <c r="K534" s="221" t="s">
        <v>423</v>
      </c>
      <c r="L534" s="221" t="s">
        <v>62</v>
      </c>
      <c r="M534" s="221" t="s">
        <v>63</v>
      </c>
      <c r="N534" s="23" t="s">
        <v>34</v>
      </c>
      <c r="O534" s="23" t="s">
        <v>35</v>
      </c>
      <c r="P534" s="23" t="s">
        <v>36</v>
      </c>
      <c r="Q534" s="108"/>
      <c r="S534" s="18"/>
      <c r="AB534" s="10">
        <v>0</v>
      </c>
    </row>
    <row r="535" spans="1:28" hidden="1">
      <c r="A535" s="22">
        <v>30361</v>
      </c>
      <c r="B535" s="15">
        <v>1</v>
      </c>
      <c r="C535" s="63">
        <v>46157</v>
      </c>
      <c r="D535" s="105">
        <f t="shared" ca="1" si="28"/>
        <v>70</v>
      </c>
      <c r="E535" s="138" t="str">
        <f t="shared" ca="1" si="27"/>
        <v>CRÍTICO</v>
      </c>
      <c r="F535" s="28" t="s">
        <v>42</v>
      </c>
      <c r="G535" s="147" t="s">
        <v>43</v>
      </c>
      <c r="H535" s="117" t="s">
        <v>91</v>
      </c>
      <c r="I535" s="19" t="str">
        <f>IF(W535="ADMITIDO","ADMITIDO",IF(W535="CANCELADA","CANCELADA",IF(H535="","",IFERROR(_xlfn.XLOOKUP(H535,Listas!I:I,Listas!J:J),"OUTROS"))))</f>
        <v>TRIAGEM</v>
      </c>
      <c r="J535" s="221" t="s">
        <v>53</v>
      </c>
      <c r="K535" s="221" t="s">
        <v>45</v>
      </c>
      <c r="L535" s="221" t="s">
        <v>218</v>
      </c>
      <c r="M535" s="221" t="s">
        <v>97</v>
      </c>
      <c r="N535" s="23" t="s">
        <v>34</v>
      </c>
      <c r="O535" s="23" t="s">
        <v>219</v>
      </c>
      <c r="P535" s="23" t="s">
        <v>220</v>
      </c>
      <c r="Q535" s="108"/>
      <c r="S535" s="18"/>
      <c r="AB535" s="10">
        <v>0</v>
      </c>
    </row>
    <row r="536" spans="1:28" hidden="1">
      <c r="A536" s="22">
        <v>30362</v>
      </c>
      <c r="B536" s="15">
        <v>1</v>
      </c>
      <c r="C536" s="63">
        <v>46157</v>
      </c>
      <c r="D536" s="105">
        <f t="shared" ca="1" si="28"/>
        <v>70</v>
      </c>
      <c r="E536" s="138" t="str">
        <f t="shared" ca="1" si="27"/>
        <v>CRÍTICO</v>
      </c>
      <c r="F536" s="28" t="s">
        <v>42</v>
      </c>
      <c r="G536" s="147"/>
      <c r="H536" s="117" t="s">
        <v>91</v>
      </c>
      <c r="I536" s="19" t="str">
        <f>IF(W536="ADMITIDO","ADMITIDO",IF(W536="CANCELADA","CANCELADA",IF(H536="","",IFERROR(_xlfn.XLOOKUP(H536,Listas!I:I,Listas!J:J),"OUTROS"))))</f>
        <v>TRIAGEM</v>
      </c>
      <c r="J536" s="221" t="s">
        <v>53</v>
      </c>
      <c r="K536" s="221" t="s">
        <v>1144</v>
      </c>
      <c r="L536" s="221" t="s">
        <v>96</v>
      </c>
      <c r="M536" s="221" t="s">
        <v>97</v>
      </c>
      <c r="N536" s="23" t="s">
        <v>34</v>
      </c>
      <c r="O536" s="23" t="s">
        <v>57</v>
      </c>
      <c r="P536" s="23" t="s">
        <v>151</v>
      </c>
      <c r="Q536" s="108"/>
      <c r="S536" s="18"/>
      <c r="AB536" s="10">
        <v>0</v>
      </c>
    </row>
    <row r="537" spans="1:28" hidden="1">
      <c r="A537" s="22">
        <v>30363</v>
      </c>
      <c r="B537" s="15">
        <v>1</v>
      </c>
      <c r="C537" s="63">
        <v>46157</v>
      </c>
      <c r="D537" s="105">
        <f t="shared" ca="1" si="28"/>
        <v>70</v>
      </c>
      <c r="E537" s="138" t="str">
        <f t="shared" ca="1" si="27"/>
        <v>CRÍTICO</v>
      </c>
      <c r="F537" s="28" t="s">
        <v>42</v>
      </c>
      <c r="G537" s="147"/>
      <c r="H537" s="117" t="s">
        <v>91</v>
      </c>
      <c r="I537" s="19" t="str">
        <f>IF(W537="ADMITIDO","ADMITIDO",IF(W537="CANCELADA","CANCELADA",IF(H537="","",IFERROR(_xlfn.XLOOKUP(H537,Listas!I:I,Listas!J:J),"OUTROS"))))</f>
        <v>TRIAGEM</v>
      </c>
      <c r="J537" s="221" t="s">
        <v>44</v>
      </c>
      <c r="K537" s="221" t="s">
        <v>1144</v>
      </c>
      <c r="L537" s="221" t="s">
        <v>96</v>
      </c>
      <c r="M537" s="221" t="s">
        <v>97</v>
      </c>
      <c r="N537" s="23" t="s">
        <v>34</v>
      </c>
      <c r="O537" s="23" t="s">
        <v>57</v>
      </c>
      <c r="P537" s="23" t="s">
        <v>98</v>
      </c>
      <c r="Q537" s="108"/>
      <c r="S537" s="18"/>
      <c r="AB537" s="10">
        <v>0</v>
      </c>
    </row>
    <row r="538" spans="1:28" hidden="1">
      <c r="A538" s="22">
        <v>30360</v>
      </c>
      <c r="B538" s="15">
        <v>1</v>
      </c>
      <c r="C538" s="63">
        <v>46157</v>
      </c>
      <c r="D538" s="105">
        <f t="shared" ca="1" si="28"/>
        <v>70</v>
      </c>
      <c r="E538" s="138" t="str">
        <f t="shared" ca="1" si="27"/>
        <v>CRÍTICO</v>
      </c>
      <c r="F538" s="28" t="s">
        <v>42</v>
      </c>
      <c r="G538" s="147" t="s">
        <v>167</v>
      </c>
      <c r="H538" s="117" t="s">
        <v>91</v>
      </c>
      <c r="I538" s="19" t="str">
        <f>IF(W538="ADMITIDO","ADMITIDO",IF(W538="CANCELADA","CANCELADA",IF(H538="","",IFERROR(_xlfn.XLOOKUP(H538,Listas!I:I,Listas!J:J),"OUTROS"))))</f>
        <v>TRIAGEM</v>
      </c>
      <c r="J538" s="221" t="s">
        <v>53</v>
      </c>
      <c r="K538" s="221" t="s">
        <v>103</v>
      </c>
      <c r="L538" s="221" t="s">
        <v>194</v>
      </c>
      <c r="M538" s="221" t="s">
        <v>63</v>
      </c>
      <c r="N538" s="23" t="s">
        <v>34</v>
      </c>
      <c r="O538" s="23" t="s">
        <v>219</v>
      </c>
      <c r="P538" s="23" t="s">
        <v>238</v>
      </c>
      <c r="Q538" s="108"/>
      <c r="S538" s="18"/>
      <c r="AB538" s="10">
        <v>0</v>
      </c>
    </row>
  </sheetData>
  <protectedRanges>
    <protectedRange sqref="AB2:AB538 G2:H538 Q2:S538" name="Recrutamento"/>
    <protectedRange sqref="T2:AA538" name="PreAdmissao"/>
  </protectedRanges>
  <autoFilter ref="A1:AA1044715" xr:uid="{00000000-0001-0000-0000-000000000000}">
    <filterColumn colId="6">
      <filters>
        <filter val="ELONY"/>
        <filter val="GABRIELA"/>
      </filters>
    </filterColumn>
    <filterColumn colId="7">
      <filters>
        <filter val="EM DOCUMENTAÇÃO 1"/>
      </filters>
    </filterColumn>
  </autoFilter>
  <mergeCells count="10">
    <mergeCell ref="A423:A424"/>
    <mergeCell ref="A6:A7"/>
    <mergeCell ref="A197:A198"/>
    <mergeCell ref="A191:A192"/>
    <mergeCell ref="A63:A64"/>
    <mergeCell ref="A75:A76"/>
    <mergeCell ref="A133:A134"/>
    <mergeCell ref="A195:A196"/>
    <mergeCell ref="A193:A194"/>
    <mergeCell ref="A77:A78"/>
  </mergeCells>
  <conditionalFormatting sqref="E2:E1048576 H2:I1048576">
    <cfRule type="expression" dxfId="102" priority="18">
      <formula>E2="ADMITIDO"</formula>
    </cfRule>
  </conditionalFormatting>
  <conditionalFormatting sqref="E2:E1048576 I2:I1048576">
    <cfRule type="expression" dxfId="101" priority="17">
      <formula>E2="CANCELADA"</formula>
    </cfRule>
  </conditionalFormatting>
  <conditionalFormatting sqref="E2:E1048576">
    <cfRule type="expression" dxfId="100" priority="14">
      <formula>E2="NO PRAZO"</formula>
    </cfRule>
    <cfRule type="expression" dxfId="99" priority="15">
      <formula>E2="ATENÇÃO"</formula>
    </cfRule>
    <cfRule type="expression" dxfId="98" priority="16">
      <formula>E2="CRÍTICO"</formula>
    </cfRule>
  </conditionalFormatting>
  <conditionalFormatting sqref="E52:E538 E589:E26980 E27031:E27105 E27156:E216808 E216896:E298248 E298299:E472020 E472071:E1044501 E1044552:E1044700">
    <cfRule type="expression" dxfId="97" priority="13">
      <formula>E2="EM ANÁLISE"</formula>
    </cfRule>
  </conditionalFormatting>
  <conditionalFormatting sqref="E539:E588">
    <cfRule type="expression" dxfId="96" priority="234">
      <formula>#REF!="EM ANÁLISE"</formula>
    </cfRule>
  </conditionalFormatting>
  <conditionalFormatting sqref="E26981:E26989">
    <cfRule type="expression" dxfId="95" priority="123">
      <formula>E26972="EM ANÁLISE"</formula>
    </cfRule>
  </conditionalFormatting>
  <conditionalFormatting sqref="E26990:E27030 E27118:E27155 E1044502:E1044551">
    <cfRule type="expression" dxfId="94" priority="77">
      <formula>#REF!="EM ANÁLISE"</formula>
    </cfRule>
  </conditionalFormatting>
  <conditionalFormatting sqref="E27106:E27117">
    <cfRule type="expression" dxfId="93" priority="100">
      <formula>E27094="EM ANÁLISE"</formula>
    </cfRule>
  </conditionalFormatting>
  <conditionalFormatting sqref="E216809:E216895 E472021:E472070">
    <cfRule type="expression" dxfId="92" priority="194">
      <formula>#REF!="EM ANÁLISE"</formula>
    </cfRule>
  </conditionalFormatting>
  <conditionalFormatting sqref="E298249:E298278">
    <cfRule type="expression" dxfId="91" priority="169">
      <formula>E298219="EM ANÁLISE"</formula>
    </cfRule>
  </conditionalFormatting>
  <conditionalFormatting sqref="E298279:E298298">
    <cfRule type="expression" dxfId="90" priority="146">
      <formula>#REF!="EM ANÁLISE"</formula>
    </cfRule>
  </conditionalFormatting>
  <conditionalFormatting sqref="E1044701:E1044713">
    <cfRule type="expression" dxfId="89" priority="54">
      <formula>E1044688="EM ANÁLISE"</formula>
    </cfRule>
  </conditionalFormatting>
  <conditionalFormatting sqref="E1044714:E1048576">
    <cfRule type="expression" dxfId="88" priority="38">
      <formula>#REF!="EM ANÁLISE"</formula>
    </cfRule>
  </conditionalFormatting>
  <conditionalFormatting sqref="H2:H1048576">
    <cfRule type="expression" dxfId="87" priority="6">
      <formula>H2="ANÁLISE CANCELAMENTO"</formula>
    </cfRule>
    <cfRule type="expression" dxfId="86" priority="8">
      <formula>I2="CANCELADA"</formula>
    </cfRule>
  </conditionalFormatting>
  <conditionalFormatting sqref="J10">
    <cfRule type="expression" dxfId="85" priority="7">
      <formula>H2="ANÁLISE CANCELAMENTO"</formula>
    </cfRule>
  </conditionalFormatting>
  <dataValidations count="1">
    <dataValidation allowBlank="1" showInputMessage="1" showErrorMessage="1" sqref="T421 I2:I538" xr:uid="{9B68FEC0-34E6-47AC-9B5D-DD920E3F604F}"/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27EF793-17D1-4D15-B69D-A45BB14153AD}">
          <x14:formula1>
            <xm:f>Listas!$F$2:$F$30</xm:f>
          </x14:formula1>
          <xm:sqref>X91 W2:W90 W92:W538</xm:sqref>
        </x14:dataValidation>
        <x14:dataValidation type="list" allowBlank="1" showInputMessage="1" showErrorMessage="1" xr:uid="{3AD55CB4-EE6C-46C8-88E5-EFAC4F1AB728}">
          <x14:formula1>
            <xm:f>Listas!$A$2:$A$30</xm:f>
          </x14:formula1>
          <xm:sqref>E44 E60 E13 E49 H2:H538</xm:sqref>
        </x14:dataValidation>
        <x14:dataValidation type="list" allowBlank="1" showInputMessage="1" showErrorMessage="1" xr:uid="{29986916-AD09-4A2A-92CB-78E42D30CD06}">
          <x14:formula1>
            <xm:f>Listas!$B$2:$B$23</xm:f>
          </x14:formula1>
          <xm:sqref>R317 G2:G538</xm:sqref>
        </x14:dataValidation>
        <x14:dataValidation type="list" allowBlank="1" showInputMessage="1" showErrorMessage="1" xr:uid="{471486CF-398B-4BC3-BBB1-071ABD7AA770}">
          <x14:formula1>
            <xm:f>Listas!$D$2:$D$30</xm:f>
          </x14:formula1>
          <xm:sqref>T416 T2:T413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7F17-0BD0-4697-9E83-A98A1D46824B}">
  <dimension ref="A1:AD1531"/>
  <sheetViews>
    <sheetView tabSelected="1" topLeftCell="B1" zoomScaleNormal="80" workbookViewId="0">
      <pane ySplit="1" topLeftCell="K1429" activePane="bottomLeft" state="frozen"/>
      <selection pane="bottomLeft" activeCell="P1432" sqref="P1432:Q1447"/>
      <selection activeCell="T1" sqref="T1"/>
    </sheetView>
  </sheetViews>
  <sheetFormatPr defaultColWidth="9.140625" defaultRowHeight="15" customHeight="1"/>
  <cols>
    <col min="1" max="1" width="9.140625" style="65" customWidth="1"/>
    <col min="2" max="2" width="9.42578125" style="65" customWidth="1"/>
    <col min="3" max="3" width="18.140625" style="65" customWidth="1"/>
    <col min="4" max="4" width="12" style="65" customWidth="1"/>
    <col min="5" max="5" width="14.140625" style="65" customWidth="1"/>
    <col min="6" max="6" width="15" style="65" customWidth="1"/>
    <col min="7" max="7" width="18.28515625" style="65" customWidth="1"/>
    <col min="8" max="8" width="22.28515625" style="65" customWidth="1"/>
    <col min="9" max="9" width="20.7109375" style="65" customWidth="1"/>
    <col min="10" max="10" width="39.7109375" style="65" customWidth="1"/>
    <col min="11" max="13" width="47.140625" style="65" customWidth="1"/>
    <col min="14" max="14" width="23.140625" style="65" customWidth="1"/>
    <col min="15" max="15" width="11.7109375" style="65" customWidth="1"/>
    <col min="16" max="16" width="34" style="65" customWidth="1"/>
    <col min="17" max="17" width="43.5703125" style="65" customWidth="1"/>
    <col min="18" max="18" width="61.7109375" style="319" customWidth="1"/>
    <col min="19" max="19" width="43.5703125" style="319" customWidth="1"/>
    <col min="20" max="20" width="22" style="319" customWidth="1"/>
    <col min="21" max="21" width="26.5703125" style="65" customWidth="1"/>
    <col min="22" max="22" width="25.140625" style="65" customWidth="1"/>
    <col min="23" max="23" width="53.5703125" style="65" customWidth="1"/>
    <col min="24" max="24" width="28.42578125" style="65" bestFit="1" customWidth="1"/>
    <col min="25" max="26" width="15.7109375" style="65" customWidth="1"/>
    <col min="27" max="27" width="10.7109375" style="65" customWidth="1"/>
    <col min="28" max="28" width="91.85546875" style="65" customWidth="1"/>
    <col min="29" max="29" width="25.140625" style="65" customWidth="1"/>
    <col min="30" max="30" width="15.5703125" style="65" customWidth="1"/>
    <col min="31" max="40" width="9.140625" style="65"/>
    <col min="41" max="41" width="13.7109375" style="65" bestFit="1" customWidth="1"/>
    <col min="42" max="16384" width="9.140625" style="65"/>
  </cols>
  <sheetData>
    <row r="1" spans="1:30" ht="50.25" customHeight="1">
      <c r="A1" s="284" t="s">
        <v>0</v>
      </c>
      <c r="B1" s="284" t="s">
        <v>1</v>
      </c>
      <c r="C1" s="285" t="s">
        <v>2</v>
      </c>
      <c r="D1" s="286" t="s">
        <v>3</v>
      </c>
      <c r="E1" s="287" t="s">
        <v>4</v>
      </c>
      <c r="F1" s="288" t="s">
        <v>5</v>
      </c>
      <c r="G1" s="288" t="s">
        <v>6</v>
      </c>
      <c r="H1" s="288" t="s">
        <v>7</v>
      </c>
      <c r="I1" s="288" t="s">
        <v>1285</v>
      </c>
      <c r="J1" s="288" t="s">
        <v>9</v>
      </c>
      <c r="K1" s="288" t="s">
        <v>10</v>
      </c>
      <c r="L1" s="288" t="s">
        <v>11</v>
      </c>
      <c r="M1" s="288"/>
      <c r="N1" s="288" t="s">
        <v>12</v>
      </c>
      <c r="O1" s="289" t="s">
        <v>13</v>
      </c>
      <c r="P1" s="289" t="s">
        <v>14</v>
      </c>
      <c r="Q1" s="289" t="s">
        <v>15</v>
      </c>
      <c r="R1" s="290" t="s">
        <v>16</v>
      </c>
      <c r="S1" s="290" t="s">
        <v>17</v>
      </c>
      <c r="T1" s="291" t="s">
        <v>1286</v>
      </c>
      <c r="U1" s="292" t="s">
        <v>19</v>
      </c>
      <c r="V1" s="293" t="s">
        <v>20</v>
      </c>
      <c r="W1" s="295" t="s">
        <v>21</v>
      </c>
      <c r="X1" s="292" t="s">
        <v>22</v>
      </c>
      <c r="Y1" s="293" t="s">
        <v>23</v>
      </c>
      <c r="Z1" s="293" t="s">
        <v>24</v>
      </c>
      <c r="AA1" s="292" t="s">
        <v>25</v>
      </c>
      <c r="AB1" s="294" t="s">
        <v>26</v>
      </c>
      <c r="AC1" s="231" t="s">
        <v>1287</v>
      </c>
      <c r="AD1" s="222" t="s">
        <v>27</v>
      </c>
    </row>
    <row r="2" spans="1:30" s="251" customFormat="1" ht="18" customHeight="1">
      <c r="A2" s="246">
        <v>28789</v>
      </c>
      <c r="B2" s="105">
        <v>1</v>
      </c>
      <c r="C2" s="247">
        <v>46048</v>
      </c>
      <c r="D2" s="105">
        <f ca="1">TODAY()-C2</f>
        <v>179</v>
      </c>
      <c r="E2" s="138" t="str">
        <f>IF(X2="ADMITIDO","ADMITIDO",IF(X2="CANCELADA","CANCELADA",IF(H2="","",IF(H2="ADMITIDO","ADMITIDO",IF(H2="CANCELADA","CANCELADA",IF(OR(H2="ANALISE CANCELAMENTO",H2="ANÁLISE CANCELAMENTO"),"EM ANÁLISE",IF(D2="","",IF(D2&lt;=7,"NO PRAZO",IF(D2&lt;=14,"ATENÇÃO","CRÍTICO")))))))))</f>
        <v>ADMITIDO</v>
      </c>
      <c r="F2" s="138" t="s">
        <v>28</v>
      </c>
      <c r="G2" s="117" t="s">
        <v>29</v>
      </c>
      <c r="H2" s="117" t="str">
        <f>X2</f>
        <v>ADMITIDO</v>
      </c>
      <c r="I2" s="117" t="str">
        <f>IF(X2="ADMITIDO","ADMITIDO",IF(X2="CANCELADA","CANCELADA",IF(H2="","",IFERROR(_xlfn.XLOOKUP(H2,Listas!I:I,Listas!J:J),"OUTROS"))))</f>
        <v>ADMITIDO</v>
      </c>
      <c r="J2" s="248" t="s">
        <v>30</v>
      </c>
      <c r="K2" s="73" t="s">
        <v>31</v>
      </c>
      <c r="L2" s="73" t="s">
        <v>32</v>
      </c>
      <c r="M2" s="73"/>
      <c r="N2" s="73" t="s">
        <v>33</v>
      </c>
      <c r="O2" s="73" t="s">
        <v>34</v>
      </c>
      <c r="P2" s="73" t="s">
        <v>35</v>
      </c>
      <c r="Q2" s="73" t="s">
        <v>36</v>
      </c>
      <c r="R2" s="74" t="s">
        <v>37</v>
      </c>
      <c r="S2" s="228"/>
      <c r="T2" s="74"/>
      <c r="U2" s="73" t="s">
        <v>38</v>
      </c>
      <c r="V2" s="220">
        <v>46142</v>
      </c>
      <c r="W2" s="203" t="s">
        <v>39</v>
      </c>
      <c r="X2" s="119" t="s">
        <v>40</v>
      </c>
      <c r="Y2" s="249">
        <v>46150</v>
      </c>
      <c r="Z2" s="249">
        <v>46151</v>
      </c>
      <c r="AA2" s="224">
        <v>914242</v>
      </c>
      <c r="AB2" s="74" t="s">
        <v>41</v>
      </c>
      <c r="AC2" s="74"/>
      <c r="AD2" s="250">
        <v>0</v>
      </c>
    </row>
    <row r="3" spans="1:30" s="251" customFormat="1" ht="18" customHeight="1">
      <c r="A3" s="97">
        <v>28991</v>
      </c>
      <c r="B3" s="105">
        <v>1</v>
      </c>
      <c r="C3" s="247">
        <v>46063</v>
      </c>
      <c r="D3" s="105">
        <f t="shared" ref="D3:D67" ca="1" si="0">TODAY()-C3</f>
        <v>164</v>
      </c>
      <c r="E3" s="138" t="str">
        <f t="shared" ref="E3:E66" si="1">IF(X3="ADMITIDO","ADMITIDO",IF(X3="CANCELADA","CANCELADA",IF(H3="","",IF(H3="ADMITIDO","ADMITIDO",IF(H3="CANCELADA","CANCELADA",IF(OR(H3="ANALISE CANCELAMENTO",H3="ANÁLISE CANCELAMENTO"),"EM ANÁLISE",IF(D3="","",IF(D3&lt;=7,"NO PRAZO",IF(D3&lt;=14,"ATENÇÃO","CRÍTICO")))))))))</f>
        <v>ADMITIDO</v>
      </c>
      <c r="F3" s="138" t="s">
        <v>42</v>
      </c>
      <c r="G3" s="117" t="s">
        <v>43</v>
      </c>
      <c r="H3" s="117" t="str">
        <f>X3</f>
        <v>ADMITIDO</v>
      </c>
      <c r="I3" s="117" t="str">
        <f>IF(X3="ADMITIDO","ADMITIDO",IF(X3="CANCELADA","CANCELADA",IF(H3="","",IFERROR(_xlfn.XLOOKUP(H3,Listas!I:I,Listas!J:J),"OUTROS"))))</f>
        <v>ADMITIDO</v>
      </c>
      <c r="J3" s="248" t="s">
        <v>44</v>
      </c>
      <c r="K3" s="73" t="s">
        <v>45</v>
      </c>
      <c r="L3" s="73" t="s">
        <v>46</v>
      </c>
      <c r="M3" s="73"/>
      <c r="N3" s="73" t="s">
        <v>47</v>
      </c>
      <c r="O3" s="73" t="s">
        <v>34</v>
      </c>
      <c r="P3" s="73" t="s">
        <v>48</v>
      </c>
      <c r="Q3" s="73" t="s">
        <v>49</v>
      </c>
      <c r="R3" s="74"/>
      <c r="S3" s="228"/>
      <c r="T3" s="252"/>
      <c r="U3" s="73" t="s">
        <v>50</v>
      </c>
      <c r="V3" s="220">
        <v>46126</v>
      </c>
      <c r="W3" s="203" t="s">
        <v>51</v>
      </c>
      <c r="X3" s="227" t="s">
        <v>40</v>
      </c>
      <c r="Y3" s="249">
        <v>46134</v>
      </c>
      <c r="Z3" s="249">
        <v>46135</v>
      </c>
      <c r="AA3" s="224">
        <v>914145</v>
      </c>
      <c r="AB3" s="74"/>
      <c r="AC3" s="74"/>
      <c r="AD3" s="250">
        <v>0</v>
      </c>
    </row>
    <row r="4" spans="1:30" s="251" customFormat="1" ht="18" customHeight="1">
      <c r="A4" s="97">
        <v>29028</v>
      </c>
      <c r="B4" s="105">
        <v>1</v>
      </c>
      <c r="C4" s="247">
        <v>46065</v>
      </c>
      <c r="D4" s="105">
        <f t="shared" ca="1" si="0"/>
        <v>162</v>
      </c>
      <c r="E4" s="138" t="str">
        <f t="shared" si="1"/>
        <v>CANCELADA</v>
      </c>
      <c r="F4" s="138" t="s">
        <v>42</v>
      </c>
      <c r="G4" s="117" t="s">
        <v>29</v>
      </c>
      <c r="H4" s="117" t="s">
        <v>52</v>
      </c>
      <c r="I4" s="117" t="str">
        <f>IF(X4="ADMITIDO","ADMITIDO",IF(X4="CANCELADA","CANCELADA",IF(H4="","",IFERROR(_xlfn.XLOOKUP(H4,Listas!I:I,Listas!J:J),"OUTROS"))))</f>
        <v>CANCELADA</v>
      </c>
      <c r="J4" s="248" t="s">
        <v>53</v>
      </c>
      <c r="K4" s="73" t="s">
        <v>54</v>
      </c>
      <c r="L4" s="73" t="s">
        <v>55</v>
      </c>
      <c r="M4" s="73"/>
      <c r="N4" s="73" t="s">
        <v>33</v>
      </c>
      <c r="O4" s="73" t="s">
        <v>56</v>
      </c>
      <c r="P4" s="73" t="s">
        <v>57</v>
      </c>
      <c r="Q4" s="73" t="s">
        <v>58</v>
      </c>
      <c r="R4" s="74" t="s">
        <v>59</v>
      </c>
      <c r="S4" s="228"/>
      <c r="T4" s="74"/>
      <c r="U4" s="73"/>
      <c r="V4" s="220"/>
      <c r="W4" s="203"/>
      <c r="X4" s="227" t="s">
        <v>52</v>
      </c>
      <c r="Y4" s="249"/>
      <c r="Z4" s="249"/>
      <c r="AA4" s="224"/>
      <c r="AB4" s="74"/>
      <c r="AC4" s="74"/>
      <c r="AD4" s="250">
        <v>0</v>
      </c>
    </row>
    <row r="5" spans="1:30" s="251" customFormat="1" ht="18" customHeight="1">
      <c r="A5" s="246">
        <v>29493</v>
      </c>
      <c r="B5" s="105">
        <v>1</v>
      </c>
      <c r="C5" s="247">
        <v>46104</v>
      </c>
      <c r="D5" s="105">
        <f t="shared" ca="1" si="0"/>
        <v>123</v>
      </c>
      <c r="E5" s="138" t="str">
        <f t="shared" si="1"/>
        <v>ADMITIDO</v>
      </c>
      <c r="F5" s="138" t="s">
        <v>42</v>
      </c>
      <c r="G5" s="117" t="s">
        <v>60</v>
      </c>
      <c r="H5" s="117" t="s">
        <v>40</v>
      </c>
      <c r="I5" s="117" t="str">
        <f>IF(X5="ADMITIDO","ADMITIDO",IF(X5="CANCELADA","CANCELADA",IF(H5="","",IFERROR(_xlfn.XLOOKUP(H5,Listas!I:I,Listas!J:J),"OUTROS"))))</f>
        <v>ADMITIDO</v>
      </c>
      <c r="J5" s="248" t="s">
        <v>53</v>
      </c>
      <c r="K5" s="73" t="s">
        <v>61</v>
      </c>
      <c r="L5" s="73" t="s">
        <v>62</v>
      </c>
      <c r="M5" s="73"/>
      <c r="N5" s="73" t="s">
        <v>63</v>
      </c>
      <c r="O5" s="73" t="s">
        <v>34</v>
      </c>
      <c r="P5" s="73" t="s">
        <v>57</v>
      </c>
      <c r="Q5" s="73" t="s">
        <v>64</v>
      </c>
      <c r="R5" s="74"/>
      <c r="S5" s="228" t="s">
        <v>65</v>
      </c>
      <c r="T5" s="74" t="s">
        <v>66</v>
      </c>
      <c r="U5" s="73" t="s">
        <v>67</v>
      </c>
      <c r="V5" s="220">
        <v>46134</v>
      </c>
      <c r="W5" s="203" t="s">
        <v>68</v>
      </c>
      <c r="X5" s="73" t="s">
        <v>40</v>
      </c>
      <c r="Y5" s="249">
        <v>46146</v>
      </c>
      <c r="Z5" s="249">
        <v>46147</v>
      </c>
      <c r="AA5" s="224">
        <v>145905</v>
      </c>
      <c r="AB5" s="74"/>
      <c r="AC5" s="74"/>
      <c r="AD5" s="250">
        <v>0</v>
      </c>
    </row>
    <row r="6" spans="1:30" s="251" customFormat="1" ht="18" customHeight="1">
      <c r="A6" s="611">
        <v>29199</v>
      </c>
      <c r="B6" s="105">
        <v>1</v>
      </c>
      <c r="C6" s="247">
        <v>46080</v>
      </c>
      <c r="D6" s="105">
        <f t="shared" ca="1" si="0"/>
        <v>147</v>
      </c>
      <c r="E6" s="138" t="str">
        <f t="shared" si="1"/>
        <v>ADMITIDO</v>
      </c>
      <c r="F6" s="138" t="s">
        <v>42</v>
      </c>
      <c r="G6" s="117" t="s">
        <v>69</v>
      </c>
      <c r="H6" s="117" t="s">
        <v>40</v>
      </c>
      <c r="I6" s="117" t="str">
        <f>IF(X6="ADMITIDO","ADMITIDO",IF(X6="CANCELADA","CANCELADA",IF(H6="","",IFERROR(_xlfn.XLOOKUP(H6,Listas!I:I,Listas!J:J),"OUTROS"))))</f>
        <v>ADMITIDO</v>
      </c>
      <c r="J6" s="248" t="s">
        <v>53</v>
      </c>
      <c r="K6" s="73" t="s">
        <v>70</v>
      </c>
      <c r="L6" s="73" t="s">
        <v>71</v>
      </c>
      <c r="M6" s="73"/>
      <c r="N6" s="73" t="s">
        <v>33</v>
      </c>
      <c r="O6" s="73" t="s">
        <v>34</v>
      </c>
      <c r="P6" s="73" t="s">
        <v>72</v>
      </c>
      <c r="Q6" s="73" t="s">
        <v>73</v>
      </c>
      <c r="R6" s="74"/>
      <c r="S6" s="228" t="s">
        <v>65</v>
      </c>
      <c r="T6" s="74" t="s">
        <v>74</v>
      </c>
      <c r="U6" s="73" t="s">
        <v>67</v>
      </c>
      <c r="V6" s="220">
        <v>46134</v>
      </c>
      <c r="W6" s="203" t="s">
        <v>75</v>
      </c>
      <c r="X6" s="73" t="s">
        <v>40</v>
      </c>
      <c r="Y6" s="249">
        <v>46146</v>
      </c>
      <c r="Z6" s="249">
        <v>46147</v>
      </c>
      <c r="AA6" s="224">
        <v>145909</v>
      </c>
      <c r="AB6" s="74"/>
      <c r="AC6" s="74"/>
      <c r="AD6" s="250">
        <v>0</v>
      </c>
    </row>
    <row r="7" spans="1:30" s="251" customFormat="1" ht="18" customHeight="1">
      <c r="A7" s="611"/>
      <c r="B7" s="105">
        <v>1</v>
      </c>
      <c r="C7" s="247">
        <v>46080</v>
      </c>
      <c r="D7" s="105">
        <f ca="1">TODAY()-C7</f>
        <v>147</v>
      </c>
      <c r="E7" s="138" t="str">
        <f t="shared" si="1"/>
        <v>ADMITIDO</v>
      </c>
      <c r="F7" s="138" t="s">
        <v>42</v>
      </c>
      <c r="G7" s="117" t="s">
        <v>69</v>
      </c>
      <c r="H7" s="117" t="s">
        <v>40</v>
      </c>
      <c r="I7" s="117" t="str">
        <f>IF(X7="ADMITIDO","ADMITIDO",IF(X7="CANCELADA","CANCELADA",IF(H7="","",IFERROR(_xlfn.XLOOKUP(H7,Listas!I:I,Listas!J:J),"OUTROS"))))</f>
        <v>ADMITIDO</v>
      </c>
      <c r="J7" s="248" t="s">
        <v>53</v>
      </c>
      <c r="K7" s="73" t="s">
        <v>70</v>
      </c>
      <c r="L7" s="73" t="s">
        <v>71</v>
      </c>
      <c r="M7" s="73"/>
      <c r="N7" s="73" t="s">
        <v>33</v>
      </c>
      <c r="O7" s="73" t="s">
        <v>34</v>
      </c>
      <c r="P7" s="73" t="s">
        <v>72</v>
      </c>
      <c r="Q7" s="73" t="s">
        <v>73</v>
      </c>
      <c r="R7" s="74"/>
      <c r="S7" s="228" t="s">
        <v>65</v>
      </c>
      <c r="T7" s="74"/>
      <c r="U7" s="73" t="s">
        <v>76</v>
      </c>
      <c r="V7" s="220">
        <v>46141</v>
      </c>
      <c r="W7" s="203" t="s">
        <v>77</v>
      </c>
      <c r="X7" s="73" t="s">
        <v>40</v>
      </c>
      <c r="Y7" s="249">
        <v>46147</v>
      </c>
      <c r="Z7" s="249">
        <v>46148</v>
      </c>
      <c r="AA7" s="224">
        <v>145918</v>
      </c>
      <c r="AB7" s="74"/>
      <c r="AC7" s="74"/>
      <c r="AD7" s="250">
        <v>0</v>
      </c>
    </row>
    <row r="8" spans="1:30" s="251" customFormat="1" ht="18" customHeight="1">
      <c r="A8" s="246">
        <v>29200</v>
      </c>
      <c r="B8" s="105">
        <v>1</v>
      </c>
      <c r="C8" s="247">
        <v>46080</v>
      </c>
      <c r="D8" s="105">
        <f t="shared" ca="1" si="0"/>
        <v>147</v>
      </c>
      <c r="E8" s="138" t="str">
        <f t="shared" si="1"/>
        <v>ADMITIDO</v>
      </c>
      <c r="F8" s="138" t="s">
        <v>42</v>
      </c>
      <c r="G8" s="117" t="s">
        <v>69</v>
      </c>
      <c r="H8" s="117" t="s">
        <v>40</v>
      </c>
      <c r="I8" s="117" t="str">
        <f>IF(X8="ADMITIDO","ADMITIDO",IF(X8="CANCELADA","CANCELADA",IF(H8="","",IFERROR(_xlfn.XLOOKUP(H8,Listas!I:I,Listas!J:J),"OUTROS"))))</f>
        <v>ADMITIDO</v>
      </c>
      <c r="J8" s="248" t="s">
        <v>53</v>
      </c>
      <c r="K8" s="73" t="s">
        <v>70</v>
      </c>
      <c r="L8" s="73" t="s">
        <v>78</v>
      </c>
      <c r="M8" s="73"/>
      <c r="N8" s="73" t="s">
        <v>63</v>
      </c>
      <c r="O8" s="73" t="s">
        <v>34</v>
      </c>
      <c r="P8" s="73" t="s">
        <v>48</v>
      </c>
      <c r="Q8" s="73" t="s">
        <v>79</v>
      </c>
      <c r="R8" s="74" t="s">
        <v>80</v>
      </c>
      <c r="S8" s="228" t="s">
        <v>81</v>
      </c>
      <c r="T8" s="74" t="s">
        <v>82</v>
      </c>
      <c r="U8" s="73" t="s">
        <v>67</v>
      </c>
      <c r="V8" s="220">
        <v>46149</v>
      </c>
      <c r="W8" s="203" t="s">
        <v>83</v>
      </c>
      <c r="X8" s="117" t="s">
        <v>40</v>
      </c>
      <c r="Y8" s="249">
        <v>46154</v>
      </c>
      <c r="Z8" s="249">
        <v>46156</v>
      </c>
      <c r="AA8" s="224">
        <v>145950</v>
      </c>
      <c r="AB8" s="74" t="s">
        <v>84</v>
      </c>
      <c r="AC8" s="74"/>
      <c r="AD8" s="250">
        <v>0</v>
      </c>
    </row>
    <row r="9" spans="1:30" s="251" customFormat="1" ht="18" customHeight="1">
      <c r="A9" s="97">
        <v>29288</v>
      </c>
      <c r="B9" s="105">
        <v>1</v>
      </c>
      <c r="C9" s="247">
        <v>46086</v>
      </c>
      <c r="D9" s="105">
        <f t="shared" ca="1" si="0"/>
        <v>141</v>
      </c>
      <c r="E9" s="138" t="str">
        <f t="shared" si="1"/>
        <v>ADMITIDO</v>
      </c>
      <c r="F9" s="138" t="s">
        <v>28</v>
      </c>
      <c r="G9" s="117" t="s">
        <v>29</v>
      </c>
      <c r="H9" s="117" t="str">
        <f>X9</f>
        <v>ADMITIDO</v>
      </c>
      <c r="I9" s="117" t="str">
        <f>IF(X9="ADMITIDO","ADMITIDO",IF(X9="CANCELADA","CANCELADA",IF(H9="","",IFERROR(_xlfn.XLOOKUP(H9,Listas!I:I,Listas!J:J),"OUTROS"))))</f>
        <v>ADMITIDO</v>
      </c>
      <c r="J9" s="248" t="s">
        <v>85</v>
      </c>
      <c r="K9" s="73" t="s">
        <v>86</v>
      </c>
      <c r="L9" s="73" t="s">
        <v>87</v>
      </c>
      <c r="M9" s="73"/>
      <c r="N9" s="73" t="s">
        <v>88</v>
      </c>
      <c r="O9" s="73" t="s">
        <v>34</v>
      </c>
      <c r="P9" s="73" t="s">
        <v>48</v>
      </c>
      <c r="Q9" s="73" t="s">
        <v>89</v>
      </c>
      <c r="R9" s="74"/>
      <c r="S9" s="228"/>
      <c r="T9" s="74"/>
      <c r="U9" s="73" t="s">
        <v>38</v>
      </c>
      <c r="V9" s="220">
        <v>46127</v>
      </c>
      <c r="W9" s="203" t="s">
        <v>90</v>
      </c>
      <c r="X9" s="227" t="s">
        <v>40</v>
      </c>
      <c r="Y9" s="249">
        <v>46139</v>
      </c>
      <c r="Z9" s="249">
        <v>46130</v>
      </c>
      <c r="AA9" s="224">
        <v>914174</v>
      </c>
      <c r="AB9" s="74"/>
      <c r="AC9" s="74"/>
      <c r="AD9" s="250">
        <v>0</v>
      </c>
    </row>
    <row r="10" spans="1:30" s="251" customFormat="1" ht="18" customHeight="1">
      <c r="A10" s="246">
        <v>29258</v>
      </c>
      <c r="B10" s="105">
        <v>1</v>
      </c>
      <c r="C10" s="247">
        <v>46086</v>
      </c>
      <c r="D10" s="105">
        <f t="shared" ca="1" si="0"/>
        <v>141</v>
      </c>
      <c r="E10" s="138" t="str">
        <f t="shared" si="1"/>
        <v>ADMITIDO</v>
      </c>
      <c r="F10" s="138" t="s">
        <v>42</v>
      </c>
      <c r="G10" s="117" t="s">
        <v>29</v>
      </c>
      <c r="H10" s="117" t="str">
        <f>X10</f>
        <v>ADMITIDO</v>
      </c>
      <c r="I10" s="117" t="str">
        <f>IF(X10="ADMITIDO","ADMITIDO",IF(X10="CANCELADA","CANCELADA",IF(H10="","",IFERROR(_xlfn.XLOOKUP(H10,Listas!I:I,Listas!J:J),"OUTROS"))))</f>
        <v>ADMITIDO</v>
      </c>
      <c r="J10" s="248" t="s">
        <v>53</v>
      </c>
      <c r="K10" s="73" t="s">
        <v>54</v>
      </c>
      <c r="L10" s="73" t="s">
        <v>92</v>
      </c>
      <c r="M10" s="73"/>
      <c r="N10" s="73" t="s">
        <v>93</v>
      </c>
      <c r="O10" s="73" t="s">
        <v>34</v>
      </c>
      <c r="P10" s="73" t="s">
        <v>57</v>
      </c>
      <c r="Q10" s="73" t="s">
        <v>94</v>
      </c>
      <c r="R10" s="74"/>
      <c r="S10" s="228"/>
      <c r="T10" s="255" t="s">
        <v>1288</v>
      </c>
      <c r="U10" s="73" t="s">
        <v>38</v>
      </c>
      <c r="V10" s="220">
        <v>46160</v>
      </c>
      <c r="W10" s="118" t="s">
        <v>1289</v>
      </c>
      <c r="X10" s="227" t="s">
        <v>40</v>
      </c>
      <c r="Y10" s="249">
        <v>46164</v>
      </c>
      <c r="Z10" s="249">
        <v>46165</v>
      </c>
      <c r="AA10" s="224">
        <v>914325</v>
      </c>
      <c r="AB10" s="74"/>
      <c r="AC10" s="74"/>
      <c r="AD10" s="250">
        <v>0</v>
      </c>
    </row>
    <row r="11" spans="1:30" s="251" customFormat="1" ht="18" customHeight="1">
      <c r="A11" s="246">
        <v>29270</v>
      </c>
      <c r="B11" s="105">
        <v>1</v>
      </c>
      <c r="C11" s="247">
        <v>46086</v>
      </c>
      <c r="D11" s="105">
        <f t="shared" ca="1" si="0"/>
        <v>141</v>
      </c>
      <c r="E11" s="138" t="str">
        <f t="shared" si="1"/>
        <v>ADMITIDO</v>
      </c>
      <c r="F11" s="138" t="s">
        <v>42</v>
      </c>
      <c r="G11" s="117" t="s">
        <v>43</v>
      </c>
      <c r="H11" s="117" t="s">
        <v>40</v>
      </c>
      <c r="I11" s="117" t="str">
        <f>IF(X11="ADMITIDO","ADMITIDO",IF(X11="CANCELADA","CANCELADA",IF(H11="","",IFERROR(_xlfn.XLOOKUP(H11,Listas!I:I,Listas!J:J),"OUTROS"))))</f>
        <v>ADMITIDO</v>
      </c>
      <c r="J11" s="248" t="s">
        <v>44</v>
      </c>
      <c r="K11" s="73" t="s">
        <v>45</v>
      </c>
      <c r="L11" s="73" t="s">
        <v>96</v>
      </c>
      <c r="M11" s="73"/>
      <c r="N11" s="73" t="s">
        <v>97</v>
      </c>
      <c r="O11" s="73" t="s">
        <v>34</v>
      </c>
      <c r="P11" s="73" t="s">
        <v>57</v>
      </c>
      <c r="Q11" s="73" t="s">
        <v>98</v>
      </c>
      <c r="R11" s="74" t="s">
        <v>99</v>
      </c>
      <c r="S11" s="228"/>
      <c r="T11" s="252">
        <v>11960178856</v>
      </c>
      <c r="U11" s="73" t="s">
        <v>50</v>
      </c>
      <c r="V11" s="220">
        <v>46140</v>
      </c>
      <c r="W11" s="203" t="s">
        <v>100</v>
      </c>
      <c r="X11" s="73" t="s">
        <v>40</v>
      </c>
      <c r="Y11" s="249">
        <v>46148</v>
      </c>
      <c r="Z11" s="249">
        <v>46148</v>
      </c>
      <c r="AA11" s="121">
        <v>914215</v>
      </c>
      <c r="AB11" s="74" t="s">
        <v>101</v>
      </c>
      <c r="AC11" s="74"/>
      <c r="AD11" s="250">
        <v>0</v>
      </c>
    </row>
    <row r="12" spans="1:30" s="251" customFormat="1" ht="18" customHeight="1">
      <c r="A12" s="97">
        <v>29345</v>
      </c>
      <c r="B12" s="105">
        <v>1</v>
      </c>
      <c r="C12" s="247">
        <v>46091</v>
      </c>
      <c r="D12" s="105">
        <f t="shared" ca="1" si="0"/>
        <v>136</v>
      </c>
      <c r="E12" s="138" t="str">
        <f t="shared" si="1"/>
        <v>ADMITIDO</v>
      </c>
      <c r="F12" s="138" t="s">
        <v>42</v>
      </c>
      <c r="G12" s="117" t="s">
        <v>102</v>
      </c>
      <c r="H12" s="117" t="str">
        <f>X12</f>
        <v>ADMITIDO</v>
      </c>
      <c r="I12" s="117" t="str">
        <f>IF(X12="ADMITIDO","ADMITIDO",IF(X12="CANCELADA","CANCELADA",IF(H12="","",IFERROR(_xlfn.XLOOKUP(H12,Listas!I:I,Listas!J:J),"OUTROS"))))</f>
        <v>ADMITIDO</v>
      </c>
      <c r="J12" s="248" t="s">
        <v>53</v>
      </c>
      <c r="K12" s="73" t="s">
        <v>103</v>
      </c>
      <c r="L12" s="73" t="s">
        <v>104</v>
      </c>
      <c r="M12" s="73"/>
      <c r="N12" s="73" t="s">
        <v>33</v>
      </c>
      <c r="O12" s="73" t="s">
        <v>34</v>
      </c>
      <c r="P12" s="73" t="s">
        <v>57</v>
      </c>
      <c r="Q12" s="73" t="s">
        <v>105</v>
      </c>
      <c r="R12" s="74" t="s">
        <v>106</v>
      </c>
      <c r="S12" s="228" t="s">
        <v>107</v>
      </c>
      <c r="T12" s="74" t="s">
        <v>108</v>
      </c>
      <c r="U12" s="73" t="s">
        <v>109</v>
      </c>
      <c r="V12" s="220">
        <v>46153</v>
      </c>
      <c r="W12" s="203" t="s">
        <v>110</v>
      </c>
      <c r="X12" s="227" t="s">
        <v>40</v>
      </c>
      <c r="Y12" s="249">
        <v>46154</v>
      </c>
      <c r="Z12" s="249">
        <v>46155</v>
      </c>
      <c r="AA12" s="224">
        <v>145951</v>
      </c>
      <c r="AB12" s="74" t="s">
        <v>111</v>
      </c>
      <c r="AC12" s="74"/>
      <c r="AD12" s="250">
        <v>0</v>
      </c>
    </row>
    <row r="13" spans="1:30" s="251" customFormat="1" ht="18" customHeight="1">
      <c r="A13" s="97">
        <v>29385</v>
      </c>
      <c r="B13" s="105">
        <v>1</v>
      </c>
      <c r="C13" s="247">
        <v>46093</v>
      </c>
      <c r="D13" s="105">
        <f t="shared" ca="1" si="0"/>
        <v>134</v>
      </c>
      <c r="E13" s="117" t="str">
        <f t="shared" si="1"/>
        <v>CANCELADA</v>
      </c>
      <c r="F13" s="138" t="s">
        <v>42</v>
      </c>
      <c r="G13" s="117" t="s">
        <v>60</v>
      </c>
      <c r="H13" s="117" t="s">
        <v>52</v>
      </c>
      <c r="I13" s="117" t="str">
        <f>IF(X13="ADMITIDO","ADMITIDO",IF(X13="CANCELADA","CANCELADA",IF(H13="","",IFERROR(_xlfn.XLOOKUP(H13,Listas!I:I,Listas!J:J),"OUTROS"))))</f>
        <v>CANCELADA</v>
      </c>
      <c r="J13" s="248" t="s">
        <v>53</v>
      </c>
      <c r="K13" s="73" t="s">
        <v>61</v>
      </c>
      <c r="L13" s="73" t="s">
        <v>112</v>
      </c>
      <c r="M13" s="73"/>
      <c r="N13" s="73" t="s">
        <v>63</v>
      </c>
      <c r="O13" s="73" t="s">
        <v>34</v>
      </c>
      <c r="P13" s="73" t="s">
        <v>72</v>
      </c>
      <c r="Q13" s="73" t="s">
        <v>113</v>
      </c>
      <c r="R13" s="74" t="s">
        <v>114</v>
      </c>
      <c r="S13" s="228"/>
      <c r="T13" s="74"/>
      <c r="U13" s="73"/>
      <c r="V13" s="220"/>
      <c r="W13" s="203"/>
      <c r="X13" s="227" t="s">
        <v>52</v>
      </c>
      <c r="Y13" s="249"/>
      <c r="Z13" s="249"/>
      <c r="AA13" s="224"/>
      <c r="AB13" s="74" t="s">
        <v>115</v>
      </c>
      <c r="AC13" s="74"/>
      <c r="AD13" s="250">
        <v>0</v>
      </c>
    </row>
    <row r="14" spans="1:30" s="251" customFormat="1" ht="18" customHeight="1">
      <c r="A14" s="97">
        <v>29310</v>
      </c>
      <c r="B14" s="105">
        <v>1</v>
      </c>
      <c r="C14" s="247">
        <v>46093</v>
      </c>
      <c r="D14" s="105">
        <f t="shared" ca="1" si="0"/>
        <v>134</v>
      </c>
      <c r="E14" s="138" t="str">
        <f t="shared" si="1"/>
        <v>ADMITIDO</v>
      </c>
      <c r="F14" s="138" t="s">
        <v>42</v>
      </c>
      <c r="G14" s="117" t="s">
        <v>60</v>
      </c>
      <c r="H14" s="117" t="str">
        <f>X14</f>
        <v>ADMITIDO</v>
      </c>
      <c r="I14" s="117" t="str">
        <f>IF(X14="ADMITIDO","ADMITIDO",IF(X14="CANCELADA","CANCELADA",IF(H14="","",IFERROR(_xlfn.XLOOKUP(H14,Listas!I:I,Listas!J:J),"OUTROS"))))</f>
        <v>ADMITIDO</v>
      </c>
      <c r="J14" s="248" t="s">
        <v>1290</v>
      </c>
      <c r="K14" s="73" t="s">
        <v>117</v>
      </c>
      <c r="L14" s="73" t="s">
        <v>118</v>
      </c>
      <c r="M14" s="73"/>
      <c r="N14" s="73" t="s">
        <v>119</v>
      </c>
      <c r="O14" s="73" t="s">
        <v>34</v>
      </c>
      <c r="P14" s="73" t="s">
        <v>48</v>
      </c>
      <c r="Q14" s="73" t="s">
        <v>120</v>
      </c>
      <c r="R14" s="74" t="s">
        <v>121</v>
      </c>
      <c r="S14" s="228" t="s">
        <v>65</v>
      </c>
      <c r="T14" s="74" t="s">
        <v>122</v>
      </c>
      <c r="U14" s="73" t="s">
        <v>76</v>
      </c>
      <c r="V14" s="220">
        <v>46128</v>
      </c>
      <c r="W14" s="203" t="s">
        <v>123</v>
      </c>
      <c r="X14" s="227" t="s">
        <v>40</v>
      </c>
      <c r="Y14" s="249">
        <v>46132</v>
      </c>
      <c r="Z14" s="249">
        <v>46135</v>
      </c>
      <c r="AA14" s="224">
        <v>914147</v>
      </c>
      <c r="AB14" s="74" t="s">
        <v>124</v>
      </c>
      <c r="AC14" s="74"/>
      <c r="AD14" s="250">
        <v>0</v>
      </c>
    </row>
    <row r="15" spans="1:30" s="251" customFormat="1" ht="18" customHeight="1">
      <c r="A15" s="246">
        <v>29310</v>
      </c>
      <c r="B15" s="105">
        <v>1</v>
      </c>
      <c r="C15" s="247">
        <v>46093</v>
      </c>
      <c r="D15" s="105">
        <f t="shared" ca="1" si="0"/>
        <v>134</v>
      </c>
      <c r="E15" s="138" t="str">
        <f t="shared" si="1"/>
        <v>ADMITIDO</v>
      </c>
      <c r="F15" s="138" t="s">
        <v>42</v>
      </c>
      <c r="G15" s="117" t="s">
        <v>60</v>
      </c>
      <c r="H15" s="117" t="str">
        <f>X15</f>
        <v>ADMITIDO</v>
      </c>
      <c r="I15" s="117" t="str">
        <f>IF(X15="ADMITIDO","ADMITIDO",IF(X15="CANCELADA","CANCELADA",IF(H15="","",IFERROR(_xlfn.XLOOKUP(H15,Listas!I:I,Listas!J:J),"OUTROS"))))</f>
        <v>ADMITIDO</v>
      </c>
      <c r="J15" s="248" t="s">
        <v>116</v>
      </c>
      <c r="K15" s="73" t="s">
        <v>117</v>
      </c>
      <c r="L15" s="73" t="s">
        <v>118</v>
      </c>
      <c r="M15" s="73"/>
      <c r="N15" s="73" t="s">
        <v>119</v>
      </c>
      <c r="O15" s="73" t="s">
        <v>34</v>
      </c>
      <c r="P15" s="73" t="s">
        <v>48</v>
      </c>
      <c r="Q15" s="73" t="s">
        <v>120</v>
      </c>
      <c r="R15" s="74"/>
      <c r="S15" s="228" t="s">
        <v>65</v>
      </c>
      <c r="T15" s="74" t="s">
        <v>125</v>
      </c>
      <c r="U15" s="73" t="s">
        <v>76</v>
      </c>
      <c r="V15" s="220">
        <v>46135</v>
      </c>
      <c r="W15" s="203" t="s">
        <v>126</v>
      </c>
      <c r="X15" s="227" t="s">
        <v>40</v>
      </c>
      <c r="Y15" s="120">
        <v>46140</v>
      </c>
      <c r="Z15" s="120">
        <v>46141</v>
      </c>
      <c r="AA15" s="224">
        <v>914178</v>
      </c>
      <c r="AB15" s="74" t="s">
        <v>127</v>
      </c>
      <c r="AC15" s="74"/>
      <c r="AD15" s="250">
        <v>0</v>
      </c>
    </row>
    <row r="16" spans="1:30" s="251" customFormat="1" ht="18" customHeight="1">
      <c r="A16" s="97">
        <v>29420</v>
      </c>
      <c r="B16" s="105">
        <v>1</v>
      </c>
      <c r="C16" s="247">
        <v>46097</v>
      </c>
      <c r="D16" s="105">
        <f t="shared" ca="1" si="0"/>
        <v>130</v>
      </c>
      <c r="E16" s="138" t="str">
        <f t="shared" si="1"/>
        <v>CANCELADA</v>
      </c>
      <c r="F16" s="138" t="s">
        <v>42</v>
      </c>
      <c r="G16" s="117" t="s">
        <v>69</v>
      </c>
      <c r="H16" s="117" t="s">
        <v>52</v>
      </c>
      <c r="I16" s="117" t="str">
        <f>IF(X16="ADMITIDO","ADMITIDO",IF(X16="CANCELADA","CANCELADA",IF(H16="","",IFERROR(_xlfn.XLOOKUP(H16,Listas!I:I,Listas!J:J),"OUTROS"))))</f>
        <v>CANCELADA</v>
      </c>
      <c r="J16" s="248" t="s">
        <v>44</v>
      </c>
      <c r="K16" s="73" t="s">
        <v>70</v>
      </c>
      <c r="L16" s="73" t="s">
        <v>128</v>
      </c>
      <c r="M16" s="73"/>
      <c r="N16" s="73" t="s">
        <v>63</v>
      </c>
      <c r="O16" s="73" t="s">
        <v>34</v>
      </c>
      <c r="P16" s="73" t="s">
        <v>57</v>
      </c>
      <c r="Q16" s="73" t="s">
        <v>98</v>
      </c>
      <c r="R16" s="74" t="s">
        <v>129</v>
      </c>
      <c r="S16" s="228"/>
      <c r="T16" s="74"/>
      <c r="U16" s="73"/>
      <c r="V16" s="220"/>
      <c r="W16" s="203"/>
      <c r="X16" s="227" t="s">
        <v>52</v>
      </c>
      <c r="Y16" s="249"/>
      <c r="Z16" s="249"/>
      <c r="AA16" s="224"/>
      <c r="AB16" s="74"/>
      <c r="AC16" s="74"/>
      <c r="AD16" s="250">
        <v>0</v>
      </c>
    </row>
    <row r="17" spans="1:30" s="251" customFormat="1" ht="18" customHeight="1">
      <c r="A17" s="246">
        <v>29417</v>
      </c>
      <c r="B17" s="105">
        <v>1</v>
      </c>
      <c r="C17" s="247">
        <v>46097</v>
      </c>
      <c r="D17" s="105">
        <f t="shared" ca="1" si="0"/>
        <v>130</v>
      </c>
      <c r="E17" s="138" t="str">
        <f t="shared" si="1"/>
        <v>ADMITIDO</v>
      </c>
      <c r="F17" s="138" t="s">
        <v>42</v>
      </c>
      <c r="G17" s="117" t="s">
        <v>69</v>
      </c>
      <c r="H17" s="117" t="s">
        <v>40</v>
      </c>
      <c r="I17" s="117" t="str">
        <f>IF(X17="ADMITIDO","ADMITIDO",IF(X17="CANCELADA","CANCELADA",IF(H17="","",IFERROR(_xlfn.XLOOKUP(H17,Listas!I:I,Listas!J:J),"OUTROS"))))</f>
        <v>ADMITIDO</v>
      </c>
      <c r="J17" s="248" t="s">
        <v>53</v>
      </c>
      <c r="K17" s="73" t="s">
        <v>70</v>
      </c>
      <c r="L17" s="73" t="s">
        <v>130</v>
      </c>
      <c r="M17" s="73"/>
      <c r="N17" s="73" t="s">
        <v>63</v>
      </c>
      <c r="O17" s="73" t="s">
        <v>34</v>
      </c>
      <c r="P17" s="73" t="s">
        <v>48</v>
      </c>
      <c r="Q17" s="73" t="s">
        <v>131</v>
      </c>
      <c r="R17" s="74"/>
      <c r="S17" s="228" t="s">
        <v>65</v>
      </c>
      <c r="T17" s="74"/>
      <c r="U17" s="73" t="s">
        <v>132</v>
      </c>
      <c r="V17" s="220">
        <v>46150</v>
      </c>
      <c r="W17" s="203" t="s">
        <v>133</v>
      </c>
      <c r="X17" s="119" t="s">
        <v>40</v>
      </c>
      <c r="Y17" s="249">
        <v>46156</v>
      </c>
      <c r="Z17" s="249">
        <v>46160</v>
      </c>
      <c r="AA17" s="224">
        <v>914285</v>
      </c>
      <c r="AB17" s="74" t="s">
        <v>134</v>
      </c>
      <c r="AC17" s="74"/>
      <c r="AD17" s="250">
        <v>0</v>
      </c>
    </row>
    <row r="18" spans="1:30" s="251" customFormat="1" ht="18" customHeight="1">
      <c r="A18" s="246">
        <v>29444</v>
      </c>
      <c r="B18" s="105">
        <v>1</v>
      </c>
      <c r="C18" s="247">
        <v>46098</v>
      </c>
      <c r="D18" s="105">
        <f t="shared" ca="1" si="0"/>
        <v>129</v>
      </c>
      <c r="E18" s="138" t="str">
        <f t="shared" si="1"/>
        <v>ADMITIDO</v>
      </c>
      <c r="F18" s="138" t="s">
        <v>42</v>
      </c>
      <c r="G18" s="117" t="s">
        <v>102</v>
      </c>
      <c r="H18" s="117" t="str">
        <f>X18</f>
        <v>ADMITIDO</v>
      </c>
      <c r="I18" s="117" t="str">
        <f>IF(X18="ADMITIDO","ADMITIDO",IF(X18="CANCELADA","CANCELADA",IF(H18="","",IFERROR(_xlfn.XLOOKUP(H18,Listas!I:I,Listas!J:J),"OUTROS"))))</f>
        <v>ADMITIDO</v>
      </c>
      <c r="J18" s="248" t="s">
        <v>44</v>
      </c>
      <c r="K18" s="73" t="s">
        <v>103</v>
      </c>
      <c r="L18" s="73" t="s">
        <v>104</v>
      </c>
      <c r="M18" s="73"/>
      <c r="N18" s="73" t="s">
        <v>33</v>
      </c>
      <c r="O18" s="73" t="s">
        <v>34</v>
      </c>
      <c r="P18" s="73" t="s">
        <v>57</v>
      </c>
      <c r="Q18" s="73" t="s">
        <v>98</v>
      </c>
      <c r="R18" s="74" t="s">
        <v>135</v>
      </c>
      <c r="S18" s="228" t="s">
        <v>107</v>
      </c>
      <c r="T18" s="74" t="s">
        <v>136</v>
      </c>
      <c r="U18" s="73" t="s">
        <v>132</v>
      </c>
      <c r="V18" s="220">
        <v>46150</v>
      </c>
      <c r="W18" s="203" t="s">
        <v>137</v>
      </c>
      <c r="X18" s="117" t="s">
        <v>40</v>
      </c>
      <c r="Y18" s="249">
        <v>46154</v>
      </c>
      <c r="Z18" s="249">
        <v>46155</v>
      </c>
      <c r="AA18" s="224">
        <v>145949</v>
      </c>
      <c r="AB18" s="74" t="s">
        <v>138</v>
      </c>
      <c r="AC18" s="74"/>
      <c r="AD18" s="250">
        <v>0</v>
      </c>
    </row>
    <row r="19" spans="1:30" s="251" customFormat="1" ht="18" customHeight="1">
      <c r="A19" s="246">
        <v>29429</v>
      </c>
      <c r="B19" s="105">
        <v>1</v>
      </c>
      <c r="C19" s="247">
        <v>46098</v>
      </c>
      <c r="D19" s="105">
        <f t="shared" ca="1" si="0"/>
        <v>129</v>
      </c>
      <c r="E19" s="138" t="str">
        <f t="shared" si="1"/>
        <v>ADMITIDO</v>
      </c>
      <c r="F19" s="138" t="s">
        <v>42</v>
      </c>
      <c r="G19" s="117" t="s">
        <v>102</v>
      </c>
      <c r="H19" s="117" t="s">
        <v>40</v>
      </c>
      <c r="I19" s="117" t="str">
        <f>IF(X19="ADMITIDO","ADMITIDO",IF(X19="CANCELADA","CANCELADA",IF(H19="","",IFERROR(_xlfn.XLOOKUP(H19,Listas!I:I,Listas!J:J),"OUTROS"))))</f>
        <v>ADMITIDO</v>
      </c>
      <c r="J19" s="248" t="s">
        <v>53</v>
      </c>
      <c r="K19" s="73" t="s">
        <v>61</v>
      </c>
      <c r="L19" s="73" t="s">
        <v>139</v>
      </c>
      <c r="M19" s="73"/>
      <c r="N19" s="73" t="s">
        <v>33</v>
      </c>
      <c r="O19" s="73" t="s">
        <v>34</v>
      </c>
      <c r="P19" s="73" t="s">
        <v>57</v>
      </c>
      <c r="Q19" s="73" t="s">
        <v>73</v>
      </c>
      <c r="R19" s="74" t="s">
        <v>140</v>
      </c>
      <c r="S19" s="228" t="s">
        <v>141</v>
      </c>
      <c r="T19" s="74" t="s">
        <v>142</v>
      </c>
      <c r="U19" s="73" t="s">
        <v>67</v>
      </c>
      <c r="V19" s="220"/>
      <c r="W19" s="203" t="s">
        <v>143</v>
      </c>
      <c r="X19" s="117" t="s">
        <v>40</v>
      </c>
      <c r="Y19" s="249">
        <v>46148</v>
      </c>
      <c r="Z19" s="249">
        <v>46149</v>
      </c>
      <c r="AA19" s="224">
        <v>145923</v>
      </c>
      <c r="AB19" s="74"/>
      <c r="AC19" s="74"/>
      <c r="AD19" s="250">
        <v>0</v>
      </c>
    </row>
    <row r="20" spans="1:30" s="251" customFormat="1" ht="18" customHeight="1">
      <c r="A20" s="97">
        <v>29429</v>
      </c>
      <c r="B20" s="105">
        <v>1</v>
      </c>
      <c r="C20" s="247">
        <v>46098</v>
      </c>
      <c r="D20" s="105">
        <f t="shared" ca="1" si="0"/>
        <v>129</v>
      </c>
      <c r="E20" s="138" t="str">
        <f t="shared" si="1"/>
        <v>ADMITIDO</v>
      </c>
      <c r="F20" s="138" t="s">
        <v>42</v>
      </c>
      <c r="G20" s="117" t="s">
        <v>60</v>
      </c>
      <c r="H20" s="117" t="s">
        <v>40</v>
      </c>
      <c r="I20" s="117" t="str">
        <f>IF(X20="ADMITIDO","ADMITIDO",IF(X20="CANCELADA","CANCELADA",IF(H20="","",IFERROR(_xlfn.XLOOKUP(H20,Listas!I:I,Listas!J:J),"OUTROS"))))</f>
        <v>ADMITIDO</v>
      </c>
      <c r="J20" s="248" t="s">
        <v>53</v>
      </c>
      <c r="K20" s="73" t="s">
        <v>61</v>
      </c>
      <c r="L20" s="73" t="s">
        <v>139</v>
      </c>
      <c r="M20" s="73"/>
      <c r="N20" s="73" t="s">
        <v>33</v>
      </c>
      <c r="O20" s="73" t="s">
        <v>34</v>
      </c>
      <c r="P20" s="73" t="s">
        <v>57</v>
      </c>
      <c r="Q20" s="73" t="s">
        <v>73</v>
      </c>
      <c r="R20" s="74" t="s">
        <v>140</v>
      </c>
      <c r="S20" s="228" t="s">
        <v>141</v>
      </c>
      <c r="T20" s="74" t="s">
        <v>142</v>
      </c>
      <c r="U20" s="73" t="s">
        <v>132</v>
      </c>
      <c r="V20" s="220">
        <v>46153</v>
      </c>
      <c r="W20" s="203" t="s">
        <v>144</v>
      </c>
      <c r="X20" s="227" t="s">
        <v>40</v>
      </c>
      <c r="Y20" s="249">
        <v>46157</v>
      </c>
      <c r="Z20" s="249">
        <v>46160</v>
      </c>
      <c r="AA20" s="224">
        <v>145975</v>
      </c>
      <c r="AB20" s="74"/>
      <c r="AC20" s="74"/>
      <c r="AD20" s="250">
        <v>0</v>
      </c>
    </row>
    <row r="21" spans="1:30" s="251" customFormat="1" ht="18" customHeight="1">
      <c r="A21" s="97">
        <v>29897</v>
      </c>
      <c r="B21" s="105">
        <v>1</v>
      </c>
      <c r="C21" s="247">
        <v>46126</v>
      </c>
      <c r="D21" s="105">
        <f t="shared" ca="1" si="0"/>
        <v>101</v>
      </c>
      <c r="E21" s="138" t="str">
        <f t="shared" si="1"/>
        <v>ADMITIDO</v>
      </c>
      <c r="F21" s="138" t="s">
        <v>28</v>
      </c>
      <c r="G21" s="117" t="s">
        <v>145</v>
      </c>
      <c r="H21" s="117" t="str">
        <f>X21</f>
        <v>ADMITIDO</v>
      </c>
      <c r="I21" s="117" t="str">
        <f>IF(X21="ADMITIDO","ADMITIDO",IF(X21="CANCELADA","CANCELADA",IF(H21="","",IFERROR(_xlfn.XLOOKUP(H21,Listas!I:I,Listas!J:J),"OUTROS"))))</f>
        <v>ADMITIDO</v>
      </c>
      <c r="J21" s="248" t="s">
        <v>146</v>
      </c>
      <c r="K21" s="73" t="s">
        <v>31</v>
      </c>
      <c r="L21" s="73" t="s">
        <v>147</v>
      </c>
      <c r="M21" s="73"/>
      <c r="N21" s="73" t="s">
        <v>148</v>
      </c>
      <c r="O21" s="73" t="s">
        <v>34</v>
      </c>
      <c r="P21" s="73" t="s">
        <v>35</v>
      </c>
      <c r="Q21" s="73" t="s">
        <v>36</v>
      </c>
      <c r="R21" s="74"/>
      <c r="S21" s="228"/>
      <c r="T21" s="74"/>
      <c r="U21" s="73" t="s">
        <v>38</v>
      </c>
      <c r="V21" s="220">
        <v>46139</v>
      </c>
      <c r="W21" s="203" t="s">
        <v>149</v>
      </c>
      <c r="X21" s="227" t="s">
        <v>40</v>
      </c>
      <c r="Y21" s="249">
        <v>46141</v>
      </c>
      <c r="Z21" s="249">
        <v>46142</v>
      </c>
      <c r="AA21" s="224">
        <v>914200</v>
      </c>
      <c r="AB21" s="74"/>
      <c r="AC21" s="74"/>
      <c r="AD21" s="250">
        <v>0</v>
      </c>
    </row>
    <row r="22" spans="1:30" s="251" customFormat="1" ht="18" customHeight="1">
      <c r="A22" s="97">
        <v>29467</v>
      </c>
      <c r="B22" s="105">
        <v>1</v>
      </c>
      <c r="C22" s="247">
        <v>46099</v>
      </c>
      <c r="D22" s="105">
        <f t="shared" ca="1" si="0"/>
        <v>128</v>
      </c>
      <c r="E22" s="138" t="str">
        <f t="shared" si="1"/>
        <v>ADMITIDO</v>
      </c>
      <c r="F22" s="138" t="s">
        <v>42</v>
      </c>
      <c r="G22" s="117" t="s">
        <v>60</v>
      </c>
      <c r="H22" s="117" t="str">
        <f>X22</f>
        <v>ADMITIDO</v>
      </c>
      <c r="I22" s="117" t="str">
        <f>IF(X22="ADMITIDO","ADMITIDO",IF(X22="CANCELADA","CANCELADA",IF(H22="","",IFERROR(_xlfn.XLOOKUP(H22,Listas!I:I,Listas!J:J),"OUTROS"))))</f>
        <v>ADMITIDO</v>
      </c>
      <c r="J22" s="248" t="s">
        <v>53</v>
      </c>
      <c r="K22" s="73" t="s">
        <v>61</v>
      </c>
      <c r="L22" s="73" t="s">
        <v>150</v>
      </c>
      <c r="M22" s="73"/>
      <c r="N22" s="73" t="s">
        <v>63</v>
      </c>
      <c r="O22" s="73" t="s">
        <v>34</v>
      </c>
      <c r="P22" s="73" t="s">
        <v>57</v>
      </c>
      <c r="Q22" s="73" t="s">
        <v>151</v>
      </c>
      <c r="R22" s="74" t="s">
        <v>152</v>
      </c>
      <c r="S22" s="228" t="s">
        <v>65</v>
      </c>
      <c r="T22" s="74" t="s">
        <v>153</v>
      </c>
      <c r="U22" s="73" t="s">
        <v>76</v>
      </c>
      <c r="V22" s="220">
        <v>46125</v>
      </c>
      <c r="W22" s="203" t="s">
        <v>154</v>
      </c>
      <c r="X22" s="227" t="s">
        <v>40</v>
      </c>
      <c r="Y22" s="249">
        <v>46132</v>
      </c>
      <c r="Z22" s="249">
        <v>46134</v>
      </c>
      <c r="AA22" s="224">
        <v>145849</v>
      </c>
      <c r="AB22" s="74" t="s">
        <v>155</v>
      </c>
      <c r="AC22" s="74"/>
      <c r="AD22" s="250">
        <v>0</v>
      </c>
    </row>
    <row r="23" spans="1:30" s="251" customFormat="1" ht="18" customHeight="1">
      <c r="A23" s="97">
        <v>29800</v>
      </c>
      <c r="B23" s="105">
        <v>1</v>
      </c>
      <c r="C23" s="247">
        <v>46122</v>
      </c>
      <c r="D23" s="105">
        <f t="shared" ca="1" si="0"/>
        <v>105</v>
      </c>
      <c r="E23" s="138" t="str">
        <f t="shared" si="1"/>
        <v>ADMITIDO</v>
      </c>
      <c r="F23" s="138" t="s">
        <v>42</v>
      </c>
      <c r="G23" s="117" t="s">
        <v>43</v>
      </c>
      <c r="H23" s="117" t="str">
        <f>X23</f>
        <v>ADMITIDO</v>
      </c>
      <c r="I23" s="117" t="str">
        <f>IF(X23="ADMITIDO","ADMITIDO",IF(X23="CANCELADA","CANCELADA",IF(H23="","",IFERROR(_xlfn.XLOOKUP(H23,Listas!I:I,Listas!J:J),"OUTROS"))))</f>
        <v>ADMITIDO</v>
      </c>
      <c r="J23" s="248" t="s">
        <v>53</v>
      </c>
      <c r="K23" s="73" t="s">
        <v>45</v>
      </c>
      <c r="L23" s="73" t="s">
        <v>156</v>
      </c>
      <c r="M23" s="73"/>
      <c r="N23" s="73" t="s">
        <v>97</v>
      </c>
      <c r="O23" s="73" t="s">
        <v>34</v>
      </c>
      <c r="P23" s="73" t="s">
        <v>57</v>
      </c>
      <c r="Q23" s="73" t="s">
        <v>94</v>
      </c>
      <c r="R23" s="74"/>
      <c r="S23" s="228"/>
      <c r="T23" s="252"/>
      <c r="U23" s="73" t="s">
        <v>50</v>
      </c>
      <c r="V23" s="220">
        <v>46129</v>
      </c>
      <c r="W23" s="203" t="s">
        <v>157</v>
      </c>
      <c r="X23" s="227" t="s">
        <v>40</v>
      </c>
      <c r="Y23" s="249">
        <v>46135</v>
      </c>
      <c r="Z23" s="249">
        <v>46136</v>
      </c>
      <c r="AA23" s="224">
        <v>914148</v>
      </c>
      <c r="AB23" s="74"/>
      <c r="AC23" s="74"/>
      <c r="AD23" s="250">
        <v>0</v>
      </c>
    </row>
    <row r="24" spans="1:30" s="251" customFormat="1" ht="18" customHeight="1">
      <c r="A24" s="97">
        <v>29472</v>
      </c>
      <c r="B24" s="105">
        <v>1</v>
      </c>
      <c r="C24" s="247">
        <v>46100</v>
      </c>
      <c r="D24" s="105">
        <f t="shared" ca="1" si="0"/>
        <v>127</v>
      </c>
      <c r="E24" s="138" t="str">
        <f t="shared" si="1"/>
        <v>CANCELADA</v>
      </c>
      <c r="F24" s="138" t="s">
        <v>42</v>
      </c>
      <c r="G24" s="117" t="s">
        <v>69</v>
      </c>
      <c r="H24" s="117" t="s">
        <v>52</v>
      </c>
      <c r="I24" s="117" t="str">
        <f>IF(X24="ADMITIDO","ADMITIDO",IF(X24="CANCELADA","CANCELADA",IF(H24="","",IFERROR(_xlfn.XLOOKUP(H24,Listas!I:I,Listas!J:J),"OUTROS"))))</f>
        <v>CANCELADA</v>
      </c>
      <c r="J24" s="248" t="s">
        <v>53</v>
      </c>
      <c r="K24" s="73" t="s">
        <v>158</v>
      </c>
      <c r="L24" s="73" t="s">
        <v>159</v>
      </c>
      <c r="M24" s="73"/>
      <c r="N24" s="73" t="s">
        <v>63</v>
      </c>
      <c r="O24" s="73" t="s">
        <v>34</v>
      </c>
      <c r="P24" s="73" t="s">
        <v>57</v>
      </c>
      <c r="Q24" s="73" t="s">
        <v>64</v>
      </c>
      <c r="R24" s="74" t="s">
        <v>160</v>
      </c>
      <c r="S24" s="228"/>
      <c r="T24" s="74"/>
      <c r="U24" s="73"/>
      <c r="V24" s="220"/>
      <c r="W24" s="203"/>
      <c r="X24" s="227" t="s">
        <v>52</v>
      </c>
      <c r="Y24" s="249"/>
      <c r="Z24" s="249"/>
      <c r="AA24" s="224"/>
      <c r="AB24" s="74"/>
      <c r="AC24" s="74"/>
      <c r="AD24" s="250">
        <v>0</v>
      </c>
    </row>
    <row r="25" spans="1:30" s="251" customFormat="1" ht="18" customHeight="1">
      <c r="A25" s="97">
        <v>29490</v>
      </c>
      <c r="B25" s="105">
        <v>1</v>
      </c>
      <c r="C25" s="247">
        <v>46101</v>
      </c>
      <c r="D25" s="105">
        <f ca="1">TODAY()-C25</f>
        <v>126</v>
      </c>
      <c r="E25" s="138" t="str">
        <f t="shared" si="1"/>
        <v>ADMITIDO</v>
      </c>
      <c r="F25" s="138" t="s">
        <v>42</v>
      </c>
      <c r="G25" s="117" t="s">
        <v>60</v>
      </c>
      <c r="H25" s="117" t="s">
        <v>40</v>
      </c>
      <c r="I25" s="117" t="str">
        <f>IF(X25="ADMITIDO","ADMITIDO",IF(X25="CANCELADA","CANCELADA",IF(H25="","",IFERROR(_xlfn.XLOOKUP(H25,Listas!I:I,Listas!J:J),"OUTROS"))))</f>
        <v>ADMITIDO</v>
      </c>
      <c r="J25" s="253" t="s">
        <v>44</v>
      </c>
      <c r="K25" s="253" t="s">
        <v>61</v>
      </c>
      <c r="L25" s="253" t="s">
        <v>161</v>
      </c>
      <c r="M25" s="253"/>
      <c r="N25" s="73" t="s">
        <v>63</v>
      </c>
      <c r="O25" s="73" t="s">
        <v>34</v>
      </c>
      <c r="P25" s="73" t="s">
        <v>57</v>
      </c>
      <c r="Q25" s="73" t="s">
        <v>98</v>
      </c>
      <c r="R25" s="74"/>
      <c r="S25" s="228"/>
      <c r="T25" s="74"/>
      <c r="U25" s="73" t="s">
        <v>76</v>
      </c>
      <c r="V25" s="220">
        <v>46148</v>
      </c>
      <c r="W25" s="203" t="s">
        <v>162</v>
      </c>
      <c r="X25" s="227" t="s">
        <v>40</v>
      </c>
      <c r="Y25" s="249">
        <v>46150</v>
      </c>
      <c r="Z25" s="249">
        <v>46153</v>
      </c>
      <c r="AA25" s="224">
        <v>145936</v>
      </c>
      <c r="AB25" s="74"/>
      <c r="AC25" s="74"/>
      <c r="AD25" s="250">
        <v>0</v>
      </c>
    </row>
    <row r="26" spans="1:30" s="251" customFormat="1" ht="18" customHeight="1">
      <c r="A26" s="97">
        <v>29485</v>
      </c>
      <c r="B26" s="105">
        <v>1</v>
      </c>
      <c r="C26" s="247">
        <v>46101</v>
      </c>
      <c r="D26" s="105">
        <f t="shared" ca="1" si="0"/>
        <v>126</v>
      </c>
      <c r="E26" s="138" t="str">
        <f t="shared" si="1"/>
        <v>CANCELADA</v>
      </c>
      <c r="F26" s="138" t="s">
        <v>42</v>
      </c>
      <c r="G26" s="117" t="s">
        <v>29</v>
      </c>
      <c r="H26" s="117" t="s">
        <v>52</v>
      </c>
      <c r="I26" s="117" t="str">
        <f>IF(X26="ADMITIDO","ADMITIDO",IF(X26="CANCELADA","CANCELADA",IF(H26="","",IFERROR(_xlfn.XLOOKUP(H26,Listas!I:I,Listas!J:J),"OUTROS"))))</f>
        <v>CANCELADA</v>
      </c>
      <c r="J26" s="248" t="s">
        <v>163</v>
      </c>
      <c r="K26" s="73" t="s">
        <v>54</v>
      </c>
      <c r="L26" s="73" t="s">
        <v>164</v>
      </c>
      <c r="M26" s="73"/>
      <c r="N26" s="73" t="s">
        <v>88</v>
      </c>
      <c r="O26" s="73" t="s">
        <v>56</v>
      </c>
      <c r="P26" s="73" t="s">
        <v>57</v>
      </c>
      <c r="Q26" s="73" t="s">
        <v>165</v>
      </c>
      <c r="R26" s="74" t="s">
        <v>166</v>
      </c>
      <c r="S26" s="228"/>
      <c r="T26" s="74"/>
      <c r="U26" s="73"/>
      <c r="V26" s="220"/>
      <c r="W26" s="203"/>
      <c r="X26" s="227" t="s">
        <v>52</v>
      </c>
      <c r="Y26" s="249"/>
      <c r="Z26" s="249"/>
      <c r="AA26" s="224"/>
      <c r="AB26" s="74"/>
      <c r="AC26" s="74"/>
      <c r="AD26" s="250">
        <v>0</v>
      </c>
    </row>
    <row r="27" spans="1:30" s="251" customFormat="1" ht="18" customHeight="1">
      <c r="A27" s="97">
        <v>29480</v>
      </c>
      <c r="B27" s="105">
        <v>1</v>
      </c>
      <c r="C27" s="247">
        <v>46101</v>
      </c>
      <c r="D27" s="105">
        <f t="shared" ca="1" si="0"/>
        <v>126</v>
      </c>
      <c r="E27" s="138" t="str">
        <f t="shared" si="1"/>
        <v>CANCELADA</v>
      </c>
      <c r="F27" s="138" t="s">
        <v>119</v>
      </c>
      <c r="G27" s="117" t="s">
        <v>167</v>
      </c>
      <c r="H27" s="117" t="s">
        <v>52</v>
      </c>
      <c r="I27" s="117" t="str">
        <f>IF(X27="ADMITIDO","ADMITIDO",IF(X27="CANCELADA","CANCELADA",IF(H27="","",IFERROR(_xlfn.XLOOKUP(H27,Listas!I:I,Listas!J:J),"OUTROS"))))</f>
        <v>CANCELADA</v>
      </c>
      <c r="J27" s="248" t="s">
        <v>168</v>
      </c>
      <c r="K27" s="73" t="s">
        <v>169</v>
      </c>
      <c r="L27" s="73" t="s">
        <v>170</v>
      </c>
      <c r="M27" s="73"/>
      <c r="N27" s="73" t="s">
        <v>119</v>
      </c>
      <c r="O27" s="73" t="s">
        <v>34</v>
      </c>
      <c r="P27" s="73" t="s">
        <v>35</v>
      </c>
      <c r="Q27" s="73" t="s">
        <v>36</v>
      </c>
      <c r="R27" s="74"/>
      <c r="S27" s="228"/>
      <c r="T27" s="74"/>
      <c r="U27" s="73"/>
      <c r="V27" s="220"/>
      <c r="W27" s="203"/>
      <c r="X27" s="227" t="s">
        <v>52</v>
      </c>
      <c r="Y27" s="249"/>
      <c r="Z27" s="249"/>
      <c r="AA27" s="224"/>
      <c r="AB27" s="74"/>
      <c r="AC27" s="74"/>
      <c r="AD27" s="250">
        <v>0</v>
      </c>
    </row>
    <row r="28" spans="1:30" s="251" customFormat="1" ht="18" customHeight="1">
      <c r="A28" s="97">
        <v>29502</v>
      </c>
      <c r="B28" s="105">
        <v>1</v>
      </c>
      <c r="C28" s="247">
        <v>46104</v>
      </c>
      <c r="D28" s="105">
        <f t="shared" ca="1" si="0"/>
        <v>123</v>
      </c>
      <c r="E28" s="138" t="str">
        <f t="shared" si="1"/>
        <v>ADMITIDO</v>
      </c>
      <c r="F28" s="138" t="s">
        <v>171</v>
      </c>
      <c r="G28" s="117" t="s">
        <v>69</v>
      </c>
      <c r="H28" s="117" t="str">
        <f>X28</f>
        <v>ADMITIDO</v>
      </c>
      <c r="I28" s="117" t="str">
        <f>IF(X28="ADMITIDO","ADMITIDO",IF(X28="CANCELADA","CANCELADA",IF(H28="","",IFERROR(_xlfn.XLOOKUP(H28,Listas!I:I,Listas!J:J),"OUTROS"))))</f>
        <v>ADMITIDO</v>
      </c>
      <c r="J28" s="248" t="s">
        <v>172</v>
      </c>
      <c r="K28" s="73" t="s">
        <v>173</v>
      </c>
      <c r="L28" s="73" t="s">
        <v>174</v>
      </c>
      <c r="M28" s="73"/>
      <c r="N28" s="73" t="s">
        <v>175</v>
      </c>
      <c r="O28" s="73" t="s">
        <v>56</v>
      </c>
      <c r="P28" s="73" t="s">
        <v>35</v>
      </c>
      <c r="Q28" s="73" t="s">
        <v>176</v>
      </c>
      <c r="R28" s="74"/>
      <c r="S28" s="228" t="s">
        <v>177</v>
      </c>
      <c r="T28" s="74" t="s">
        <v>178</v>
      </c>
      <c r="U28" s="73" t="s">
        <v>132</v>
      </c>
      <c r="V28" s="220">
        <v>46126</v>
      </c>
      <c r="W28" s="203" t="s">
        <v>180</v>
      </c>
      <c r="X28" s="227" t="s">
        <v>40</v>
      </c>
      <c r="Y28" s="249">
        <v>46132</v>
      </c>
      <c r="Z28" s="249">
        <v>46133</v>
      </c>
      <c r="AA28" s="224">
        <v>83266</v>
      </c>
      <c r="AB28" s="74"/>
      <c r="AC28" s="74"/>
      <c r="AD28" s="250">
        <v>0</v>
      </c>
    </row>
    <row r="29" spans="1:30" s="251" customFormat="1" ht="18" customHeight="1">
      <c r="A29" s="97">
        <v>29520</v>
      </c>
      <c r="B29" s="105">
        <v>1</v>
      </c>
      <c r="C29" s="247">
        <v>46104</v>
      </c>
      <c r="D29" s="105">
        <f t="shared" ca="1" si="0"/>
        <v>123</v>
      </c>
      <c r="E29" s="138" t="str">
        <f t="shared" si="1"/>
        <v>ADMITIDO</v>
      </c>
      <c r="F29" s="138" t="s">
        <v>42</v>
      </c>
      <c r="G29" s="117" t="s">
        <v>29</v>
      </c>
      <c r="H29" s="117" t="s">
        <v>40</v>
      </c>
      <c r="I29" s="117" t="str">
        <f>IF(X29="ADMITIDO","ADMITIDO",IF(X29="CANCELADA","CANCELADA",IF(H29="","",IFERROR(_xlfn.XLOOKUP(H29,Listas!I:I,Listas!J:J),"OUTROS"))))</f>
        <v>ADMITIDO</v>
      </c>
      <c r="J29" s="248" t="s">
        <v>182</v>
      </c>
      <c r="K29" s="73" t="s">
        <v>54</v>
      </c>
      <c r="L29" s="73" t="s">
        <v>183</v>
      </c>
      <c r="M29" s="73"/>
      <c r="N29" s="73" t="s">
        <v>184</v>
      </c>
      <c r="O29" s="73" t="s">
        <v>34</v>
      </c>
      <c r="P29" s="73" t="s">
        <v>185</v>
      </c>
      <c r="Q29" s="73" t="s">
        <v>36</v>
      </c>
      <c r="R29" s="74" t="s">
        <v>186</v>
      </c>
      <c r="S29" s="228"/>
      <c r="T29" s="74"/>
      <c r="U29" s="73" t="s">
        <v>38</v>
      </c>
      <c r="V29" s="220">
        <v>46154</v>
      </c>
      <c r="W29" s="203" t="s">
        <v>187</v>
      </c>
      <c r="X29" s="227" t="s">
        <v>40</v>
      </c>
      <c r="Y29" s="249">
        <v>46160</v>
      </c>
      <c r="Z29" s="249">
        <v>46161</v>
      </c>
      <c r="AA29" s="224">
        <v>914295</v>
      </c>
      <c r="AB29" s="74"/>
      <c r="AC29" s="74"/>
      <c r="AD29" s="250">
        <v>0</v>
      </c>
    </row>
    <row r="30" spans="1:30" s="251" customFormat="1" ht="18" customHeight="1">
      <c r="A30" s="246">
        <v>29699</v>
      </c>
      <c r="B30" s="105">
        <v>1</v>
      </c>
      <c r="C30" s="247">
        <v>46114</v>
      </c>
      <c r="D30" s="105">
        <f t="shared" ca="1" si="0"/>
        <v>113</v>
      </c>
      <c r="E30" s="138" t="str">
        <f t="shared" si="1"/>
        <v>ADMITIDO</v>
      </c>
      <c r="F30" s="138" t="s">
        <v>42</v>
      </c>
      <c r="G30" s="117" t="s">
        <v>43</v>
      </c>
      <c r="H30" s="117" t="str">
        <f>X30</f>
        <v>ADMITIDO</v>
      </c>
      <c r="I30" s="117" t="str">
        <f>IF(X30="ADMITIDO","ADMITIDO",IF(X30="CANCELADA","CANCELADA",IF(H30="","",IFERROR(_xlfn.XLOOKUP(H30,Listas!I:I,Listas!J:J),"OUTROS"))))</f>
        <v>ADMITIDO</v>
      </c>
      <c r="J30" s="248" t="s">
        <v>44</v>
      </c>
      <c r="K30" s="73" t="s">
        <v>189</v>
      </c>
      <c r="L30" s="73" t="s">
        <v>190</v>
      </c>
      <c r="M30" s="73"/>
      <c r="N30" s="73" t="s">
        <v>191</v>
      </c>
      <c r="O30" s="73" t="s">
        <v>34</v>
      </c>
      <c r="P30" s="73" t="s">
        <v>48</v>
      </c>
      <c r="Q30" s="73" t="s">
        <v>49</v>
      </c>
      <c r="R30" s="74"/>
      <c r="S30" s="228"/>
      <c r="T30" s="254"/>
      <c r="U30" s="73" t="s">
        <v>50</v>
      </c>
      <c r="V30" s="220">
        <v>46135</v>
      </c>
      <c r="W30" s="203" t="s">
        <v>192</v>
      </c>
      <c r="X30" s="227" t="s">
        <v>40</v>
      </c>
      <c r="Y30" s="120">
        <v>46139</v>
      </c>
      <c r="Z30" s="120">
        <v>46140</v>
      </c>
      <c r="AA30" s="224">
        <v>145885</v>
      </c>
      <c r="AB30" s="74"/>
      <c r="AC30" s="74"/>
      <c r="AD30" s="250">
        <v>0</v>
      </c>
    </row>
    <row r="31" spans="1:30" s="251" customFormat="1" ht="18" customHeight="1">
      <c r="A31" s="97">
        <v>29519</v>
      </c>
      <c r="B31" s="105">
        <v>1</v>
      </c>
      <c r="C31" s="247">
        <v>46104</v>
      </c>
      <c r="D31" s="105">
        <f t="shared" ca="1" si="0"/>
        <v>123</v>
      </c>
      <c r="E31" s="138" t="str">
        <f t="shared" si="1"/>
        <v>ADMITIDO</v>
      </c>
      <c r="F31" s="138" t="s">
        <v>42</v>
      </c>
      <c r="G31" s="117" t="s">
        <v>102</v>
      </c>
      <c r="H31" s="117" t="str">
        <f>X31</f>
        <v>ADMITIDO</v>
      </c>
      <c r="I31" s="117" t="str">
        <f>IF(X31="ADMITIDO","ADMITIDO",IF(X31="CANCELADA","CANCELADA",IF(H31="","",IFERROR(_xlfn.XLOOKUP(H31,Listas!I:I,Listas!J:J),"OUTROS"))))</f>
        <v>ADMITIDO</v>
      </c>
      <c r="J31" s="248" t="s">
        <v>193</v>
      </c>
      <c r="K31" s="73" t="s">
        <v>103</v>
      </c>
      <c r="L31" s="73" t="s">
        <v>194</v>
      </c>
      <c r="M31" s="73"/>
      <c r="N31" s="73" t="s">
        <v>63</v>
      </c>
      <c r="O31" s="73" t="s">
        <v>34</v>
      </c>
      <c r="P31" s="73" t="s">
        <v>57</v>
      </c>
      <c r="Q31" s="73" t="s">
        <v>151</v>
      </c>
      <c r="R31" s="74" t="s">
        <v>195</v>
      </c>
      <c r="S31" s="228"/>
      <c r="T31" s="74" t="s">
        <v>196</v>
      </c>
      <c r="U31" s="73" t="s">
        <v>132</v>
      </c>
      <c r="V31" s="220">
        <v>46129</v>
      </c>
      <c r="W31" s="203" t="s">
        <v>197</v>
      </c>
      <c r="X31" s="227" t="s">
        <v>40</v>
      </c>
      <c r="Y31" s="249">
        <v>46135</v>
      </c>
      <c r="Z31" s="249">
        <v>46136</v>
      </c>
      <c r="AA31" s="224">
        <v>914130</v>
      </c>
      <c r="AB31" s="74"/>
      <c r="AC31" s="74"/>
      <c r="AD31" s="250">
        <v>0</v>
      </c>
    </row>
    <row r="32" spans="1:30" s="251" customFormat="1" ht="18" customHeight="1">
      <c r="A32" s="246">
        <v>29488</v>
      </c>
      <c r="B32" s="105">
        <v>1</v>
      </c>
      <c r="C32" s="247">
        <v>46105</v>
      </c>
      <c r="D32" s="105">
        <f t="shared" ca="1" si="0"/>
        <v>122</v>
      </c>
      <c r="E32" s="138" t="str">
        <f t="shared" si="1"/>
        <v>ADMITIDO</v>
      </c>
      <c r="F32" s="138" t="s">
        <v>42</v>
      </c>
      <c r="G32" s="117" t="s">
        <v>29</v>
      </c>
      <c r="H32" s="117" t="str">
        <f>X32</f>
        <v>ADMITIDO</v>
      </c>
      <c r="I32" s="117" t="str">
        <f>IF(X32="ADMITIDO","ADMITIDO",IF(X32="CANCELADA","CANCELADA",IF(H32="","",IFERROR(_xlfn.XLOOKUP(H32,Listas!I:I,Listas!J:J),"OUTROS"))))</f>
        <v>ADMITIDO</v>
      </c>
      <c r="J32" s="248" t="s">
        <v>198</v>
      </c>
      <c r="K32" s="73" t="s">
        <v>54</v>
      </c>
      <c r="L32" s="73" t="s">
        <v>164</v>
      </c>
      <c r="M32" s="73"/>
      <c r="N32" s="73" t="s">
        <v>88</v>
      </c>
      <c r="O32" s="73" t="s">
        <v>34</v>
      </c>
      <c r="P32" s="73" t="s">
        <v>57</v>
      </c>
      <c r="Q32" s="73" t="s">
        <v>94</v>
      </c>
      <c r="R32" s="74" t="s">
        <v>199</v>
      </c>
      <c r="S32" s="228"/>
      <c r="T32" s="74" t="s">
        <v>200</v>
      </c>
      <c r="U32" s="117" t="s">
        <v>38</v>
      </c>
      <c r="V32" s="216">
        <v>46135</v>
      </c>
      <c r="W32" s="118" t="s">
        <v>201</v>
      </c>
      <c r="X32" s="227" t="s">
        <v>40</v>
      </c>
      <c r="Y32" s="249">
        <v>46141</v>
      </c>
      <c r="Z32" s="249">
        <v>46142</v>
      </c>
      <c r="AA32" s="224">
        <v>145897</v>
      </c>
      <c r="AB32" s="74"/>
      <c r="AC32" s="74"/>
      <c r="AD32" s="250">
        <v>0</v>
      </c>
    </row>
    <row r="33" spans="1:30" s="251" customFormat="1" ht="18" customHeight="1">
      <c r="A33" s="246">
        <v>29529</v>
      </c>
      <c r="B33" s="105">
        <v>1</v>
      </c>
      <c r="C33" s="247">
        <v>46105</v>
      </c>
      <c r="D33" s="105">
        <f t="shared" ca="1" si="0"/>
        <v>122</v>
      </c>
      <c r="E33" s="138" t="str">
        <f t="shared" si="1"/>
        <v>ADMITIDO</v>
      </c>
      <c r="F33" s="138" t="s">
        <v>28</v>
      </c>
      <c r="G33" s="117" t="s">
        <v>29</v>
      </c>
      <c r="H33" s="117" t="str">
        <f>X33</f>
        <v>ADMITIDO</v>
      </c>
      <c r="I33" s="117" t="str">
        <f>IF(X33="ADMITIDO","ADMITIDO",IF(X33="CANCELADA","CANCELADA",IF(H33="","",IFERROR(_xlfn.XLOOKUP(H33,Listas!I:I,Listas!J:J),"OUTROS"))))</f>
        <v>ADMITIDO</v>
      </c>
      <c r="J33" s="248" t="s">
        <v>202</v>
      </c>
      <c r="K33" s="73" t="s">
        <v>203</v>
      </c>
      <c r="L33" s="73" t="s">
        <v>204</v>
      </c>
      <c r="M33" s="73"/>
      <c r="N33" s="73" t="s">
        <v>205</v>
      </c>
      <c r="O33" s="73" t="s">
        <v>56</v>
      </c>
      <c r="P33" s="73" t="s">
        <v>35</v>
      </c>
      <c r="Q33" s="73" t="s">
        <v>176</v>
      </c>
      <c r="R33" s="74"/>
      <c r="S33" s="228"/>
      <c r="T33" s="255" t="s">
        <v>206</v>
      </c>
      <c r="U33" s="117" t="s">
        <v>38</v>
      </c>
      <c r="V33" s="216">
        <v>46132</v>
      </c>
      <c r="W33" s="118" t="s">
        <v>207</v>
      </c>
      <c r="X33" s="227" t="s">
        <v>40</v>
      </c>
      <c r="Y33" s="249">
        <v>46148</v>
      </c>
      <c r="Z33" s="249">
        <v>46149</v>
      </c>
      <c r="AA33" s="224">
        <v>914229</v>
      </c>
      <c r="AB33" s="241"/>
      <c r="AC33" s="241"/>
      <c r="AD33" s="250">
        <v>0</v>
      </c>
    </row>
    <row r="34" spans="1:30" s="251" customFormat="1" ht="18" customHeight="1">
      <c r="A34" s="246">
        <v>29521</v>
      </c>
      <c r="B34" s="105">
        <v>1</v>
      </c>
      <c r="C34" s="247">
        <v>46105</v>
      </c>
      <c r="D34" s="105">
        <f t="shared" ca="1" si="0"/>
        <v>122</v>
      </c>
      <c r="E34" s="138" t="str">
        <f t="shared" si="1"/>
        <v>ADMITIDO</v>
      </c>
      <c r="F34" s="138" t="s">
        <v>42</v>
      </c>
      <c r="G34" s="117" t="s">
        <v>43</v>
      </c>
      <c r="H34" s="117" t="s">
        <v>40</v>
      </c>
      <c r="I34" s="117" t="str">
        <f>IF(X34="ADMITIDO","ADMITIDO",IF(X34="CANCELADA","CANCELADA",IF(H34="","",IFERROR(_xlfn.XLOOKUP(H34,Listas!I:I,Listas!J:J),"OUTROS"))))</f>
        <v>ADMITIDO</v>
      </c>
      <c r="J34" s="248" t="s">
        <v>53</v>
      </c>
      <c r="K34" s="73" t="s">
        <v>189</v>
      </c>
      <c r="L34" s="73" t="s">
        <v>208</v>
      </c>
      <c r="M34" s="73"/>
      <c r="N34" s="73" t="s">
        <v>209</v>
      </c>
      <c r="O34" s="73" t="s">
        <v>34</v>
      </c>
      <c r="P34" s="73" t="s">
        <v>210</v>
      </c>
      <c r="Q34" s="73" t="s">
        <v>94</v>
      </c>
      <c r="R34" s="74"/>
      <c r="S34" s="228" t="s">
        <v>211</v>
      </c>
      <c r="T34" s="252">
        <v>15996712142</v>
      </c>
      <c r="U34" s="73" t="s">
        <v>67</v>
      </c>
      <c r="V34" s="220">
        <v>46134</v>
      </c>
      <c r="W34" s="203" t="s">
        <v>212</v>
      </c>
      <c r="X34" s="73" t="s">
        <v>40</v>
      </c>
      <c r="Y34" s="249">
        <v>46146</v>
      </c>
      <c r="Z34" s="249">
        <v>46146</v>
      </c>
      <c r="AA34" s="224">
        <v>145910</v>
      </c>
      <c r="AB34" s="241" t="s">
        <v>213</v>
      </c>
      <c r="AC34" s="241"/>
      <c r="AD34" s="250">
        <v>0</v>
      </c>
    </row>
    <row r="35" spans="1:30" s="251" customFormat="1" ht="18" customHeight="1">
      <c r="A35" s="97">
        <v>29533</v>
      </c>
      <c r="B35" s="105">
        <v>1</v>
      </c>
      <c r="C35" s="247">
        <v>46105</v>
      </c>
      <c r="D35" s="105">
        <f t="shared" ca="1" si="0"/>
        <v>122</v>
      </c>
      <c r="E35" s="138" t="str">
        <f t="shared" si="1"/>
        <v>ADMITIDO</v>
      </c>
      <c r="F35" s="138" t="s">
        <v>42</v>
      </c>
      <c r="G35" s="117" t="s">
        <v>69</v>
      </c>
      <c r="H35" s="117" t="s">
        <v>40</v>
      </c>
      <c r="I35" s="117" t="str">
        <f>IF(X35="ADMITIDO","ADMITIDO",IF(X35="CANCELADA","CANCELADA",IF(H35="","",IFERROR(_xlfn.XLOOKUP(H35,Listas!I:I,Listas!J:J),"OUTROS"))))</f>
        <v>ADMITIDO</v>
      </c>
      <c r="J35" s="248" t="s">
        <v>44</v>
      </c>
      <c r="K35" s="73" t="s">
        <v>70</v>
      </c>
      <c r="L35" s="73" t="s">
        <v>215</v>
      </c>
      <c r="M35" s="73"/>
      <c r="N35" s="73" t="s">
        <v>63</v>
      </c>
      <c r="O35" s="73" t="s">
        <v>34</v>
      </c>
      <c r="P35" s="73" t="s">
        <v>48</v>
      </c>
      <c r="Q35" s="73" t="s">
        <v>216</v>
      </c>
      <c r="R35" s="74" t="s">
        <v>217</v>
      </c>
      <c r="S35" s="228"/>
      <c r="T35" s="74"/>
      <c r="U35" s="73" t="s">
        <v>132</v>
      </c>
      <c r="V35" s="220">
        <v>46160</v>
      </c>
      <c r="W35" s="203" t="s">
        <v>1291</v>
      </c>
      <c r="X35" s="227" t="s">
        <v>40</v>
      </c>
      <c r="Y35" s="249">
        <v>46162</v>
      </c>
      <c r="Z35" s="249">
        <v>46163</v>
      </c>
      <c r="AA35" s="224">
        <v>145987</v>
      </c>
      <c r="AB35" s="241"/>
      <c r="AC35" s="241"/>
      <c r="AD35" s="256">
        <v>5</v>
      </c>
    </row>
    <row r="36" spans="1:30" s="251" customFormat="1" ht="18" customHeight="1">
      <c r="A36" s="246">
        <v>29554</v>
      </c>
      <c r="B36" s="105">
        <v>1</v>
      </c>
      <c r="C36" s="247">
        <v>46106</v>
      </c>
      <c r="D36" s="105">
        <f t="shared" ca="1" si="0"/>
        <v>121</v>
      </c>
      <c r="E36" s="138" t="str">
        <f t="shared" si="1"/>
        <v>ADMITIDO</v>
      </c>
      <c r="F36" s="138" t="s">
        <v>42</v>
      </c>
      <c r="G36" s="117" t="s">
        <v>43</v>
      </c>
      <c r="H36" s="117" t="s">
        <v>40</v>
      </c>
      <c r="I36" s="117" t="str">
        <f>IF(X36="ADMITIDO","ADMITIDO",IF(X36="CANCELADA","CANCELADA",IF(H36="","",IFERROR(_xlfn.XLOOKUP(H36,Listas!I:I,Listas!J:J),"OUTROS"))))</f>
        <v>ADMITIDO</v>
      </c>
      <c r="J36" s="248" t="s">
        <v>53</v>
      </c>
      <c r="K36" s="73" t="s">
        <v>45</v>
      </c>
      <c r="L36" s="73" t="s">
        <v>218</v>
      </c>
      <c r="M36" s="73"/>
      <c r="N36" s="73" t="s">
        <v>97</v>
      </c>
      <c r="O36" s="73" t="s">
        <v>34</v>
      </c>
      <c r="P36" s="73" t="s">
        <v>219</v>
      </c>
      <c r="Q36" s="73" t="s">
        <v>220</v>
      </c>
      <c r="R36" s="74" t="s">
        <v>221</v>
      </c>
      <c r="S36" s="228"/>
      <c r="T36" s="252">
        <v>11971655331</v>
      </c>
      <c r="U36" s="73" t="s">
        <v>50</v>
      </c>
      <c r="V36" s="220">
        <v>46135</v>
      </c>
      <c r="W36" s="203" t="s">
        <v>222</v>
      </c>
      <c r="X36" s="73" t="s">
        <v>40</v>
      </c>
      <c r="Y36" s="249">
        <v>46117</v>
      </c>
      <c r="Z36" s="249">
        <v>46117</v>
      </c>
      <c r="AA36" s="224"/>
      <c r="AB36" s="74"/>
      <c r="AC36" s="74"/>
      <c r="AD36" s="256">
        <v>0</v>
      </c>
    </row>
    <row r="37" spans="1:30" s="251" customFormat="1" ht="18" customHeight="1">
      <c r="A37" s="97">
        <v>29546</v>
      </c>
      <c r="B37" s="105">
        <v>1</v>
      </c>
      <c r="C37" s="247">
        <v>46106</v>
      </c>
      <c r="D37" s="105">
        <f t="shared" ca="1" si="0"/>
        <v>121</v>
      </c>
      <c r="E37" s="138" t="str">
        <f t="shared" si="1"/>
        <v>ADMITIDO</v>
      </c>
      <c r="F37" s="138" t="s">
        <v>42</v>
      </c>
      <c r="G37" s="117" t="s">
        <v>102</v>
      </c>
      <c r="H37" s="117" t="s">
        <v>40</v>
      </c>
      <c r="I37" s="117" t="str">
        <f>IF(X37="ADMITIDO","ADMITIDO",IF(X37="CANCELADA","CANCELADA",IF(H37="","",IFERROR(_xlfn.XLOOKUP(H37,Listas!I:I,Listas!J:J),"OUTROS"))))</f>
        <v>ADMITIDO</v>
      </c>
      <c r="J37" s="248" t="s">
        <v>53</v>
      </c>
      <c r="K37" s="73" t="s">
        <v>103</v>
      </c>
      <c r="L37" s="73" t="s">
        <v>194</v>
      </c>
      <c r="M37" s="73"/>
      <c r="N37" s="73" t="s">
        <v>63</v>
      </c>
      <c r="O37" s="73" t="s">
        <v>34</v>
      </c>
      <c r="P37" s="73" t="s">
        <v>72</v>
      </c>
      <c r="Q37" s="73" t="s">
        <v>223</v>
      </c>
      <c r="R37" s="74" t="s">
        <v>224</v>
      </c>
      <c r="S37" s="228" t="s">
        <v>107</v>
      </c>
      <c r="T37" s="74"/>
      <c r="U37" s="73" t="s">
        <v>67</v>
      </c>
      <c r="V37" s="220">
        <v>46126</v>
      </c>
      <c r="W37" s="203" t="s">
        <v>226</v>
      </c>
      <c r="X37" s="227" t="s">
        <v>40</v>
      </c>
      <c r="Y37" s="249">
        <v>46132</v>
      </c>
      <c r="Z37" s="249">
        <v>46134</v>
      </c>
      <c r="AA37" s="224">
        <v>914152</v>
      </c>
      <c r="AB37" s="74"/>
      <c r="AC37" s="74"/>
      <c r="AD37" s="256">
        <v>0</v>
      </c>
    </row>
    <row r="38" spans="1:30" s="251" customFormat="1" ht="18" customHeight="1">
      <c r="A38" s="246">
        <v>29564</v>
      </c>
      <c r="B38" s="105">
        <v>1</v>
      </c>
      <c r="C38" s="247">
        <v>46107</v>
      </c>
      <c r="D38" s="105">
        <f t="shared" ca="1" si="0"/>
        <v>120</v>
      </c>
      <c r="E38" s="138" t="str">
        <f t="shared" si="1"/>
        <v>ADMITIDO</v>
      </c>
      <c r="F38" s="138" t="s">
        <v>42</v>
      </c>
      <c r="G38" s="117" t="s">
        <v>29</v>
      </c>
      <c r="H38" s="117" t="s">
        <v>40</v>
      </c>
      <c r="I38" s="117" t="str">
        <f>IF(X38="ADMITIDO","ADMITIDO",IF(X38="CANCELADA","CANCELADA",IF(H38="","",IFERROR(_xlfn.XLOOKUP(H38,Listas!I:I,Listas!J:J),"OUTROS"))))</f>
        <v>ADMITIDO</v>
      </c>
      <c r="J38" s="248" t="s">
        <v>227</v>
      </c>
      <c r="K38" s="73" t="s">
        <v>228</v>
      </c>
      <c r="L38" s="73" t="s">
        <v>229</v>
      </c>
      <c r="M38" s="73"/>
      <c r="N38" s="73" t="s">
        <v>88</v>
      </c>
      <c r="O38" s="73" t="s">
        <v>34</v>
      </c>
      <c r="P38" s="73" t="s">
        <v>230</v>
      </c>
      <c r="Q38" s="73" t="s">
        <v>231</v>
      </c>
      <c r="R38" s="74"/>
      <c r="S38" s="228"/>
      <c r="T38" s="74"/>
      <c r="U38" s="117" t="s">
        <v>38</v>
      </c>
      <c r="V38" s="216">
        <v>46146</v>
      </c>
      <c r="W38" s="118" t="s">
        <v>232</v>
      </c>
      <c r="X38" s="117" t="s">
        <v>40</v>
      </c>
      <c r="Y38" s="249">
        <v>46155</v>
      </c>
      <c r="Z38" s="249">
        <v>46156</v>
      </c>
      <c r="AA38" s="224">
        <v>145944</v>
      </c>
      <c r="AB38" s="74" t="s">
        <v>233</v>
      </c>
      <c r="AC38" s="74"/>
      <c r="AD38" s="256">
        <v>0</v>
      </c>
    </row>
    <row r="39" spans="1:30" s="251" customFormat="1" ht="18" customHeight="1">
      <c r="A39" s="246">
        <v>29581</v>
      </c>
      <c r="B39" s="105">
        <v>1</v>
      </c>
      <c r="C39" s="247">
        <v>46107</v>
      </c>
      <c r="D39" s="105">
        <f t="shared" ca="1" si="0"/>
        <v>120</v>
      </c>
      <c r="E39" s="138" t="str">
        <f t="shared" si="1"/>
        <v>CANCELADA</v>
      </c>
      <c r="F39" s="138" t="s">
        <v>42</v>
      </c>
      <c r="G39" s="117" t="s">
        <v>663</v>
      </c>
      <c r="H39" s="117" t="s">
        <v>52</v>
      </c>
      <c r="I39" s="117" t="str">
        <f>IF(X39="ADMITIDO","ADMITIDO",IF(X39="CANCELADA","CANCELADA",IF(H39="","",IFERROR(_xlfn.XLOOKUP(H39,Listas!I:I,Listas!J:J),"OUTROS"))))</f>
        <v>CANCELADA</v>
      </c>
      <c r="J39" s="248" t="s">
        <v>53</v>
      </c>
      <c r="K39" s="73" t="s">
        <v>54</v>
      </c>
      <c r="L39" s="73" t="s">
        <v>234</v>
      </c>
      <c r="M39" s="73"/>
      <c r="N39" s="73" t="s">
        <v>33</v>
      </c>
      <c r="O39" s="73" t="s">
        <v>34</v>
      </c>
      <c r="P39" s="73" t="s">
        <v>48</v>
      </c>
      <c r="Q39" s="73" t="s">
        <v>120</v>
      </c>
      <c r="R39" s="74" t="s">
        <v>235</v>
      </c>
      <c r="S39" s="228"/>
      <c r="T39" s="74" t="s">
        <v>1292</v>
      </c>
      <c r="U39" s="117" t="s">
        <v>38</v>
      </c>
      <c r="V39" s="216">
        <v>46059</v>
      </c>
      <c r="W39" s="118" t="s">
        <v>1293</v>
      </c>
      <c r="X39" s="227" t="s">
        <v>52</v>
      </c>
      <c r="Y39" s="249"/>
      <c r="Z39" s="249"/>
      <c r="AA39" s="224"/>
      <c r="AB39" s="74" t="s">
        <v>1294</v>
      </c>
      <c r="AC39" s="74" t="s">
        <v>1295</v>
      </c>
      <c r="AD39" s="256">
        <v>2</v>
      </c>
    </row>
    <row r="40" spans="1:30" s="251" customFormat="1" ht="18" customHeight="1">
      <c r="A40" s="97">
        <v>29572</v>
      </c>
      <c r="B40" s="105">
        <v>1</v>
      </c>
      <c r="C40" s="247">
        <v>46107</v>
      </c>
      <c r="D40" s="105">
        <f t="shared" ca="1" si="0"/>
        <v>120</v>
      </c>
      <c r="E40" s="138" t="str">
        <f t="shared" si="1"/>
        <v>CANCELADA</v>
      </c>
      <c r="F40" s="138" t="s">
        <v>42</v>
      </c>
      <c r="G40" s="117" t="s">
        <v>69</v>
      </c>
      <c r="H40" s="117" t="s">
        <v>52</v>
      </c>
      <c r="I40" s="117" t="str">
        <f>IF(X40="ADMITIDO","ADMITIDO",IF(X40="CANCELADA","CANCELADA",IF(H40="","",IFERROR(_xlfn.XLOOKUP(H40,Listas!I:I,Listas!J:J),"OUTROS"))))</f>
        <v>CANCELADA</v>
      </c>
      <c r="J40" s="248" t="s">
        <v>53</v>
      </c>
      <c r="K40" s="73" t="s">
        <v>70</v>
      </c>
      <c r="L40" s="73" t="s">
        <v>237</v>
      </c>
      <c r="M40" s="73"/>
      <c r="N40" s="73" t="s">
        <v>63</v>
      </c>
      <c r="O40" s="73" t="s">
        <v>34</v>
      </c>
      <c r="P40" s="73" t="s">
        <v>72</v>
      </c>
      <c r="Q40" s="73" t="s">
        <v>238</v>
      </c>
      <c r="R40" s="74" t="s">
        <v>239</v>
      </c>
      <c r="S40" s="228"/>
      <c r="T40" s="74"/>
      <c r="U40" s="73"/>
      <c r="V40" s="220"/>
      <c r="W40" s="203"/>
      <c r="X40" s="227" t="s">
        <v>52</v>
      </c>
      <c r="Y40" s="249"/>
      <c r="Z40" s="249"/>
      <c r="AA40" s="224"/>
      <c r="AB40" s="74"/>
      <c r="AC40" s="74"/>
      <c r="AD40" s="256">
        <v>0</v>
      </c>
    </row>
    <row r="41" spans="1:30" s="251" customFormat="1" ht="18" customHeight="1">
      <c r="A41" s="97">
        <v>30078</v>
      </c>
      <c r="B41" s="105">
        <v>1</v>
      </c>
      <c r="C41" s="247">
        <v>46139</v>
      </c>
      <c r="D41" s="105">
        <f ca="1">TODAY()-C41</f>
        <v>88</v>
      </c>
      <c r="E41" s="138" t="str">
        <f t="shared" si="1"/>
        <v>ADMITIDO</v>
      </c>
      <c r="F41" s="138" t="s">
        <v>42</v>
      </c>
      <c r="G41" s="117" t="s">
        <v>240</v>
      </c>
      <c r="H41" s="117" t="s">
        <v>40</v>
      </c>
      <c r="I41" s="117" t="str">
        <f>IF(X41="ADMITIDO","ADMITIDO",IF(X41="CANCELADA","CANCELADA",IF(H41="","",IFERROR(_xlfn.XLOOKUP(H41,Listas!I:I,Listas!J:J),"OUTROS"))))</f>
        <v>ADMITIDO</v>
      </c>
      <c r="J41" s="248" t="s">
        <v>44</v>
      </c>
      <c r="K41" s="73" t="s">
        <v>241</v>
      </c>
      <c r="L41" s="73" t="s">
        <v>242</v>
      </c>
      <c r="M41" s="73"/>
      <c r="N41" s="73" t="s">
        <v>243</v>
      </c>
      <c r="O41" s="73" t="s">
        <v>34</v>
      </c>
      <c r="P41" s="73" t="s">
        <v>72</v>
      </c>
      <c r="Q41" s="73" t="s">
        <v>244</v>
      </c>
      <c r="R41" s="74"/>
      <c r="S41" s="228"/>
      <c r="T41" s="74"/>
      <c r="U41" s="73" t="s">
        <v>132</v>
      </c>
      <c r="V41" s="220">
        <v>46153</v>
      </c>
      <c r="W41" s="203" t="s">
        <v>245</v>
      </c>
      <c r="X41" s="227" t="s">
        <v>40</v>
      </c>
      <c r="Y41" s="249">
        <v>46156</v>
      </c>
      <c r="Z41" s="249">
        <v>46160</v>
      </c>
      <c r="AA41" s="224">
        <v>145962</v>
      </c>
      <c r="AB41" s="74"/>
      <c r="AC41" s="74"/>
      <c r="AD41" s="256">
        <v>0</v>
      </c>
    </row>
    <row r="42" spans="1:30" s="251" customFormat="1" ht="18" customHeight="1">
      <c r="A42" s="97">
        <v>29598</v>
      </c>
      <c r="B42" s="105">
        <v>1</v>
      </c>
      <c r="C42" s="247">
        <v>46108</v>
      </c>
      <c r="D42" s="105">
        <f t="shared" ca="1" si="0"/>
        <v>119</v>
      </c>
      <c r="E42" s="138" t="str">
        <f t="shared" si="1"/>
        <v>ADMITIDO</v>
      </c>
      <c r="F42" s="138" t="s">
        <v>42</v>
      </c>
      <c r="G42" s="117" t="s">
        <v>69</v>
      </c>
      <c r="H42" s="117" t="s">
        <v>40</v>
      </c>
      <c r="I42" s="117" t="str">
        <f>IF(X42="ADMITIDO","ADMITIDO",IF(X42="CANCELADA","CANCELADA",IF(H42="","",IFERROR(_xlfn.XLOOKUP(H42,Listas!I:I,Listas!J:J),"OUTROS"))))</f>
        <v>ADMITIDO</v>
      </c>
      <c r="J42" s="248" t="s">
        <v>44</v>
      </c>
      <c r="K42" s="73" t="s">
        <v>70</v>
      </c>
      <c r="L42" s="73" t="s">
        <v>246</v>
      </c>
      <c r="M42" s="73"/>
      <c r="N42" s="73" t="s">
        <v>63</v>
      </c>
      <c r="O42" s="73" t="s">
        <v>34</v>
      </c>
      <c r="P42" s="73" t="s">
        <v>219</v>
      </c>
      <c r="Q42" s="73" t="s">
        <v>247</v>
      </c>
      <c r="R42" s="74" t="s">
        <v>248</v>
      </c>
      <c r="S42" s="228" t="s">
        <v>65</v>
      </c>
      <c r="T42" s="271" t="s">
        <v>249</v>
      </c>
      <c r="U42" s="73" t="s">
        <v>109</v>
      </c>
      <c r="V42" s="220">
        <v>46150</v>
      </c>
      <c r="W42" s="203" t="s">
        <v>250</v>
      </c>
      <c r="X42" s="117" t="s">
        <v>40</v>
      </c>
      <c r="Y42" s="249">
        <v>46155</v>
      </c>
      <c r="Z42" s="249">
        <v>46156</v>
      </c>
      <c r="AA42" s="224">
        <v>145963</v>
      </c>
      <c r="AB42" s="74" t="s">
        <v>251</v>
      </c>
      <c r="AC42" s="74"/>
      <c r="AD42" s="256">
        <v>0</v>
      </c>
    </row>
    <row r="43" spans="1:30" s="251" customFormat="1" ht="18" customHeight="1">
      <c r="A43" s="246">
        <v>29626</v>
      </c>
      <c r="B43" s="105">
        <v>1</v>
      </c>
      <c r="C43" s="247">
        <v>46111</v>
      </c>
      <c r="D43" s="105">
        <f t="shared" ca="1" si="0"/>
        <v>116</v>
      </c>
      <c r="E43" s="138" t="str">
        <f t="shared" si="1"/>
        <v>ADMITIDO</v>
      </c>
      <c r="F43" s="138" t="s">
        <v>42</v>
      </c>
      <c r="G43" s="117" t="s">
        <v>240</v>
      </c>
      <c r="H43" s="117" t="str">
        <f>X43</f>
        <v>ADMITIDO</v>
      </c>
      <c r="I43" s="117" t="str">
        <f>IF(X43="ADMITIDO","ADMITIDO",IF(X43="CANCELADA","CANCELADA",IF(H43="","",IFERROR(_xlfn.XLOOKUP(H43,Listas!I:I,Listas!J:J),"OUTROS"))))</f>
        <v>ADMITIDO</v>
      </c>
      <c r="J43" s="248" t="s">
        <v>44</v>
      </c>
      <c r="K43" s="73" t="s">
        <v>241</v>
      </c>
      <c r="L43" s="73" t="s">
        <v>242</v>
      </c>
      <c r="M43" s="73"/>
      <c r="N43" s="73" t="s">
        <v>243</v>
      </c>
      <c r="O43" s="73" t="s">
        <v>34</v>
      </c>
      <c r="P43" s="73" t="s">
        <v>72</v>
      </c>
      <c r="Q43" s="73" t="s">
        <v>244</v>
      </c>
      <c r="R43" s="74" t="s">
        <v>252</v>
      </c>
      <c r="S43" s="228"/>
      <c r="T43" s="74" t="s">
        <v>253</v>
      </c>
      <c r="U43" s="73" t="s">
        <v>132</v>
      </c>
      <c r="V43" s="220">
        <v>46135</v>
      </c>
      <c r="W43" s="203" t="s">
        <v>254</v>
      </c>
      <c r="X43" s="227" t="s">
        <v>40</v>
      </c>
      <c r="Y43" s="249">
        <v>46139</v>
      </c>
      <c r="Z43" s="249">
        <v>46141</v>
      </c>
      <c r="AA43" s="224">
        <v>145894</v>
      </c>
      <c r="AB43" s="74"/>
      <c r="AC43" s="74"/>
      <c r="AD43" s="256">
        <v>0</v>
      </c>
    </row>
    <row r="44" spans="1:30" s="251" customFormat="1" ht="18" customHeight="1">
      <c r="A44" s="246">
        <v>29624</v>
      </c>
      <c r="B44" s="105">
        <v>1</v>
      </c>
      <c r="C44" s="247">
        <v>46111</v>
      </c>
      <c r="D44" s="105">
        <f t="shared" ca="1" si="0"/>
        <v>116</v>
      </c>
      <c r="E44" s="117" t="str">
        <f t="shared" si="1"/>
        <v>CANCELADA</v>
      </c>
      <c r="F44" s="138" t="s">
        <v>42</v>
      </c>
      <c r="G44" s="117" t="s">
        <v>60</v>
      </c>
      <c r="H44" s="117" t="s">
        <v>52</v>
      </c>
      <c r="I44" s="117" t="str">
        <f>IF(X44="ADMITIDO","ADMITIDO",IF(X44="CANCELADA","CANCELADA",IF(H44="","",IFERROR(_xlfn.XLOOKUP(H44,Listas!I:I,Listas!J:J),"OUTROS"))))</f>
        <v>CANCELADA</v>
      </c>
      <c r="J44" s="248" t="s">
        <v>53</v>
      </c>
      <c r="K44" s="73" t="s">
        <v>61</v>
      </c>
      <c r="L44" s="73" t="s">
        <v>255</v>
      </c>
      <c r="M44" s="73"/>
      <c r="N44" s="73" t="s">
        <v>63</v>
      </c>
      <c r="O44" s="73" t="s">
        <v>34</v>
      </c>
      <c r="P44" s="73" t="s">
        <v>219</v>
      </c>
      <c r="Q44" s="73" t="s">
        <v>73</v>
      </c>
      <c r="R44" s="279" t="s">
        <v>256</v>
      </c>
      <c r="S44" s="228" t="s">
        <v>65</v>
      </c>
      <c r="T44" s="74" t="s">
        <v>257</v>
      </c>
      <c r="U44" s="73"/>
      <c r="V44" s="220"/>
      <c r="W44" s="203"/>
      <c r="X44" s="227" t="s">
        <v>52</v>
      </c>
      <c r="Y44" s="249"/>
      <c r="Z44" s="249"/>
      <c r="AA44" s="224"/>
      <c r="AB44" s="74" t="s">
        <v>258</v>
      </c>
      <c r="AC44" s="74"/>
      <c r="AD44" s="256">
        <v>0</v>
      </c>
    </row>
    <row r="45" spans="1:30" s="251" customFormat="1" ht="18" customHeight="1">
      <c r="A45" s="97">
        <v>29625</v>
      </c>
      <c r="B45" s="105">
        <v>1</v>
      </c>
      <c r="C45" s="247">
        <v>46111</v>
      </c>
      <c r="D45" s="105">
        <f t="shared" ca="1" si="0"/>
        <v>116</v>
      </c>
      <c r="E45" s="138" t="str">
        <f t="shared" si="1"/>
        <v>ADMITIDO</v>
      </c>
      <c r="F45" s="138" t="s">
        <v>42</v>
      </c>
      <c r="G45" s="117" t="s">
        <v>60</v>
      </c>
      <c r="H45" s="117" t="str">
        <f>X45</f>
        <v>ADMITIDO</v>
      </c>
      <c r="I45" s="117" t="str">
        <f>IF(X45="ADMITIDO","ADMITIDO",IF(X45="CANCELADA","CANCELADA",IF(H45="","",IFERROR(_xlfn.XLOOKUP(H45,Listas!I:I,Listas!J:J),"OUTROS"))))</f>
        <v>ADMITIDO</v>
      </c>
      <c r="J45" s="248" t="s">
        <v>53</v>
      </c>
      <c r="K45" s="73" t="s">
        <v>61</v>
      </c>
      <c r="L45" s="73" t="s">
        <v>62</v>
      </c>
      <c r="M45" s="73"/>
      <c r="N45" s="73" t="s">
        <v>63</v>
      </c>
      <c r="O45" s="73" t="s">
        <v>34</v>
      </c>
      <c r="P45" s="73" t="s">
        <v>57</v>
      </c>
      <c r="Q45" s="73" t="s">
        <v>64</v>
      </c>
      <c r="R45" s="74" t="s">
        <v>1296</v>
      </c>
      <c r="S45" s="228" t="s">
        <v>65</v>
      </c>
      <c r="T45" s="74" t="s">
        <v>1297</v>
      </c>
      <c r="U45" s="73" t="s">
        <v>109</v>
      </c>
      <c r="V45" s="220">
        <v>46160</v>
      </c>
      <c r="W45" s="257" t="s">
        <v>1298</v>
      </c>
      <c r="X45" s="227" t="s">
        <v>40</v>
      </c>
      <c r="Y45" s="249">
        <v>46162</v>
      </c>
      <c r="Z45" s="249">
        <v>46163</v>
      </c>
      <c r="AA45" s="224">
        <v>145985</v>
      </c>
      <c r="AB45" s="74" t="s">
        <v>261</v>
      </c>
      <c r="AC45" s="74"/>
      <c r="AD45" s="256">
        <v>0</v>
      </c>
    </row>
    <row r="46" spans="1:30" s="251" customFormat="1" ht="18" customHeight="1">
      <c r="A46" s="246">
        <v>29630</v>
      </c>
      <c r="B46" s="105">
        <v>1</v>
      </c>
      <c r="C46" s="247">
        <v>46111</v>
      </c>
      <c r="D46" s="105">
        <f t="shared" ca="1" si="0"/>
        <v>116</v>
      </c>
      <c r="E46" s="138" t="str">
        <f t="shared" si="1"/>
        <v>ADMITIDO</v>
      </c>
      <c r="F46" s="138" t="s">
        <v>42</v>
      </c>
      <c r="G46" s="117" t="s">
        <v>102</v>
      </c>
      <c r="H46" s="117" t="str">
        <f>X46</f>
        <v>ADMITIDO</v>
      </c>
      <c r="I46" s="117" t="str">
        <f>IF(X46="ADMITIDO","ADMITIDO",IF(X46="CANCELADA","CANCELADA",IF(H46="","",IFERROR(_xlfn.XLOOKUP(H46,Listas!I:I,Listas!J:J),"OUTROS"))))</f>
        <v>ADMITIDO</v>
      </c>
      <c r="J46" s="248" t="s">
        <v>53</v>
      </c>
      <c r="K46" s="73" t="s">
        <v>103</v>
      </c>
      <c r="L46" s="73" t="s">
        <v>194</v>
      </c>
      <c r="M46" s="73"/>
      <c r="N46" s="73" t="s">
        <v>63</v>
      </c>
      <c r="O46" s="73" t="s">
        <v>34</v>
      </c>
      <c r="P46" s="73" t="s">
        <v>219</v>
      </c>
      <c r="Q46" s="73" t="s">
        <v>238</v>
      </c>
      <c r="R46" s="279" t="s">
        <v>262</v>
      </c>
      <c r="S46" s="228" t="s">
        <v>107</v>
      </c>
      <c r="T46" s="74" t="s">
        <v>263</v>
      </c>
      <c r="U46" s="73" t="s">
        <v>67</v>
      </c>
      <c r="V46" s="220">
        <v>46136</v>
      </c>
      <c r="W46" s="203" t="s">
        <v>264</v>
      </c>
      <c r="X46" s="227" t="s">
        <v>40</v>
      </c>
      <c r="Y46" s="249">
        <v>46141</v>
      </c>
      <c r="Z46" s="249">
        <v>46142</v>
      </c>
      <c r="AA46" s="224">
        <v>914202</v>
      </c>
      <c r="AB46" s="74" t="s">
        <v>265</v>
      </c>
      <c r="AC46" s="74"/>
      <c r="AD46" s="256">
        <v>0</v>
      </c>
    </row>
    <row r="47" spans="1:30" s="251" customFormat="1" ht="18" customHeight="1">
      <c r="A47" s="97">
        <v>29662</v>
      </c>
      <c r="B47" s="105">
        <v>1</v>
      </c>
      <c r="C47" s="247">
        <v>46112</v>
      </c>
      <c r="D47" s="105">
        <f t="shared" ca="1" si="0"/>
        <v>115</v>
      </c>
      <c r="E47" s="138" t="str">
        <f t="shared" si="1"/>
        <v>ADMITIDO</v>
      </c>
      <c r="F47" s="138" t="s">
        <v>42</v>
      </c>
      <c r="G47" s="117" t="s">
        <v>29</v>
      </c>
      <c r="H47" s="117" t="s">
        <v>40</v>
      </c>
      <c r="I47" s="117" t="str">
        <f>IF(X47="ADMITIDO","ADMITIDO",IF(X47="CANCELADA","CANCELADA",IF(H47="","",IFERROR(_xlfn.XLOOKUP(H47,Listas!I:I,Listas!J:J),"OUTROS"))))</f>
        <v>ADMITIDO</v>
      </c>
      <c r="J47" s="248" t="s">
        <v>227</v>
      </c>
      <c r="K47" s="73" t="s">
        <v>228</v>
      </c>
      <c r="L47" s="73" t="s">
        <v>229</v>
      </c>
      <c r="M47" s="73"/>
      <c r="N47" s="73" t="s">
        <v>88</v>
      </c>
      <c r="O47" s="73" t="s">
        <v>34</v>
      </c>
      <c r="P47" s="73" t="s">
        <v>35</v>
      </c>
      <c r="Q47" s="73" t="s">
        <v>266</v>
      </c>
      <c r="R47" s="74"/>
      <c r="S47" s="228"/>
      <c r="T47" s="74"/>
      <c r="U47" s="117" t="s">
        <v>38</v>
      </c>
      <c r="V47" s="216">
        <v>46139</v>
      </c>
      <c r="W47" s="118" t="s">
        <v>267</v>
      </c>
      <c r="X47" s="73" t="s">
        <v>40</v>
      </c>
      <c r="Y47" s="249">
        <v>46146</v>
      </c>
      <c r="Z47" s="249">
        <v>46147</v>
      </c>
      <c r="AA47" s="224">
        <v>1455916</v>
      </c>
      <c r="AB47" s="74"/>
      <c r="AC47" s="74"/>
      <c r="AD47" s="256">
        <v>0</v>
      </c>
    </row>
    <row r="48" spans="1:30" s="251" customFormat="1" ht="18" customHeight="1">
      <c r="A48" s="97">
        <v>29655</v>
      </c>
      <c r="B48" s="105">
        <v>1</v>
      </c>
      <c r="C48" s="247">
        <v>46112</v>
      </c>
      <c r="D48" s="105">
        <f t="shared" ca="1" si="0"/>
        <v>115</v>
      </c>
      <c r="E48" s="138" t="str">
        <f t="shared" si="1"/>
        <v>ADMITIDO</v>
      </c>
      <c r="F48" s="138" t="s">
        <v>28</v>
      </c>
      <c r="G48" s="117" t="s">
        <v>29</v>
      </c>
      <c r="H48" s="117" t="s">
        <v>40</v>
      </c>
      <c r="I48" s="117" t="str">
        <f>IF(X48="ADMITIDO","ADMITIDO",IF(X48="CANCELADA","CANCELADA",IF(H48="","",IFERROR(_xlfn.XLOOKUP(H48,Listas!I:I,Listas!J:J),"OUTROS"))))</f>
        <v>ADMITIDO</v>
      </c>
      <c r="J48" s="248" t="s">
        <v>268</v>
      </c>
      <c r="K48" s="73" t="s">
        <v>31</v>
      </c>
      <c r="L48" s="73" t="s">
        <v>32</v>
      </c>
      <c r="M48" s="73"/>
      <c r="N48" s="73" t="s">
        <v>33</v>
      </c>
      <c r="O48" s="73" t="s">
        <v>34</v>
      </c>
      <c r="P48" s="73" t="s">
        <v>35</v>
      </c>
      <c r="Q48" s="73" t="s">
        <v>36</v>
      </c>
      <c r="R48" s="74"/>
      <c r="S48" s="228"/>
      <c r="T48" s="74"/>
      <c r="U48" s="117" t="s">
        <v>38</v>
      </c>
      <c r="V48" s="216">
        <v>46141</v>
      </c>
      <c r="W48" s="118" t="s">
        <v>269</v>
      </c>
      <c r="X48" s="73" t="s">
        <v>40</v>
      </c>
      <c r="Y48" s="249">
        <v>46146</v>
      </c>
      <c r="Z48" s="249">
        <v>46147</v>
      </c>
      <c r="AA48" s="224">
        <v>914211</v>
      </c>
      <c r="AB48" s="74"/>
      <c r="AC48" s="74"/>
      <c r="AD48" s="256">
        <v>0</v>
      </c>
    </row>
    <row r="49" spans="1:30" s="251" customFormat="1" ht="18" customHeight="1">
      <c r="A49" s="97">
        <v>29639</v>
      </c>
      <c r="B49" s="105">
        <v>1</v>
      </c>
      <c r="C49" s="247">
        <v>46112</v>
      </c>
      <c r="D49" s="105">
        <f t="shared" ca="1" si="0"/>
        <v>115</v>
      </c>
      <c r="E49" s="117" t="str">
        <f t="shared" si="1"/>
        <v>CANCELADA</v>
      </c>
      <c r="F49" s="138" t="s">
        <v>42</v>
      </c>
      <c r="G49" s="117" t="s">
        <v>69</v>
      </c>
      <c r="H49" s="117" t="s">
        <v>52</v>
      </c>
      <c r="I49" s="117" t="str">
        <f>IF(X49="ADMITIDO","ADMITIDO",IF(X49="CANCELADA","CANCELADA",IF(H49="","",IFERROR(_xlfn.XLOOKUP(H49,Listas!I:I,Listas!J:J),"OUTROS"))))</f>
        <v>CANCELADA</v>
      </c>
      <c r="J49" s="248" t="s">
        <v>53</v>
      </c>
      <c r="K49" s="73" t="s">
        <v>158</v>
      </c>
      <c r="L49" s="73" t="s">
        <v>270</v>
      </c>
      <c r="M49" s="73"/>
      <c r="N49" s="73" t="s">
        <v>63</v>
      </c>
      <c r="O49" s="73" t="s">
        <v>34</v>
      </c>
      <c r="P49" s="73" t="s">
        <v>72</v>
      </c>
      <c r="Q49" s="73" t="s">
        <v>73</v>
      </c>
      <c r="R49" s="74" t="s">
        <v>271</v>
      </c>
      <c r="S49" s="228"/>
      <c r="T49" s="74"/>
      <c r="U49" s="73"/>
      <c r="V49" s="220"/>
      <c r="W49" s="203"/>
      <c r="X49" s="227" t="s">
        <v>52</v>
      </c>
      <c r="Y49" s="249"/>
      <c r="Z49" s="249"/>
      <c r="AA49" s="224"/>
      <c r="AB49" s="74" t="s">
        <v>272</v>
      </c>
      <c r="AC49" s="74"/>
      <c r="AD49" s="256">
        <v>1</v>
      </c>
    </row>
    <row r="50" spans="1:30" s="251" customFormat="1" ht="18" customHeight="1">
      <c r="A50" s="97">
        <v>29648</v>
      </c>
      <c r="B50" s="105">
        <v>1</v>
      </c>
      <c r="C50" s="247">
        <v>46112</v>
      </c>
      <c r="D50" s="105">
        <f t="shared" ca="1" si="0"/>
        <v>115</v>
      </c>
      <c r="E50" s="138" t="str">
        <f t="shared" si="1"/>
        <v>ADMITIDO</v>
      </c>
      <c r="F50" s="138" t="s">
        <v>42</v>
      </c>
      <c r="G50" s="117" t="s">
        <v>145</v>
      </c>
      <c r="H50" s="117" t="str">
        <f>X50</f>
        <v>ADMITIDO</v>
      </c>
      <c r="I50" s="117" t="str">
        <f>IF(X50="ADMITIDO","ADMITIDO",IF(X50="CANCELADA","CANCELADA",IF(H50="","",IFERROR(_xlfn.XLOOKUP(H50,Listas!I:I,Listas!J:J),"OUTROS"))))</f>
        <v>ADMITIDO</v>
      </c>
      <c r="J50" s="248" t="s">
        <v>53</v>
      </c>
      <c r="K50" s="73" t="s">
        <v>103</v>
      </c>
      <c r="L50" s="73" t="s">
        <v>273</v>
      </c>
      <c r="M50" s="73"/>
      <c r="N50" s="73" t="s">
        <v>274</v>
      </c>
      <c r="O50" s="73" t="s">
        <v>34</v>
      </c>
      <c r="P50" s="73" t="s">
        <v>48</v>
      </c>
      <c r="Q50" s="73" t="s">
        <v>275</v>
      </c>
      <c r="R50" s="74" t="s">
        <v>276</v>
      </c>
      <c r="S50" s="228"/>
      <c r="T50" s="74"/>
      <c r="U50" s="73" t="s">
        <v>67</v>
      </c>
      <c r="V50" s="220">
        <v>46127</v>
      </c>
      <c r="W50" s="203" t="s">
        <v>278</v>
      </c>
      <c r="X50" s="227" t="s">
        <v>40</v>
      </c>
      <c r="Y50" s="249">
        <v>46132</v>
      </c>
      <c r="Z50" s="249">
        <v>46134</v>
      </c>
      <c r="AA50" s="224">
        <v>145866</v>
      </c>
      <c r="AB50" s="74"/>
      <c r="AC50" s="74"/>
      <c r="AD50" s="256">
        <v>0</v>
      </c>
    </row>
    <row r="51" spans="1:30" s="251" customFormat="1" ht="18" customHeight="1">
      <c r="A51" s="97">
        <v>29657</v>
      </c>
      <c r="B51" s="105">
        <v>1</v>
      </c>
      <c r="C51" s="247">
        <v>46112</v>
      </c>
      <c r="D51" s="105">
        <f t="shared" ca="1" si="0"/>
        <v>115</v>
      </c>
      <c r="E51" s="138" t="str">
        <f t="shared" si="1"/>
        <v>ADMITIDO</v>
      </c>
      <c r="F51" s="138" t="s">
        <v>42</v>
      </c>
      <c r="G51" s="117" t="s">
        <v>145</v>
      </c>
      <c r="H51" s="117" t="str">
        <f>X51</f>
        <v>ADMITIDO</v>
      </c>
      <c r="I51" s="117" t="str">
        <f>IF(X51="ADMITIDO","ADMITIDO",IF(X51="CANCELADA","CANCELADA",IF(H51="","",IFERROR(_xlfn.XLOOKUP(H51,Listas!I:I,Listas!J:J),"OUTROS"))))</f>
        <v>ADMITIDO</v>
      </c>
      <c r="J51" s="248" t="s">
        <v>44</v>
      </c>
      <c r="K51" s="73" t="s">
        <v>280</v>
      </c>
      <c r="L51" s="73" t="s">
        <v>281</v>
      </c>
      <c r="M51" s="73"/>
      <c r="N51" s="73" t="s">
        <v>63</v>
      </c>
      <c r="O51" s="73" t="s">
        <v>34</v>
      </c>
      <c r="P51" s="73" t="s">
        <v>57</v>
      </c>
      <c r="Q51" s="73" t="s">
        <v>98</v>
      </c>
      <c r="R51" s="74" t="s">
        <v>282</v>
      </c>
      <c r="S51" s="228" t="s">
        <v>107</v>
      </c>
      <c r="T51" s="74"/>
      <c r="U51" s="73" t="s">
        <v>132</v>
      </c>
      <c r="V51" s="220">
        <v>46167</v>
      </c>
      <c r="W51" s="203" t="s">
        <v>1299</v>
      </c>
      <c r="X51" s="119" t="s">
        <v>40</v>
      </c>
      <c r="Y51" s="249">
        <v>46169</v>
      </c>
      <c r="Z51" s="249">
        <v>46170</v>
      </c>
      <c r="AA51" s="224">
        <v>146026</v>
      </c>
      <c r="AB51" s="74" t="s">
        <v>1300</v>
      </c>
      <c r="AC51" s="74"/>
      <c r="AD51" s="256">
        <v>1</v>
      </c>
    </row>
    <row r="52" spans="1:30" s="251" customFormat="1" ht="18" customHeight="1">
      <c r="A52" s="246">
        <v>29643</v>
      </c>
      <c r="B52" s="105">
        <v>1</v>
      </c>
      <c r="C52" s="247">
        <v>46112</v>
      </c>
      <c r="D52" s="105">
        <f t="shared" ca="1" si="0"/>
        <v>115</v>
      </c>
      <c r="E52" s="138" t="str">
        <f t="shared" si="1"/>
        <v>ADMITIDO</v>
      </c>
      <c r="F52" s="138" t="s">
        <v>28</v>
      </c>
      <c r="G52" s="117" t="s">
        <v>43</v>
      </c>
      <c r="H52" s="117" t="str">
        <f>X52</f>
        <v>ADMITIDO</v>
      </c>
      <c r="I52" s="117" t="str">
        <f>IF(X52="ADMITIDO","ADMITIDO",IF(X52="CANCELADA","CANCELADA",IF(H52="","",IFERROR(_xlfn.XLOOKUP(H52,Listas!I:I,Listas!J:J),"OUTROS"))))</f>
        <v>ADMITIDO</v>
      </c>
      <c r="J52" s="248" t="s">
        <v>146</v>
      </c>
      <c r="K52" s="73" t="s">
        <v>285</v>
      </c>
      <c r="L52" s="73" t="s">
        <v>286</v>
      </c>
      <c r="M52" s="73"/>
      <c r="N52" s="73" t="s">
        <v>33</v>
      </c>
      <c r="O52" s="73" t="s">
        <v>34</v>
      </c>
      <c r="P52" s="73" t="s">
        <v>35</v>
      </c>
      <c r="Q52" s="73" t="s">
        <v>287</v>
      </c>
      <c r="R52" s="74"/>
      <c r="S52" s="228"/>
      <c r="T52" s="252">
        <v>11984950081</v>
      </c>
      <c r="U52" s="73" t="s">
        <v>50</v>
      </c>
      <c r="V52" s="220">
        <v>46135</v>
      </c>
      <c r="W52" s="203" t="s">
        <v>288</v>
      </c>
      <c r="X52" s="227" t="s">
        <v>40</v>
      </c>
      <c r="Y52" s="249">
        <v>46141</v>
      </c>
      <c r="Z52" s="249">
        <v>46142</v>
      </c>
      <c r="AA52" s="224">
        <v>914186</v>
      </c>
      <c r="AB52" s="74"/>
      <c r="AC52" s="74"/>
      <c r="AD52" s="256">
        <v>0</v>
      </c>
    </row>
    <row r="53" spans="1:30" s="251" customFormat="1" ht="18" customHeight="1">
      <c r="A53" s="246">
        <v>29633</v>
      </c>
      <c r="B53" s="105">
        <v>1</v>
      </c>
      <c r="C53" s="247">
        <v>46112</v>
      </c>
      <c r="D53" s="105">
        <f t="shared" ca="1" si="0"/>
        <v>115</v>
      </c>
      <c r="E53" s="138" t="str">
        <f t="shared" si="1"/>
        <v>CANCELADA</v>
      </c>
      <c r="F53" s="138" t="s">
        <v>42</v>
      </c>
      <c r="G53" s="117" t="s">
        <v>43</v>
      </c>
      <c r="H53" s="117" t="s">
        <v>52</v>
      </c>
      <c r="I53" s="117" t="str">
        <f>IF(X53="ADMITIDO","ADMITIDO",IF(X53="CANCELADA","CANCELADA",IF(H53="","",IFERROR(_xlfn.XLOOKUP(H53,Listas!I:I,Listas!J:J),"OUTROS"))))</f>
        <v>CANCELADA</v>
      </c>
      <c r="J53" s="248" t="s">
        <v>53</v>
      </c>
      <c r="K53" s="73" t="s">
        <v>189</v>
      </c>
      <c r="L53" s="258" t="s">
        <v>289</v>
      </c>
      <c r="M53" s="258"/>
      <c r="N53" s="73" t="s">
        <v>33</v>
      </c>
      <c r="O53" s="73" t="s">
        <v>34</v>
      </c>
      <c r="P53" s="73" t="s">
        <v>48</v>
      </c>
      <c r="Q53" s="73" t="s">
        <v>290</v>
      </c>
      <c r="R53" s="74"/>
      <c r="S53" s="228"/>
      <c r="T53" s="252"/>
      <c r="U53" s="73"/>
      <c r="V53" s="220"/>
      <c r="W53" s="203"/>
      <c r="X53" s="119" t="s">
        <v>52</v>
      </c>
      <c r="Y53" s="249"/>
      <c r="Z53" s="249"/>
      <c r="AA53" s="224"/>
      <c r="AB53" s="74" t="s">
        <v>1301</v>
      </c>
      <c r="AC53" s="74"/>
      <c r="AD53" s="256">
        <v>1</v>
      </c>
    </row>
    <row r="54" spans="1:30" s="251" customFormat="1" ht="18" customHeight="1">
      <c r="A54" s="246">
        <v>29668</v>
      </c>
      <c r="B54" s="239">
        <v>1</v>
      </c>
      <c r="C54" s="259">
        <v>46113</v>
      </c>
      <c r="D54" s="239">
        <f ca="1">TODAY()-C54</f>
        <v>114</v>
      </c>
      <c r="E54" s="138" t="str">
        <f t="shared" si="1"/>
        <v>ADMITIDO</v>
      </c>
      <c r="F54" s="138" t="s">
        <v>28</v>
      </c>
      <c r="G54" s="117" t="s">
        <v>69</v>
      </c>
      <c r="H54" s="117" t="str">
        <f>X54</f>
        <v>ADMITIDO</v>
      </c>
      <c r="I54" s="117" t="str">
        <f>IF(X54="ADMITIDO","ADMITIDO",IF(X54="CANCELADA","CANCELADA",IF(H54="","",IFERROR(_xlfn.XLOOKUP(H54,Listas!I:I,Listas!J:J),"OUTROS"))))</f>
        <v>ADMITIDO</v>
      </c>
      <c r="J54" s="230" t="s">
        <v>268</v>
      </c>
      <c r="K54" s="117" t="s">
        <v>173</v>
      </c>
      <c r="L54" s="117"/>
      <c r="M54" s="117"/>
      <c r="N54" s="117" t="s">
        <v>33</v>
      </c>
      <c r="O54" s="117" t="s">
        <v>56</v>
      </c>
      <c r="P54" s="117" t="s">
        <v>35</v>
      </c>
      <c r="Q54" s="117" t="s">
        <v>176</v>
      </c>
      <c r="R54" s="241"/>
      <c r="S54" s="242" t="s">
        <v>65</v>
      </c>
      <c r="T54" s="260"/>
      <c r="U54" s="117" t="s">
        <v>76</v>
      </c>
      <c r="V54" s="216">
        <v>46136</v>
      </c>
      <c r="W54" s="118" t="s">
        <v>294</v>
      </c>
      <c r="X54" s="119" t="s">
        <v>40</v>
      </c>
      <c r="Y54" s="120">
        <v>46140</v>
      </c>
      <c r="Z54" s="120">
        <v>46141</v>
      </c>
      <c r="AA54" s="121">
        <v>914187</v>
      </c>
      <c r="AB54" s="241"/>
      <c r="AC54" s="241"/>
      <c r="AD54" s="256">
        <v>0</v>
      </c>
    </row>
    <row r="55" spans="1:30" s="251" customFormat="1" ht="18" customHeight="1">
      <c r="A55" s="246">
        <v>29602</v>
      </c>
      <c r="B55" s="105">
        <v>1</v>
      </c>
      <c r="C55" s="247">
        <v>46113</v>
      </c>
      <c r="D55" s="105">
        <f t="shared" ca="1" si="0"/>
        <v>114</v>
      </c>
      <c r="E55" s="138" t="str">
        <f t="shared" si="1"/>
        <v>ADMITIDO</v>
      </c>
      <c r="F55" s="138" t="s">
        <v>42</v>
      </c>
      <c r="G55" s="117" t="s">
        <v>29</v>
      </c>
      <c r="H55" s="117" t="str">
        <f>X55</f>
        <v>ADMITIDO</v>
      </c>
      <c r="I55" s="117" t="str">
        <f>IF(X55="ADMITIDO","ADMITIDO",IF(X55="CANCELADA","CANCELADA",IF(H55="","",IFERROR(_xlfn.XLOOKUP(H55,Listas!I:I,Listas!J:J),"OUTROS"))))</f>
        <v>ADMITIDO</v>
      </c>
      <c r="J55" s="248" t="s">
        <v>53</v>
      </c>
      <c r="K55" s="73" t="s">
        <v>54</v>
      </c>
      <c r="L55" s="73" t="s">
        <v>55</v>
      </c>
      <c r="M55" s="73"/>
      <c r="N55" s="73" t="s">
        <v>33</v>
      </c>
      <c r="O55" s="73" t="s">
        <v>34</v>
      </c>
      <c r="P55" s="73" t="s">
        <v>35</v>
      </c>
      <c r="Q55" s="73" t="s">
        <v>36</v>
      </c>
      <c r="R55" s="74"/>
      <c r="S55" s="228"/>
      <c r="T55" s="74" t="s">
        <v>295</v>
      </c>
      <c r="U55" s="73" t="s">
        <v>38</v>
      </c>
      <c r="V55" s="220">
        <v>46147</v>
      </c>
      <c r="W55" s="203" t="s">
        <v>296</v>
      </c>
      <c r="X55" s="119" t="s">
        <v>40</v>
      </c>
      <c r="Y55" s="249">
        <v>46150</v>
      </c>
      <c r="Z55" s="249">
        <v>46151</v>
      </c>
      <c r="AA55" s="224">
        <v>145934</v>
      </c>
      <c r="AB55" s="74"/>
      <c r="AC55" s="74"/>
      <c r="AD55" s="256">
        <v>0</v>
      </c>
    </row>
    <row r="56" spans="1:30" s="251" customFormat="1" ht="18" customHeight="1">
      <c r="A56" s="246">
        <v>29609</v>
      </c>
      <c r="B56" s="105">
        <v>1</v>
      </c>
      <c r="C56" s="247">
        <v>46113</v>
      </c>
      <c r="D56" s="105">
        <f t="shared" ca="1" si="0"/>
        <v>114</v>
      </c>
      <c r="E56" s="138" t="str">
        <f t="shared" si="1"/>
        <v>ADMITIDO</v>
      </c>
      <c r="F56" s="138" t="s">
        <v>42</v>
      </c>
      <c r="G56" s="117" t="s">
        <v>102</v>
      </c>
      <c r="H56" s="117" t="str">
        <f>X56</f>
        <v>ADMITIDO</v>
      </c>
      <c r="I56" s="117" t="str">
        <f>IF(X56="ADMITIDO","ADMITIDO",IF(X56="CANCELADA","CANCELADA",IF(H56="","",IFERROR(_xlfn.XLOOKUP(H56,Listas!I:I,Listas!J:J),"OUTROS"))))</f>
        <v>ADMITIDO</v>
      </c>
      <c r="J56" s="248" t="s">
        <v>53</v>
      </c>
      <c r="K56" s="73" t="s">
        <v>103</v>
      </c>
      <c r="L56" s="73" t="s">
        <v>297</v>
      </c>
      <c r="M56" s="73"/>
      <c r="N56" s="73" t="s">
        <v>33</v>
      </c>
      <c r="O56" s="73" t="s">
        <v>34</v>
      </c>
      <c r="P56" s="73" t="s">
        <v>57</v>
      </c>
      <c r="Q56" s="73" t="s">
        <v>98</v>
      </c>
      <c r="R56" s="74" t="s">
        <v>298</v>
      </c>
      <c r="S56" s="228"/>
      <c r="T56" s="74"/>
      <c r="U56" s="73" t="s">
        <v>76</v>
      </c>
      <c r="V56" s="220">
        <v>46132</v>
      </c>
      <c r="W56" s="203" t="s">
        <v>299</v>
      </c>
      <c r="X56" s="227" t="s">
        <v>40</v>
      </c>
      <c r="Y56" s="249">
        <v>46139</v>
      </c>
      <c r="Z56" s="249">
        <v>46140</v>
      </c>
      <c r="AA56" s="224">
        <v>145890</v>
      </c>
      <c r="AB56" s="74"/>
      <c r="AC56" s="74"/>
      <c r="AD56" s="256">
        <v>0</v>
      </c>
    </row>
    <row r="57" spans="1:30" s="251" customFormat="1" ht="18" customHeight="1">
      <c r="A57" s="97">
        <v>29649</v>
      </c>
      <c r="B57" s="105">
        <v>1</v>
      </c>
      <c r="C57" s="247">
        <v>46113</v>
      </c>
      <c r="D57" s="105">
        <f t="shared" ca="1" si="0"/>
        <v>114</v>
      </c>
      <c r="E57" s="138" t="str">
        <f t="shared" si="1"/>
        <v>ADMITIDO</v>
      </c>
      <c r="F57" s="138" t="s">
        <v>42</v>
      </c>
      <c r="G57" s="117" t="s">
        <v>145</v>
      </c>
      <c r="H57" s="117" t="str">
        <f>X57</f>
        <v>ADMITIDO</v>
      </c>
      <c r="I57" s="117" t="str">
        <f>IF(X57="ADMITIDO","ADMITIDO",IF(X57="CANCELADA","CANCELADA",IF(H57="","",IFERROR(_xlfn.XLOOKUP(H57,Listas!I:I,Listas!J:J),"OUTROS"))))</f>
        <v>ADMITIDO</v>
      </c>
      <c r="J57" s="248" t="s">
        <v>53</v>
      </c>
      <c r="K57" s="73" t="s">
        <v>103</v>
      </c>
      <c r="L57" s="73" t="s">
        <v>104</v>
      </c>
      <c r="M57" s="73"/>
      <c r="N57" s="73" t="s">
        <v>33</v>
      </c>
      <c r="O57" s="73" t="s">
        <v>34</v>
      </c>
      <c r="P57" s="73" t="s">
        <v>48</v>
      </c>
      <c r="Q57" s="73" t="s">
        <v>49</v>
      </c>
      <c r="R57" s="74"/>
      <c r="S57" s="228" t="s">
        <v>1302</v>
      </c>
      <c r="T57" s="74"/>
      <c r="U57" s="73" t="s">
        <v>109</v>
      </c>
      <c r="V57" s="220">
        <v>46161</v>
      </c>
      <c r="W57" s="203" t="s">
        <v>1303</v>
      </c>
      <c r="X57" s="227" t="s">
        <v>40</v>
      </c>
      <c r="Y57" s="249">
        <v>46164</v>
      </c>
      <c r="Z57" s="249">
        <v>46168</v>
      </c>
      <c r="AA57" s="224">
        <v>146003</v>
      </c>
      <c r="AB57" s="74"/>
      <c r="AC57" s="74"/>
      <c r="AD57" s="256">
        <v>0</v>
      </c>
    </row>
    <row r="58" spans="1:30" s="251" customFormat="1" ht="18" customHeight="1">
      <c r="A58" s="246">
        <v>29689</v>
      </c>
      <c r="B58" s="105">
        <v>1</v>
      </c>
      <c r="C58" s="247">
        <v>46113</v>
      </c>
      <c r="D58" s="105">
        <f t="shared" ca="1" si="0"/>
        <v>114</v>
      </c>
      <c r="E58" s="138" t="str">
        <f t="shared" si="1"/>
        <v>ADMITIDO</v>
      </c>
      <c r="F58" s="138" t="s">
        <v>42</v>
      </c>
      <c r="G58" s="117" t="s">
        <v>240</v>
      </c>
      <c r="H58" s="117" t="str">
        <f>X58</f>
        <v>ADMITIDO</v>
      </c>
      <c r="I58" s="117" t="str">
        <f>IF(X58="ADMITIDO","ADMITIDO",IF(X58="CANCELADA","CANCELADA",IF(H58="","",IFERROR(_xlfn.XLOOKUP(H58,Listas!I:I,Listas!J:J),"OUTROS"))))</f>
        <v>ADMITIDO</v>
      </c>
      <c r="J58" s="248" t="s">
        <v>53</v>
      </c>
      <c r="K58" s="73" t="s">
        <v>241</v>
      </c>
      <c r="L58" s="73" t="s">
        <v>300</v>
      </c>
      <c r="M58" s="73"/>
      <c r="N58" s="73" t="s">
        <v>33</v>
      </c>
      <c r="O58" s="73" t="s">
        <v>34</v>
      </c>
      <c r="P58" s="73" t="s">
        <v>57</v>
      </c>
      <c r="Q58" s="73" t="s">
        <v>231</v>
      </c>
      <c r="R58" s="74" t="s">
        <v>301</v>
      </c>
      <c r="S58" s="228"/>
      <c r="T58" s="74" t="s">
        <v>302</v>
      </c>
      <c r="U58" s="73" t="s">
        <v>132</v>
      </c>
      <c r="V58" s="220">
        <v>46135</v>
      </c>
      <c r="W58" s="203" t="s">
        <v>303</v>
      </c>
      <c r="X58" s="227" t="s">
        <v>40</v>
      </c>
      <c r="Y58" s="120">
        <v>46140</v>
      </c>
      <c r="Z58" s="120">
        <v>46141</v>
      </c>
      <c r="AA58" s="224">
        <v>145901</v>
      </c>
      <c r="AB58" s="74" t="s">
        <v>304</v>
      </c>
      <c r="AC58" s="74"/>
      <c r="AD58" s="256">
        <v>0</v>
      </c>
    </row>
    <row r="59" spans="1:30" s="251" customFormat="1" ht="18" customHeight="1">
      <c r="A59" s="246">
        <v>29604</v>
      </c>
      <c r="B59" s="105">
        <v>1</v>
      </c>
      <c r="C59" s="247">
        <v>46113</v>
      </c>
      <c r="D59" s="105">
        <f t="shared" ca="1" si="0"/>
        <v>114</v>
      </c>
      <c r="E59" s="138" t="str">
        <f t="shared" si="1"/>
        <v>ADMITIDO</v>
      </c>
      <c r="F59" s="138" t="s">
        <v>42</v>
      </c>
      <c r="G59" s="117" t="s">
        <v>29</v>
      </c>
      <c r="H59" s="117" t="s">
        <v>40</v>
      </c>
      <c r="I59" s="117" t="str">
        <f>IF(X59="ADMITIDO","ADMITIDO",IF(X59="CANCELADA","CANCELADA",IF(H59="","",IFERROR(_xlfn.XLOOKUP(H59,Listas!I:I,Listas!J:J),"OUTROS"))))</f>
        <v>ADMITIDO</v>
      </c>
      <c r="J59" s="248" t="s">
        <v>53</v>
      </c>
      <c r="K59" s="73" t="s">
        <v>54</v>
      </c>
      <c r="L59" s="73" t="s">
        <v>164</v>
      </c>
      <c r="M59" s="73"/>
      <c r="N59" s="73" t="s">
        <v>88</v>
      </c>
      <c r="O59" s="73" t="s">
        <v>34</v>
      </c>
      <c r="P59" s="73" t="s">
        <v>57</v>
      </c>
      <c r="Q59" s="73" t="s">
        <v>94</v>
      </c>
      <c r="R59" s="74"/>
      <c r="S59" s="228"/>
      <c r="T59" s="74"/>
      <c r="U59" s="73" t="s">
        <v>38</v>
      </c>
      <c r="V59" s="220">
        <v>46154</v>
      </c>
      <c r="W59" s="203" t="s">
        <v>305</v>
      </c>
      <c r="X59" s="119" t="s">
        <v>40</v>
      </c>
      <c r="Y59" s="249">
        <v>46157</v>
      </c>
      <c r="Z59" s="249">
        <v>46158</v>
      </c>
      <c r="AA59" s="224">
        <v>145944</v>
      </c>
      <c r="AB59" s="74" t="s">
        <v>306</v>
      </c>
      <c r="AC59" s="74"/>
      <c r="AD59" s="256">
        <v>1</v>
      </c>
    </row>
    <row r="60" spans="1:30" s="251" customFormat="1" ht="18" customHeight="1">
      <c r="A60" s="97">
        <v>29684</v>
      </c>
      <c r="B60" s="105">
        <v>1</v>
      </c>
      <c r="C60" s="247">
        <v>46113</v>
      </c>
      <c r="D60" s="105">
        <f t="shared" ca="1" si="0"/>
        <v>114</v>
      </c>
      <c r="E60" s="117" t="str">
        <f t="shared" si="1"/>
        <v>CANCELADA</v>
      </c>
      <c r="F60" s="138" t="s">
        <v>42</v>
      </c>
      <c r="G60" s="117" t="s">
        <v>240</v>
      </c>
      <c r="H60" s="117" t="s">
        <v>52</v>
      </c>
      <c r="I60" s="117" t="str">
        <f>IF(X60="ADMITIDO","ADMITIDO",IF(X60="CANCELADA","CANCELADA",IF(H60="","",IFERROR(_xlfn.XLOOKUP(H60,Listas!I:I,Listas!J:J),"OUTROS"))))</f>
        <v>CANCELADA</v>
      </c>
      <c r="J60" s="248" t="s">
        <v>44</v>
      </c>
      <c r="K60" s="73" t="s">
        <v>241</v>
      </c>
      <c r="L60" s="73" t="s">
        <v>307</v>
      </c>
      <c r="M60" s="73"/>
      <c r="N60" s="73" t="s">
        <v>243</v>
      </c>
      <c r="O60" s="73" t="s">
        <v>34</v>
      </c>
      <c r="P60" s="73" t="s">
        <v>57</v>
      </c>
      <c r="Q60" s="73" t="s">
        <v>308</v>
      </c>
      <c r="R60" s="74"/>
      <c r="S60" s="228"/>
      <c r="T60" s="74"/>
      <c r="U60" s="73"/>
      <c r="V60" s="220"/>
      <c r="W60" s="203"/>
      <c r="X60" s="227" t="s">
        <v>52</v>
      </c>
      <c r="Y60" s="249"/>
      <c r="Z60" s="249"/>
      <c r="AA60" s="224"/>
      <c r="AB60" s="74"/>
      <c r="AC60" s="74"/>
      <c r="AD60" s="256">
        <v>0</v>
      </c>
    </row>
    <row r="61" spans="1:30" s="251" customFormat="1" ht="18" customHeight="1">
      <c r="A61" s="97">
        <v>29685</v>
      </c>
      <c r="B61" s="105">
        <v>1</v>
      </c>
      <c r="C61" s="247">
        <v>46113</v>
      </c>
      <c r="D61" s="105">
        <f t="shared" ca="1" si="0"/>
        <v>114</v>
      </c>
      <c r="E61" s="138" t="str">
        <f t="shared" si="1"/>
        <v>ADMITIDO</v>
      </c>
      <c r="F61" s="138" t="s">
        <v>42</v>
      </c>
      <c r="G61" s="117" t="s">
        <v>240</v>
      </c>
      <c r="H61" s="117" t="str">
        <f>X61</f>
        <v>ADMITIDO</v>
      </c>
      <c r="I61" s="117" t="str">
        <f>IF(X61="ADMITIDO","ADMITIDO",IF(X61="CANCELADA","CANCELADA",IF(H61="","",IFERROR(_xlfn.XLOOKUP(H61,Listas!I:I,Listas!J:J),"OUTROS"))))</f>
        <v>ADMITIDO</v>
      </c>
      <c r="J61" s="248" t="s">
        <v>44</v>
      </c>
      <c r="K61" s="73" t="s">
        <v>241</v>
      </c>
      <c r="L61" s="73" t="s">
        <v>307</v>
      </c>
      <c r="M61" s="73"/>
      <c r="N61" s="73" t="s">
        <v>243</v>
      </c>
      <c r="O61" s="73" t="s">
        <v>34</v>
      </c>
      <c r="P61" s="73" t="s">
        <v>57</v>
      </c>
      <c r="Q61" s="73" t="s">
        <v>309</v>
      </c>
      <c r="R61" s="74"/>
      <c r="S61" s="228"/>
      <c r="T61" s="74" t="s">
        <v>310</v>
      </c>
      <c r="U61" s="73" t="s">
        <v>132</v>
      </c>
      <c r="V61" s="220">
        <v>46132</v>
      </c>
      <c r="W61" s="203" t="s">
        <v>311</v>
      </c>
      <c r="X61" s="227" t="s">
        <v>40</v>
      </c>
      <c r="Y61" s="249">
        <v>46132</v>
      </c>
      <c r="Z61" s="249">
        <v>46134</v>
      </c>
      <c r="AA61" s="224">
        <v>145868</v>
      </c>
      <c r="AB61" s="74"/>
      <c r="AC61" s="74"/>
      <c r="AD61" s="256">
        <v>0</v>
      </c>
    </row>
    <row r="62" spans="1:30" s="251" customFormat="1" ht="18" customHeight="1">
      <c r="A62" s="97">
        <v>29671</v>
      </c>
      <c r="B62" s="105">
        <v>1</v>
      </c>
      <c r="C62" s="247">
        <v>46113</v>
      </c>
      <c r="D62" s="105">
        <f t="shared" ca="1" si="0"/>
        <v>114</v>
      </c>
      <c r="E62" s="138" t="str">
        <f t="shared" si="1"/>
        <v>ADMITIDO</v>
      </c>
      <c r="F62" s="138" t="s">
        <v>42</v>
      </c>
      <c r="G62" s="117" t="s">
        <v>240</v>
      </c>
      <c r="H62" s="117" t="s">
        <v>40</v>
      </c>
      <c r="I62" s="117" t="str">
        <f>IF(X62="ADMITIDO","ADMITIDO",IF(X62="CANCELADA","CANCELADA",IF(H62="","",IFERROR(_xlfn.XLOOKUP(H62,Listas!I:I,Listas!J:J),"OUTROS"))))</f>
        <v>ADMITIDO</v>
      </c>
      <c r="J62" s="248" t="s">
        <v>53</v>
      </c>
      <c r="K62" s="73" t="s">
        <v>241</v>
      </c>
      <c r="L62" s="73" t="s">
        <v>312</v>
      </c>
      <c r="M62" s="73"/>
      <c r="N62" s="73" t="s">
        <v>243</v>
      </c>
      <c r="O62" s="73" t="s">
        <v>34</v>
      </c>
      <c r="P62" s="73" t="s">
        <v>57</v>
      </c>
      <c r="Q62" s="73" t="s">
        <v>313</v>
      </c>
      <c r="R62" s="74" t="s">
        <v>314</v>
      </c>
      <c r="S62" s="228"/>
      <c r="T62" s="74" t="s">
        <v>315</v>
      </c>
      <c r="U62" s="73" t="s">
        <v>109</v>
      </c>
      <c r="V62" s="220">
        <v>46141</v>
      </c>
      <c r="W62" s="203" t="s">
        <v>316</v>
      </c>
      <c r="X62" s="73" t="s">
        <v>40</v>
      </c>
      <c r="Y62" s="249">
        <v>46146</v>
      </c>
      <c r="Z62" s="249">
        <v>46148</v>
      </c>
      <c r="AA62" s="224">
        <v>914213</v>
      </c>
      <c r="AB62" s="74" t="s">
        <v>317</v>
      </c>
      <c r="AC62" s="74"/>
      <c r="AD62" s="256">
        <v>0</v>
      </c>
    </row>
    <row r="63" spans="1:30" s="251" customFormat="1" ht="18" customHeight="1">
      <c r="A63" s="611">
        <v>29694</v>
      </c>
      <c r="B63" s="105">
        <v>1</v>
      </c>
      <c r="C63" s="247">
        <v>46113</v>
      </c>
      <c r="D63" s="105">
        <f t="shared" ca="1" si="0"/>
        <v>114</v>
      </c>
      <c r="E63" s="138" t="str">
        <f t="shared" si="1"/>
        <v>ADMITIDO</v>
      </c>
      <c r="F63" s="138" t="s">
        <v>171</v>
      </c>
      <c r="G63" s="117" t="s">
        <v>145</v>
      </c>
      <c r="H63" s="117" t="s">
        <v>40</v>
      </c>
      <c r="I63" s="117" t="str">
        <f>IF(X63="ADMITIDO","ADMITIDO",IF(X63="CANCELADA","CANCELADA",IF(H63="","",IFERROR(_xlfn.XLOOKUP(H63,Listas!I:I,Listas!J:J),"OUTROS"))))</f>
        <v>ADMITIDO</v>
      </c>
      <c r="J63" s="248" t="s">
        <v>172</v>
      </c>
      <c r="K63" s="73" t="s">
        <v>318</v>
      </c>
      <c r="L63" s="73" t="s">
        <v>319</v>
      </c>
      <c r="M63" s="73"/>
      <c r="N63" s="73" t="s">
        <v>33</v>
      </c>
      <c r="O63" s="73" t="s">
        <v>56</v>
      </c>
      <c r="P63" s="73" t="s">
        <v>35</v>
      </c>
      <c r="Q63" s="73" t="s">
        <v>176</v>
      </c>
      <c r="R63" s="74" t="s">
        <v>320</v>
      </c>
      <c r="S63" s="228"/>
      <c r="T63" s="74" t="s">
        <v>321</v>
      </c>
      <c r="U63" s="73" t="s">
        <v>109</v>
      </c>
      <c r="V63" s="220">
        <v>46149</v>
      </c>
      <c r="W63" s="203" t="s">
        <v>322</v>
      </c>
      <c r="X63" s="117" t="s">
        <v>40</v>
      </c>
      <c r="Y63" s="249">
        <v>46150</v>
      </c>
      <c r="Z63" s="249">
        <v>46153</v>
      </c>
      <c r="AA63" s="224">
        <v>83281</v>
      </c>
      <c r="AB63" s="74"/>
      <c r="AC63" s="74"/>
      <c r="AD63" s="256">
        <v>0</v>
      </c>
    </row>
    <row r="64" spans="1:30" s="251" customFormat="1" ht="18" customHeight="1">
      <c r="A64" s="611"/>
      <c r="B64" s="105">
        <v>1</v>
      </c>
      <c r="C64" s="247">
        <v>46113</v>
      </c>
      <c r="D64" s="105">
        <f t="shared" ca="1" si="0"/>
        <v>114</v>
      </c>
      <c r="E64" s="138" t="str">
        <f t="shared" si="1"/>
        <v>ADMITIDO</v>
      </c>
      <c r="F64" s="138" t="s">
        <v>171</v>
      </c>
      <c r="G64" s="117" t="s">
        <v>145</v>
      </c>
      <c r="H64" s="117" t="s">
        <v>40</v>
      </c>
      <c r="I64" s="117" t="str">
        <f>IF(X64="ADMITIDO","ADMITIDO",IF(X64="CANCELADA","CANCELADA",IF(H64="","",IFERROR(_xlfn.XLOOKUP(H64,Listas!I:I,Listas!J:J),"OUTROS"))))</f>
        <v>ADMITIDO</v>
      </c>
      <c r="J64" s="248" t="s">
        <v>172</v>
      </c>
      <c r="K64" s="73" t="s">
        <v>318</v>
      </c>
      <c r="L64" s="73" t="s">
        <v>319</v>
      </c>
      <c r="M64" s="73"/>
      <c r="N64" s="248" t="s">
        <v>63</v>
      </c>
      <c r="O64" s="73" t="s">
        <v>56</v>
      </c>
      <c r="P64" s="73" t="s">
        <v>35</v>
      </c>
      <c r="Q64" s="73" t="s">
        <v>176</v>
      </c>
      <c r="R64" s="74" t="s">
        <v>323</v>
      </c>
      <c r="S64" s="228" t="s">
        <v>65</v>
      </c>
      <c r="T64" s="74" t="s">
        <v>324</v>
      </c>
      <c r="U64" s="73" t="s">
        <v>132</v>
      </c>
      <c r="V64" s="220">
        <v>46153</v>
      </c>
      <c r="W64" s="203" t="s">
        <v>325</v>
      </c>
      <c r="X64" s="117" t="s">
        <v>40</v>
      </c>
      <c r="Y64" s="249">
        <v>46155</v>
      </c>
      <c r="Z64" s="249">
        <v>46157</v>
      </c>
      <c r="AA64" s="224">
        <v>83289</v>
      </c>
      <c r="AB64" s="74"/>
      <c r="AC64" s="74"/>
      <c r="AD64" s="256">
        <v>0</v>
      </c>
    </row>
    <row r="65" spans="1:30" s="251" customFormat="1" ht="18" customHeight="1">
      <c r="A65" s="246">
        <v>29641</v>
      </c>
      <c r="B65" s="105">
        <v>1</v>
      </c>
      <c r="C65" s="247">
        <v>46113</v>
      </c>
      <c r="D65" s="105">
        <f t="shared" ca="1" si="0"/>
        <v>114</v>
      </c>
      <c r="E65" s="138" t="str">
        <f t="shared" si="1"/>
        <v>ADMITIDO</v>
      </c>
      <c r="F65" s="138" t="s">
        <v>28</v>
      </c>
      <c r="G65" s="117" t="s">
        <v>102</v>
      </c>
      <c r="H65" s="117" t="str">
        <f>X65</f>
        <v>ADMITIDO</v>
      </c>
      <c r="I65" s="117" t="str">
        <f>IF(X65="ADMITIDO","ADMITIDO",IF(X65="CANCELADA","CANCELADA",IF(H65="","",IFERROR(_xlfn.XLOOKUP(H65,Listas!I:I,Listas!J:J),"OUTROS"))))</f>
        <v>ADMITIDO</v>
      </c>
      <c r="J65" s="248" t="s">
        <v>268</v>
      </c>
      <c r="K65" s="73" t="s">
        <v>326</v>
      </c>
      <c r="L65" s="73" t="s">
        <v>327</v>
      </c>
      <c r="M65" s="73"/>
      <c r="N65" s="73" t="s">
        <v>33</v>
      </c>
      <c r="O65" s="73" t="s">
        <v>56</v>
      </c>
      <c r="P65" s="73" t="s">
        <v>35</v>
      </c>
      <c r="Q65" s="73" t="s">
        <v>176</v>
      </c>
      <c r="R65" s="74" t="s">
        <v>328</v>
      </c>
      <c r="S65" s="228"/>
      <c r="T65" s="74"/>
      <c r="U65" s="73" t="s">
        <v>67</v>
      </c>
      <c r="V65" s="220">
        <v>46129</v>
      </c>
      <c r="W65" s="203" t="s">
        <v>329</v>
      </c>
      <c r="X65" s="227" t="s">
        <v>40</v>
      </c>
      <c r="Y65" s="249">
        <v>46139</v>
      </c>
      <c r="Z65" s="249">
        <v>46140</v>
      </c>
      <c r="AA65" s="224">
        <v>914183</v>
      </c>
      <c r="AB65" s="74"/>
      <c r="AC65" s="74"/>
      <c r="AD65" s="256">
        <v>0</v>
      </c>
    </row>
    <row r="66" spans="1:30" s="251" customFormat="1" ht="18" customHeight="1">
      <c r="A66" s="97">
        <v>29679</v>
      </c>
      <c r="B66" s="105">
        <v>1</v>
      </c>
      <c r="C66" s="247">
        <v>46113</v>
      </c>
      <c r="D66" s="105">
        <f t="shared" ca="1" si="0"/>
        <v>114</v>
      </c>
      <c r="E66" s="138" t="str">
        <f t="shared" si="1"/>
        <v>ADMITIDO</v>
      </c>
      <c r="F66" s="138" t="s">
        <v>28</v>
      </c>
      <c r="G66" s="117" t="s">
        <v>60</v>
      </c>
      <c r="H66" s="117" t="str">
        <f>X66</f>
        <v>ADMITIDO</v>
      </c>
      <c r="I66" s="117" t="str">
        <f>IF(X66="ADMITIDO","ADMITIDO",IF(X66="CANCELADA","CANCELADA",IF(H66="","",IFERROR(_xlfn.XLOOKUP(H66,Listas!I:I,Listas!J:J),"OUTROS"))))</f>
        <v>ADMITIDO</v>
      </c>
      <c r="J66" s="248" t="s">
        <v>268</v>
      </c>
      <c r="K66" s="73" t="s">
        <v>330</v>
      </c>
      <c r="L66" s="73" t="s">
        <v>331</v>
      </c>
      <c r="M66" s="73"/>
      <c r="N66" s="73" t="s">
        <v>33</v>
      </c>
      <c r="O66" s="73" t="s">
        <v>34</v>
      </c>
      <c r="P66" s="73" t="s">
        <v>35</v>
      </c>
      <c r="Q66" s="73" t="s">
        <v>36</v>
      </c>
      <c r="R66" s="74"/>
      <c r="S66" s="228"/>
      <c r="T66" s="74" t="s">
        <v>332</v>
      </c>
      <c r="U66" s="73" t="s">
        <v>76</v>
      </c>
      <c r="V66" s="220">
        <v>46140</v>
      </c>
      <c r="W66" s="203" t="s">
        <v>333</v>
      </c>
      <c r="X66" s="227" t="s">
        <v>40</v>
      </c>
      <c r="Y66" s="249">
        <v>46142</v>
      </c>
      <c r="Z66" s="249">
        <v>46147</v>
      </c>
      <c r="AA66" s="224">
        <v>914207</v>
      </c>
      <c r="AB66" s="74"/>
      <c r="AC66" s="74"/>
      <c r="AD66" s="256">
        <v>0</v>
      </c>
    </row>
    <row r="67" spans="1:30" s="251" customFormat="1" ht="18" customHeight="1">
      <c r="A67" s="97">
        <v>29660</v>
      </c>
      <c r="B67" s="105">
        <v>1</v>
      </c>
      <c r="C67" s="247">
        <v>46113</v>
      </c>
      <c r="D67" s="105">
        <f t="shared" ca="1" si="0"/>
        <v>114</v>
      </c>
      <c r="E67" s="138" t="str">
        <f t="shared" ref="E67:E129" si="2">IF(X67="ADMITIDO","ADMITIDO",IF(X67="CANCELADA","CANCELADA",IF(H67="","",IF(H67="ADMITIDO","ADMITIDO",IF(H67="CANCELADA","CANCELADA",IF(OR(H67="ANALISE CANCELAMENTO",H67="ANÁLISE CANCELAMENTO"),"EM ANÁLISE",IF(D67="","",IF(D67&lt;=7,"NO PRAZO",IF(D67&lt;=14,"ATENÇÃO","CRÍTICO")))))))))</f>
        <v>ADMITIDO</v>
      </c>
      <c r="F67" s="138" t="s">
        <v>28</v>
      </c>
      <c r="G67" s="117" t="s">
        <v>43</v>
      </c>
      <c r="H67" s="117" t="str">
        <f>X67</f>
        <v>ADMITIDO</v>
      </c>
      <c r="I67" s="117" t="str">
        <f>IF(X67="ADMITIDO","ADMITIDO",IF(X67="CANCELADA","CANCELADA",IF(H67="","",IFERROR(_xlfn.XLOOKUP(H67,Listas!I:I,Listas!J:J),"OUTROS"))))</f>
        <v>ADMITIDO</v>
      </c>
      <c r="J67" s="248" t="s">
        <v>268</v>
      </c>
      <c r="K67" s="73" t="s">
        <v>335</v>
      </c>
      <c r="L67" s="73" t="s">
        <v>336</v>
      </c>
      <c r="M67" s="73"/>
      <c r="N67" s="73" t="s">
        <v>337</v>
      </c>
      <c r="O67" s="73" t="s">
        <v>56</v>
      </c>
      <c r="P67" s="73" t="s">
        <v>35</v>
      </c>
      <c r="Q67" s="73" t="s">
        <v>176</v>
      </c>
      <c r="R67" s="74" t="s">
        <v>338</v>
      </c>
      <c r="S67" s="228"/>
      <c r="T67" s="252">
        <v>15974019115</v>
      </c>
      <c r="U67" s="73" t="s">
        <v>67</v>
      </c>
      <c r="V67" s="220">
        <v>46150</v>
      </c>
      <c r="W67" s="203" t="s">
        <v>339</v>
      </c>
      <c r="X67" s="119" t="s">
        <v>40</v>
      </c>
      <c r="Y67" s="249">
        <v>46158</v>
      </c>
      <c r="Z67" s="249">
        <v>46158</v>
      </c>
      <c r="AA67" s="224">
        <v>914279</v>
      </c>
      <c r="AB67" s="74" t="s">
        <v>342</v>
      </c>
      <c r="AC67" s="74"/>
      <c r="AD67" s="256">
        <v>0</v>
      </c>
    </row>
    <row r="68" spans="1:30" s="251" customFormat="1" ht="18" customHeight="1">
      <c r="A68" s="97">
        <v>29703</v>
      </c>
      <c r="B68" s="105">
        <v>1</v>
      </c>
      <c r="C68" s="247">
        <v>46114</v>
      </c>
      <c r="D68" s="105">
        <f t="shared" ref="D68:D131" ca="1" si="3">TODAY()-C68</f>
        <v>113</v>
      </c>
      <c r="E68" s="138" t="str">
        <f t="shared" si="2"/>
        <v>ADMITIDO</v>
      </c>
      <c r="F68" s="138" t="s">
        <v>42</v>
      </c>
      <c r="G68" s="117" t="s">
        <v>69</v>
      </c>
      <c r="H68" s="117" t="s">
        <v>40</v>
      </c>
      <c r="I68" s="117" t="str">
        <f>IF(X68="ADMITIDO","ADMITIDO",IF(X68="CANCELADA","CANCELADA",IF(H68="","",IFERROR(_xlfn.XLOOKUP(H68,Listas!I:I,Listas!J:J),"OUTROS"))))</f>
        <v>ADMITIDO</v>
      </c>
      <c r="J68" s="248" t="s">
        <v>53</v>
      </c>
      <c r="K68" s="73" t="s">
        <v>70</v>
      </c>
      <c r="L68" s="73" t="s">
        <v>343</v>
      </c>
      <c r="M68" s="73"/>
      <c r="N68" s="73" t="s">
        <v>63</v>
      </c>
      <c r="O68" s="73" t="s">
        <v>34</v>
      </c>
      <c r="P68" s="73" t="s">
        <v>219</v>
      </c>
      <c r="Q68" s="73" t="s">
        <v>238</v>
      </c>
      <c r="R68" s="74"/>
      <c r="S68" s="228" t="s">
        <v>65</v>
      </c>
      <c r="T68" s="74"/>
      <c r="U68" s="73" t="s">
        <v>76</v>
      </c>
      <c r="V68" s="220">
        <v>46146</v>
      </c>
      <c r="W68" s="203" t="s">
        <v>344</v>
      </c>
      <c r="X68" s="227" t="s">
        <v>40</v>
      </c>
      <c r="Y68" s="249">
        <v>46156</v>
      </c>
      <c r="Z68" s="249">
        <v>46157</v>
      </c>
      <c r="AA68" s="224">
        <v>914283</v>
      </c>
      <c r="AB68" s="74" t="s">
        <v>345</v>
      </c>
      <c r="AC68" s="74"/>
      <c r="AD68" s="256">
        <v>0</v>
      </c>
    </row>
    <row r="69" spans="1:30" s="251" customFormat="1" ht="18" customHeight="1">
      <c r="A69" s="97">
        <v>29705</v>
      </c>
      <c r="B69" s="105">
        <v>1</v>
      </c>
      <c r="C69" s="247">
        <v>46114</v>
      </c>
      <c r="D69" s="105">
        <f t="shared" ca="1" si="3"/>
        <v>113</v>
      </c>
      <c r="E69" s="138" t="str">
        <f t="shared" si="2"/>
        <v>CANCELADA</v>
      </c>
      <c r="F69" s="138" t="s">
        <v>42</v>
      </c>
      <c r="G69" s="117" t="s">
        <v>29</v>
      </c>
      <c r="H69" s="117" t="s">
        <v>52</v>
      </c>
      <c r="I69" s="117" t="str">
        <f>IF(X69="ADMITIDO","ADMITIDO",IF(X69="CANCELADA","CANCELADA",IF(H69="","",IFERROR(_xlfn.XLOOKUP(H69,Listas!I:I,Listas!J:J),"OUTROS"))))</f>
        <v>CANCELADA</v>
      </c>
      <c r="J69" s="248" t="s">
        <v>346</v>
      </c>
      <c r="K69" s="73" t="s">
        <v>347</v>
      </c>
      <c r="L69" s="73" t="s">
        <v>348</v>
      </c>
      <c r="M69" s="73"/>
      <c r="N69" s="73" t="s">
        <v>33</v>
      </c>
      <c r="O69" s="73" t="s">
        <v>34</v>
      </c>
      <c r="P69" s="73" t="s">
        <v>57</v>
      </c>
      <c r="Q69" s="73" t="s">
        <v>349</v>
      </c>
      <c r="R69" s="74" t="s">
        <v>350</v>
      </c>
      <c r="S69" s="228"/>
      <c r="T69" s="74"/>
      <c r="U69" s="73"/>
      <c r="V69" s="220"/>
      <c r="W69" s="203"/>
      <c r="X69" s="227" t="s">
        <v>52</v>
      </c>
      <c r="Y69" s="249"/>
      <c r="Z69" s="249"/>
      <c r="AA69" s="224"/>
      <c r="AB69" s="74"/>
      <c r="AC69" s="74"/>
      <c r="AD69" s="256">
        <v>0</v>
      </c>
    </row>
    <row r="70" spans="1:30" s="251" customFormat="1" ht="18" customHeight="1">
      <c r="A70" s="97">
        <v>29698</v>
      </c>
      <c r="B70" s="105">
        <v>1</v>
      </c>
      <c r="C70" s="247">
        <v>46114</v>
      </c>
      <c r="D70" s="105">
        <f t="shared" ca="1" si="3"/>
        <v>113</v>
      </c>
      <c r="E70" s="138" t="str">
        <f t="shared" si="2"/>
        <v>ADMITIDO</v>
      </c>
      <c r="F70" s="138" t="s">
        <v>42</v>
      </c>
      <c r="G70" s="117" t="s">
        <v>240</v>
      </c>
      <c r="H70" s="117" t="str">
        <f>X70</f>
        <v>ADMITIDO</v>
      </c>
      <c r="I70" s="117" t="str">
        <f>IF(X70="ADMITIDO","ADMITIDO",IF(X70="CANCELADA","CANCELADA",IF(H70="","",IFERROR(_xlfn.XLOOKUP(H70,Listas!I:I,Listas!J:J),"OUTROS"))))</f>
        <v>ADMITIDO</v>
      </c>
      <c r="J70" s="248" t="s">
        <v>44</v>
      </c>
      <c r="K70" s="73" t="s">
        <v>241</v>
      </c>
      <c r="L70" s="73" t="s">
        <v>351</v>
      </c>
      <c r="M70" s="73"/>
      <c r="N70" s="73" t="s">
        <v>63</v>
      </c>
      <c r="O70" s="73" t="s">
        <v>34</v>
      </c>
      <c r="P70" s="73" t="s">
        <v>57</v>
      </c>
      <c r="Q70" s="73" t="s">
        <v>352</v>
      </c>
      <c r="R70" s="74" t="s">
        <v>353</v>
      </c>
      <c r="S70" s="228"/>
      <c r="T70" s="74" t="s">
        <v>354</v>
      </c>
      <c r="U70" s="73" t="s">
        <v>76</v>
      </c>
      <c r="V70" s="220">
        <v>46147</v>
      </c>
      <c r="W70" s="203" t="s">
        <v>355</v>
      </c>
      <c r="X70" s="73" t="s">
        <v>40</v>
      </c>
      <c r="Y70" s="249">
        <v>46149</v>
      </c>
      <c r="Z70" s="249">
        <v>46153</v>
      </c>
      <c r="AA70" s="224">
        <v>914238</v>
      </c>
      <c r="AB70" s="74" t="s">
        <v>356</v>
      </c>
      <c r="AC70" s="74"/>
      <c r="AD70" s="256">
        <v>0</v>
      </c>
    </row>
    <row r="71" spans="1:30" s="251" customFormat="1" ht="18" customHeight="1">
      <c r="A71" s="246">
        <v>29696</v>
      </c>
      <c r="B71" s="105">
        <v>1</v>
      </c>
      <c r="C71" s="247">
        <v>46114</v>
      </c>
      <c r="D71" s="105">
        <f t="shared" ca="1" si="3"/>
        <v>113</v>
      </c>
      <c r="E71" s="138" t="str">
        <f t="shared" si="2"/>
        <v>ADMITIDO</v>
      </c>
      <c r="F71" s="138" t="s">
        <v>28</v>
      </c>
      <c r="G71" s="117" t="s">
        <v>43</v>
      </c>
      <c r="H71" s="117" t="str">
        <f>X71</f>
        <v>ADMITIDO</v>
      </c>
      <c r="I71" s="117" t="str">
        <f>IF(X71="ADMITIDO","ADMITIDO",IF(X71="CANCELADA","CANCELADA",IF(H71="","",IFERROR(_xlfn.XLOOKUP(H71,Listas!I:I,Listas!J:J),"OUTROS"))))</f>
        <v>ADMITIDO</v>
      </c>
      <c r="J71" s="248" t="s">
        <v>268</v>
      </c>
      <c r="K71" s="73" t="s">
        <v>285</v>
      </c>
      <c r="L71" s="73" t="s">
        <v>286</v>
      </c>
      <c r="M71" s="73"/>
      <c r="N71" s="73" t="s">
        <v>33</v>
      </c>
      <c r="O71" s="73" t="s">
        <v>56</v>
      </c>
      <c r="P71" s="73" t="s">
        <v>35</v>
      </c>
      <c r="Q71" s="73" t="s">
        <v>357</v>
      </c>
      <c r="R71" s="74"/>
      <c r="S71" s="228"/>
      <c r="T71" s="252"/>
      <c r="U71" s="73" t="s">
        <v>50</v>
      </c>
      <c r="V71" s="220">
        <v>46128</v>
      </c>
      <c r="W71" s="203" t="s">
        <v>358</v>
      </c>
      <c r="X71" s="227" t="s">
        <v>40</v>
      </c>
      <c r="Y71" s="249">
        <v>46141</v>
      </c>
      <c r="Z71" s="249">
        <v>46147</v>
      </c>
      <c r="AA71" s="224">
        <v>914185</v>
      </c>
      <c r="AB71" s="74" t="s">
        <v>359</v>
      </c>
      <c r="AC71" s="74"/>
      <c r="AD71" s="256">
        <v>0</v>
      </c>
    </row>
    <row r="72" spans="1:30" s="251" customFormat="1" ht="18" customHeight="1">
      <c r="A72" s="97">
        <v>29695</v>
      </c>
      <c r="B72" s="105">
        <v>1</v>
      </c>
      <c r="C72" s="247">
        <v>46114</v>
      </c>
      <c r="D72" s="105">
        <f t="shared" ca="1" si="3"/>
        <v>113</v>
      </c>
      <c r="E72" s="138" t="str">
        <f t="shared" si="2"/>
        <v>ADMITIDO</v>
      </c>
      <c r="F72" s="138" t="s">
        <v>171</v>
      </c>
      <c r="G72" s="117" t="s">
        <v>43</v>
      </c>
      <c r="H72" s="117" t="s">
        <v>40</v>
      </c>
      <c r="I72" s="117" t="str">
        <f>IF(X72="ADMITIDO","ADMITIDO",IF(X72="CANCELADA","CANCELADA",IF(H72="","",IFERROR(_xlfn.XLOOKUP(H72,Listas!I:I,Listas!J:J),"OUTROS"))))</f>
        <v>ADMITIDO</v>
      </c>
      <c r="J72" s="248" t="s">
        <v>172</v>
      </c>
      <c r="K72" s="73" t="s">
        <v>360</v>
      </c>
      <c r="L72" s="73" t="s">
        <v>361</v>
      </c>
      <c r="M72" s="73"/>
      <c r="N72" s="73" t="s">
        <v>33</v>
      </c>
      <c r="O72" s="73" t="s">
        <v>34</v>
      </c>
      <c r="P72" s="73" t="s">
        <v>35</v>
      </c>
      <c r="Q72" s="73" t="s">
        <v>362</v>
      </c>
      <c r="R72" s="74" t="s">
        <v>363</v>
      </c>
      <c r="S72" s="228"/>
      <c r="T72" s="252">
        <v>11966108244</v>
      </c>
      <c r="U72" s="73" t="s">
        <v>67</v>
      </c>
      <c r="V72" s="220">
        <v>46148</v>
      </c>
      <c r="W72" s="203" t="s">
        <v>364</v>
      </c>
      <c r="X72" s="119" t="s">
        <v>40</v>
      </c>
      <c r="Y72" s="249">
        <v>46157</v>
      </c>
      <c r="Z72" s="249">
        <v>46157</v>
      </c>
      <c r="AA72" s="224">
        <v>83285</v>
      </c>
      <c r="AB72" s="74"/>
      <c r="AC72" s="74"/>
      <c r="AD72" s="256">
        <v>0</v>
      </c>
    </row>
    <row r="73" spans="1:30" s="251" customFormat="1" ht="18" customHeight="1">
      <c r="A73" s="97">
        <v>29723</v>
      </c>
      <c r="B73" s="105">
        <v>1</v>
      </c>
      <c r="C73" s="247">
        <v>46119</v>
      </c>
      <c r="D73" s="105">
        <f t="shared" ca="1" si="3"/>
        <v>108</v>
      </c>
      <c r="E73" s="138" t="str">
        <f t="shared" si="2"/>
        <v>CANCELADA</v>
      </c>
      <c r="F73" s="138" t="s">
        <v>42</v>
      </c>
      <c r="G73" s="117" t="s">
        <v>240</v>
      </c>
      <c r="H73" s="117" t="s">
        <v>52</v>
      </c>
      <c r="I73" s="117" t="str">
        <f>IF(X73="ADMITIDO","ADMITIDO",IF(X73="CANCELADA","CANCELADA",IF(H73="","",IFERROR(_xlfn.XLOOKUP(H73,Listas!I:I,Listas!J:J),"OUTROS"))))</f>
        <v>CANCELADA</v>
      </c>
      <c r="J73" s="248" t="s">
        <v>53</v>
      </c>
      <c r="K73" s="73" t="s">
        <v>241</v>
      </c>
      <c r="L73" s="73" t="s">
        <v>300</v>
      </c>
      <c r="M73" s="73"/>
      <c r="N73" s="73" t="s">
        <v>33</v>
      </c>
      <c r="O73" s="73" t="s">
        <v>34</v>
      </c>
      <c r="P73" s="73" t="s">
        <v>57</v>
      </c>
      <c r="Q73" s="73" t="s">
        <v>231</v>
      </c>
      <c r="R73" s="74" t="s">
        <v>365</v>
      </c>
      <c r="S73" s="228"/>
      <c r="T73" s="74"/>
      <c r="U73" s="73"/>
      <c r="V73" s="220"/>
      <c r="W73" s="203"/>
      <c r="X73" s="227" t="s">
        <v>52</v>
      </c>
      <c r="Y73" s="249"/>
      <c r="Z73" s="249"/>
      <c r="AA73" s="224"/>
      <c r="AB73" s="74"/>
      <c r="AC73" s="74"/>
      <c r="AD73" s="256">
        <v>0</v>
      </c>
    </row>
    <row r="74" spans="1:30" s="251" customFormat="1" ht="18" customHeight="1">
      <c r="A74" s="97">
        <v>29724</v>
      </c>
      <c r="B74" s="105">
        <v>1</v>
      </c>
      <c r="C74" s="247">
        <v>46119</v>
      </c>
      <c r="D74" s="105">
        <f t="shared" ca="1" si="3"/>
        <v>108</v>
      </c>
      <c r="E74" s="138" t="str">
        <f t="shared" si="2"/>
        <v>CANCELADA</v>
      </c>
      <c r="F74" s="138" t="s">
        <v>42</v>
      </c>
      <c r="G74" s="117" t="s">
        <v>240</v>
      </c>
      <c r="H74" s="117" t="s">
        <v>52</v>
      </c>
      <c r="I74" s="117" t="str">
        <f>IF(X74="ADMITIDO","ADMITIDO",IF(X74="CANCELADA","CANCELADA",IF(H74="","",IFERROR(_xlfn.XLOOKUP(H74,Listas!I:I,Listas!J:J),"OUTROS"))))</f>
        <v>CANCELADA</v>
      </c>
      <c r="J74" s="248" t="s">
        <v>53</v>
      </c>
      <c r="K74" s="73" t="s">
        <v>241</v>
      </c>
      <c r="L74" s="73" t="s">
        <v>300</v>
      </c>
      <c r="M74" s="73"/>
      <c r="N74" s="73" t="s">
        <v>33</v>
      </c>
      <c r="O74" s="73" t="s">
        <v>34</v>
      </c>
      <c r="P74" s="73" t="s">
        <v>57</v>
      </c>
      <c r="Q74" s="73" t="s">
        <v>366</v>
      </c>
      <c r="R74" s="74" t="s">
        <v>365</v>
      </c>
      <c r="S74" s="228"/>
      <c r="T74" s="74"/>
      <c r="U74" s="73"/>
      <c r="V74" s="220"/>
      <c r="W74" s="203"/>
      <c r="X74" s="227" t="s">
        <v>52</v>
      </c>
      <c r="Y74" s="249"/>
      <c r="Z74" s="249"/>
      <c r="AA74" s="224"/>
      <c r="AB74" s="74"/>
      <c r="AC74" s="74"/>
      <c r="AD74" s="256">
        <v>0</v>
      </c>
    </row>
    <row r="75" spans="1:30" s="251" customFormat="1" ht="18" customHeight="1">
      <c r="A75" s="609">
        <v>29721</v>
      </c>
      <c r="B75" s="105">
        <v>1</v>
      </c>
      <c r="C75" s="247">
        <v>46119</v>
      </c>
      <c r="D75" s="105">
        <f t="shared" ca="1" si="3"/>
        <v>108</v>
      </c>
      <c r="E75" s="138" t="str">
        <f t="shared" si="2"/>
        <v>CANCELADA</v>
      </c>
      <c r="F75" s="138" t="s">
        <v>171</v>
      </c>
      <c r="G75" s="117" t="s">
        <v>29</v>
      </c>
      <c r="H75" s="117" t="s">
        <v>52</v>
      </c>
      <c r="I75" s="117" t="str">
        <f>IF(X75="ADMITIDO","ADMITIDO",IF(X75="CANCELADA","CANCELADA",IF(H75="","",IFERROR(_xlfn.XLOOKUP(H75,Listas!I:I,Listas!J:J),"OUTROS"))))</f>
        <v>CANCELADA</v>
      </c>
      <c r="J75" s="248" t="s">
        <v>367</v>
      </c>
      <c r="K75" s="73" t="s">
        <v>31</v>
      </c>
      <c r="L75" s="73" t="s">
        <v>368</v>
      </c>
      <c r="M75" s="73"/>
      <c r="N75" s="73" t="s">
        <v>63</v>
      </c>
      <c r="O75" s="73" t="s">
        <v>34</v>
      </c>
      <c r="P75" s="73" t="s">
        <v>35</v>
      </c>
      <c r="Q75" s="73" t="s">
        <v>369</v>
      </c>
      <c r="R75" s="74" t="s">
        <v>370</v>
      </c>
      <c r="S75" s="228"/>
      <c r="T75" s="74"/>
      <c r="U75" s="73"/>
      <c r="V75" s="220"/>
      <c r="W75" s="203"/>
      <c r="X75" s="227" t="s">
        <v>52</v>
      </c>
      <c r="Y75" s="249"/>
      <c r="Z75" s="249"/>
      <c r="AA75" s="224"/>
      <c r="AB75" s="74"/>
      <c r="AC75" s="74"/>
      <c r="AD75" s="256">
        <v>0</v>
      </c>
    </row>
    <row r="76" spans="1:30" s="251" customFormat="1" ht="18" customHeight="1">
      <c r="A76" s="609"/>
      <c r="B76" s="105">
        <v>1</v>
      </c>
      <c r="C76" s="247">
        <v>46119</v>
      </c>
      <c r="D76" s="105">
        <f t="shared" ca="1" si="3"/>
        <v>108</v>
      </c>
      <c r="E76" s="138" t="str">
        <f t="shared" si="2"/>
        <v>CANCELADA</v>
      </c>
      <c r="F76" s="138" t="s">
        <v>171</v>
      </c>
      <c r="G76" s="117" t="s">
        <v>29</v>
      </c>
      <c r="H76" s="117" t="s">
        <v>52</v>
      </c>
      <c r="I76" s="117" t="str">
        <f>IF(X76="ADMITIDO","ADMITIDO",IF(X76="CANCELADA","CANCELADA",IF(H76="","",IFERROR(_xlfn.XLOOKUP(H76,Listas!I:I,Listas!J:J),"OUTROS"))))</f>
        <v>CANCELADA</v>
      </c>
      <c r="J76" s="248" t="s">
        <v>367</v>
      </c>
      <c r="K76" s="73" t="s">
        <v>31</v>
      </c>
      <c r="L76" s="73" t="s">
        <v>368</v>
      </c>
      <c r="M76" s="73"/>
      <c r="N76" s="73" t="s">
        <v>63</v>
      </c>
      <c r="O76" s="73" t="s">
        <v>34</v>
      </c>
      <c r="P76" s="73" t="s">
        <v>35</v>
      </c>
      <c r="Q76" s="73" t="s">
        <v>369</v>
      </c>
      <c r="R76" s="74"/>
      <c r="S76" s="228"/>
      <c r="T76" s="74"/>
      <c r="U76" s="73"/>
      <c r="V76" s="220"/>
      <c r="W76" s="203"/>
      <c r="X76" s="227" t="s">
        <v>52</v>
      </c>
      <c r="Y76" s="249"/>
      <c r="Z76" s="249"/>
      <c r="AA76" s="224"/>
      <c r="AB76" s="74"/>
      <c r="AC76" s="74"/>
      <c r="AD76" s="256">
        <v>0</v>
      </c>
    </row>
    <row r="77" spans="1:30" s="251" customFormat="1" ht="18" customHeight="1">
      <c r="A77" s="609">
        <v>29719</v>
      </c>
      <c r="B77" s="105">
        <v>1</v>
      </c>
      <c r="C77" s="247">
        <v>46119</v>
      </c>
      <c r="D77" s="105">
        <f ca="1">TODAY()-C77</f>
        <v>108</v>
      </c>
      <c r="E77" s="138" t="str">
        <f t="shared" si="2"/>
        <v>ADMITIDO</v>
      </c>
      <c r="F77" s="138" t="s">
        <v>171</v>
      </c>
      <c r="G77" s="117" t="s">
        <v>145</v>
      </c>
      <c r="H77" s="117" t="s">
        <v>40</v>
      </c>
      <c r="I77" s="117" t="str">
        <f>IF(X77="ADMITIDO","ADMITIDO",IF(X77="CANCELADA","CANCELADA",IF(H77="","",IFERROR(_xlfn.XLOOKUP(H77,Listas!I:I,Listas!J:J),"OUTROS"))))</f>
        <v>ADMITIDO</v>
      </c>
      <c r="J77" s="248" t="s">
        <v>172</v>
      </c>
      <c r="K77" s="73" t="s">
        <v>371</v>
      </c>
      <c r="L77" s="73" t="s">
        <v>372</v>
      </c>
      <c r="M77" s="73"/>
      <c r="N77" s="73" t="s">
        <v>33</v>
      </c>
      <c r="O77" s="73" t="s">
        <v>34</v>
      </c>
      <c r="P77" s="73" t="s">
        <v>35</v>
      </c>
      <c r="Q77" s="73" t="s">
        <v>36</v>
      </c>
      <c r="R77" s="74"/>
      <c r="S77" s="228" t="s">
        <v>373</v>
      </c>
      <c r="T77" s="74"/>
      <c r="U77" s="73" t="s">
        <v>132</v>
      </c>
      <c r="V77" s="220">
        <v>46155</v>
      </c>
      <c r="W77" s="203" t="s">
        <v>374</v>
      </c>
      <c r="X77" s="227" t="s">
        <v>40</v>
      </c>
      <c r="Y77" s="249">
        <v>46157</v>
      </c>
      <c r="Z77" s="249">
        <v>46161</v>
      </c>
      <c r="AA77" s="224">
        <v>83295</v>
      </c>
      <c r="AB77" s="74"/>
      <c r="AC77" s="74"/>
      <c r="AD77" s="256">
        <v>0</v>
      </c>
    </row>
    <row r="78" spans="1:30" s="251" customFormat="1" ht="18" customHeight="1">
      <c r="A78" s="609"/>
      <c r="B78" s="105">
        <v>1</v>
      </c>
      <c r="C78" s="247">
        <v>46120</v>
      </c>
      <c r="D78" s="105">
        <f t="shared" ca="1" si="3"/>
        <v>107</v>
      </c>
      <c r="E78" s="138" t="str">
        <f t="shared" si="2"/>
        <v>ADMITIDO</v>
      </c>
      <c r="F78" s="138" t="s">
        <v>42</v>
      </c>
      <c r="G78" s="117" t="s">
        <v>145</v>
      </c>
      <c r="H78" s="117" t="s">
        <v>40</v>
      </c>
      <c r="I78" s="117" t="str">
        <f>IF(X78="ADMITIDO","ADMITIDO",IF(X78="CANCELADA","CANCELADA",IF(H78="","",IFERROR(_xlfn.XLOOKUP(H78,Listas!I:I,Listas!J:J),"OUTROS"))))</f>
        <v>ADMITIDO</v>
      </c>
      <c r="J78" s="248" t="s">
        <v>172</v>
      </c>
      <c r="K78" s="73" t="s">
        <v>371</v>
      </c>
      <c r="L78" s="73" t="s">
        <v>372</v>
      </c>
      <c r="M78" s="73"/>
      <c r="N78" s="73" t="s">
        <v>33</v>
      </c>
      <c r="O78" s="73" t="s">
        <v>34</v>
      </c>
      <c r="P78" s="73" t="s">
        <v>35</v>
      </c>
      <c r="Q78" s="73" t="s">
        <v>36</v>
      </c>
      <c r="R78" s="74"/>
      <c r="S78" s="228"/>
      <c r="T78" s="74" t="s">
        <v>375</v>
      </c>
      <c r="U78" s="73" t="s">
        <v>76</v>
      </c>
      <c r="V78" s="220">
        <v>46129</v>
      </c>
      <c r="W78" s="203" t="s">
        <v>376</v>
      </c>
      <c r="X78" s="227" t="s">
        <v>40</v>
      </c>
      <c r="Y78" s="249">
        <v>46135</v>
      </c>
      <c r="Z78" s="249">
        <v>46136</v>
      </c>
      <c r="AA78" s="224">
        <v>83272</v>
      </c>
      <c r="AB78" s="74"/>
      <c r="AC78" s="74"/>
      <c r="AD78" s="256">
        <v>0</v>
      </c>
    </row>
    <row r="79" spans="1:30" s="251" customFormat="1" ht="18" customHeight="1">
      <c r="A79" s="97">
        <v>29755</v>
      </c>
      <c r="B79" s="105">
        <v>1</v>
      </c>
      <c r="C79" s="247">
        <v>46120</v>
      </c>
      <c r="D79" s="105">
        <f t="shared" ca="1" si="3"/>
        <v>107</v>
      </c>
      <c r="E79" s="138" t="str">
        <f t="shared" si="2"/>
        <v>ADMITIDO</v>
      </c>
      <c r="F79" s="138" t="s">
        <v>42</v>
      </c>
      <c r="G79" s="117" t="s">
        <v>43</v>
      </c>
      <c r="H79" s="117" t="s">
        <v>40</v>
      </c>
      <c r="I79" s="117" t="str">
        <f>IF(X79="ADMITIDO","ADMITIDO",IF(X79="CANCELADA","CANCELADA",IF(H79="","",IFERROR(_xlfn.XLOOKUP(H79,Listas!I:I,Listas!J:J),"OUTROS"))))</f>
        <v>ADMITIDO</v>
      </c>
      <c r="J79" s="248" t="s">
        <v>53</v>
      </c>
      <c r="K79" s="73" t="s">
        <v>45</v>
      </c>
      <c r="L79" s="73" t="s">
        <v>377</v>
      </c>
      <c r="M79" s="73"/>
      <c r="N79" s="73" t="s">
        <v>378</v>
      </c>
      <c r="O79" s="73" t="s">
        <v>56</v>
      </c>
      <c r="P79" s="73" t="s">
        <v>35</v>
      </c>
      <c r="Q79" s="73" t="s">
        <v>176</v>
      </c>
      <c r="R79" s="74"/>
      <c r="S79" s="228" t="s">
        <v>379</v>
      </c>
      <c r="T79" s="252"/>
      <c r="U79" s="73" t="s">
        <v>50</v>
      </c>
      <c r="V79" s="220">
        <v>46127</v>
      </c>
      <c r="W79" s="203" t="s">
        <v>380</v>
      </c>
      <c r="X79" s="227" t="s">
        <v>40</v>
      </c>
      <c r="Y79" s="249">
        <v>46136</v>
      </c>
      <c r="Z79" s="249">
        <v>46139</v>
      </c>
      <c r="AA79" s="224">
        <v>145879</v>
      </c>
      <c r="AB79" s="74"/>
      <c r="AC79" s="74"/>
      <c r="AD79" s="256">
        <v>0</v>
      </c>
    </row>
    <row r="80" spans="1:30" s="251" customFormat="1" ht="18" customHeight="1">
      <c r="A80" s="97">
        <v>29741</v>
      </c>
      <c r="B80" s="105">
        <v>1</v>
      </c>
      <c r="C80" s="247">
        <v>46120</v>
      </c>
      <c r="D80" s="105">
        <f t="shared" ca="1" si="3"/>
        <v>107</v>
      </c>
      <c r="E80" s="138" t="str">
        <f t="shared" si="2"/>
        <v>ADMITIDO</v>
      </c>
      <c r="F80" s="138" t="s">
        <v>28</v>
      </c>
      <c r="G80" s="117" t="s">
        <v>43</v>
      </c>
      <c r="H80" s="117" t="str">
        <f>X80</f>
        <v>ADMITIDO</v>
      </c>
      <c r="I80" s="117" t="str">
        <f>IF(X80="ADMITIDO","ADMITIDO",IF(X80="CANCELADA","CANCELADA",IF(H80="","",IFERROR(_xlfn.XLOOKUP(H80,Listas!I:I,Listas!J:J),"OUTROS"))))</f>
        <v>ADMITIDO</v>
      </c>
      <c r="J80" s="248" t="s">
        <v>268</v>
      </c>
      <c r="K80" s="73" t="s">
        <v>383</v>
      </c>
      <c r="L80" s="73" t="s">
        <v>384</v>
      </c>
      <c r="M80" s="73"/>
      <c r="N80" s="73" t="s">
        <v>97</v>
      </c>
      <c r="O80" s="73" t="s">
        <v>56</v>
      </c>
      <c r="P80" s="73" t="s">
        <v>35</v>
      </c>
      <c r="Q80" s="73" t="s">
        <v>176</v>
      </c>
      <c r="R80" s="74"/>
      <c r="S80" s="228"/>
      <c r="T80" s="252"/>
      <c r="U80" s="73" t="s">
        <v>50</v>
      </c>
      <c r="V80" s="220">
        <v>46126</v>
      </c>
      <c r="W80" s="203" t="s">
        <v>385</v>
      </c>
      <c r="X80" s="227" t="s">
        <v>40</v>
      </c>
      <c r="Y80" s="249">
        <v>46134</v>
      </c>
      <c r="Z80" s="249">
        <v>46135</v>
      </c>
      <c r="AA80" s="224">
        <v>914144</v>
      </c>
      <c r="AB80" s="74"/>
      <c r="AC80" s="74"/>
      <c r="AD80" s="256">
        <v>0</v>
      </c>
    </row>
    <row r="81" spans="1:30" s="251" customFormat="1" ht="18" customHeight="1">
      <c r="A81" s="97">
        <v>29751</v>
      </c>
      <c r="B81" s="105">
        <v>1</v>
      </c>
      <c r="C81" s="247">
        <v>46120</v>
      </c>
      <c r="D81" s="105">
        <f t="shared" ca="1" si="3"/>
        <v>107</v>
      </c>
      <c r="E81" s="138" t="str">
        <f t="shared" si="2"/>
        <v>ADMITIDO</v>
      </c>
      <c r="F81" s="138" t="s">
        <v>42</v>
      </c>
      <c r="G81" s="117" t="s">
        <v>60</v>
      </c>
      <c r="H81" s="117" t="str">
        <f>X81</f>
        <v>ADMITIDO</v>
      </c>
      <c r="I81" s="117" t="str">
        <f>IF(X81="ADMITIDO","ADMITIDO",IF(X81="CANCELADA","CANCELADA",IF(H81="","",IFERROR(_xlfn.XLOOKUP(H81,Listas!I:I,Listas!J:J),"OUTROS"))))</f>
        <v>ADMITIDO</v>
      </c>
      <c r="J81" s="248" t="s">
        <v>53</v>
      </c>
      <c r="K81" s="73" t="s">
        <v>61</v>
      </c>
      <c r="L81" s="73" t="s">
        <v>161</v>
      </c>
      <c r="M81" s="73"/>
      <c r="N81" s="73" t="s">
        <v>33</v>
      </c>
      <c r="O81" s="73" t="s">
        <v>34</v>
      </c>
      <c r="P81" s="73" t="s">
        <v>72</v>
      </c>
      <c r="Q81" s="73" t="s">
        <v>73</v>
      </c>
      <c r="R81" s="74"/>
      <c r="S81" s="228" t="s">
        <v>65</v>
      </c>
      <c r="T81" s="228" t="s">
        <v>1304</v>
      </c>
      <c r="U81" s="73" t="s">
        <v>76</v>
      </c>
      <c r="V81" s="220">
        <v>46176</v>
      </c>
      <c r="W81" s="203" t="s">
        <v>1305</v>
      </c>
      <c r="X81" s="227" t="s">
        <v>40</v>
      </c>
      <c r="Y81" s="249">
        <v>46182</v>
      </c>
      <c r="Z81" s="249">
        <v>46183</v>
      </c>
      <c r="AA81" s="224">
        <v>146072</v>
      </c>
      <c r="AB81" s="74"/>
      <c r="AC81" s="74"/>
      <c r="AD81" s="256">
        <v>0</v>
      </c>
    </row>
    <row r="82" spans="1:30" s="251" customFormat="1" ht="18" customHeight="1">
      <c r="A82" s="97">
        <v>29749</v>
      </c>
      <c r="B82" s="105">
        <v>1</v>
      </c>
      <c r="C82" s="247">
        <v>46120</v>
      </c>
      <c r="D82" s="105">
        <f t="shared" ca="1" si="3"/>
        <v>107</v>
      </c>
      <c r="E82" s="138" t="str">
        <f t="shared" si="2"/>
        <v>ADMITIDO</v>
      </c>
      <c r="F82" s="138" t="s">
        <v>42</v>
      </c>
      <c r="G82" s="117" t="s">
        <v>43</v>
      </c>
      <c r="H82" s="117" t="str">
        <f>X82</f>
        <v>ADMITIDO</v>
      </c>
      <c r="I82" s="117" t="str">
        <f>IF(X82="ADMITIDO","ADMITIDO",IF(X82="CANCELADA","CANCELADA",IF(H82="","",IFERROR(_xlfn.XLOOKUP(H82,Listas!I:I,Listas!J:J),"OUTROS"))))</f>
        <v>ADMITIDO</v>
      </c>
      <c r="J82" s="248" t="s">
        <v>53</v>
      </c>
      <c r="K82" s="73" t="s">
        <v>45</v>
      </c>
      <c r="L82" s="73" t="s">
        <v>386</v>
      </c>
      <c r="M82" s="73"/>
      <c r="N82" s="73" t="s">
        <v>243</v>
      </c>
      <c r="O82" s="73" t="s">
        <v>34</v>
      </c>
      <c r="P82" s="73" t="s">
        <v>57</v>
      </c>
      <c r="Q82" s="73" t="s">
        <v>387</v>
      </c>
      <c r="R82" s="74"/>
      <c r="S82" s="228" t="s">
        <v>388</v>
      </c>
      <c r="T82" s="252"/>
      <c r="U82" s="73" t="s">
        <v>50</v>
      </c>
      <c r="V82" s="220">
        <v>46128</v>
      </c>
      <c r="W82" s="203" t="s">
        <v>389</v>
      </c>
      <c r="X82" s="227" t="s">
        <v>40</v>
      </c>
      <c r="Y82" s="249">
        <v>46136</v>
      </c>
      <c r="Z82" s="249">
        <v>46136</v>
      </c>
      <c r="AA82" s="224">
        <v>145882</v>
      </c>
      <c r="AB82" s="74"/>
      <c r="AC82" s="74"/>
      <c r="AD82" s="256">
        <v>0</v>
      </c>
    </row>
    <row r="83" spans="1:30" s="251" customFormat="1" ht="18" customHeight="1">
      <c r="A83" s="97">
        <v>29733</v>
      </c>
      <c r="B83" s="105">
        <v>1</v>
      </c>
      <c r="C83" s="247">
        <v>46120</v>
      </c>
      <c r="D83" s="105">
        <f t="shared" ca="1" si="3"/>
        <v>107</v>
      </c>
      <c r="E83" s="138" t="str">
        <f t="shared" si="2"/>
        <v>ADMITIDO</v>
      </c>
      <c r="F83" s="138" t="s">
        <v>171</v>
      </c>
      <c r="G83" s="117" t="s">
        <v>145</v>
      </c>
      <c r="H83" s="117" t="s">
        <v>40</v>
      </c>
      <c r="I83" s="117" t="str">
        <f>IF(X83="ADMITIDO","ADMITIDO",IF(X83="CANCELADA","CANCELADA",IF(H83="","",IFERROR(_xlfn.XLOOKUP(H83,Listas!I:I,Listas!J:J),"OUTROS"))))</f>
        <v>ADMITIDO</v>
      </c>
      <c r="J83" s="248" t="s">
        <v>172</v>
      </c>
      <c r="K83" s="73" t="s">
        <v>371</v>
      </c>
      <c r="L83" s="261" t="s">
        <v>390</v>
      </c>
      <c r="M83" s="261"/>
      <c r="N83" s="73" t="s">
        <v>391</v>
      </c>
      <c r="O83" s="73" t="s">
        <v>34</v>
      </c>
      <c r="P83" s="73" t="s">
        <v>35</v>
      </c>
      <c r="Q83" s="73" t="s">
        <v>36</v>
      </c>
      <c r="R83" s="74" t="s">
        <v>392</v>
      </c>
      <c r="S83" s="228" t="s">
        <v>107</v>
      </c>
      <c r="T83" s="74" t="s">
        <v>393</v>
      </c>
      <c r="U83" s="73" t="s">
        <v>132</v>
      </c>
      <c r="V83" s="220">
        <v>46154</v>
      </c>
      <c r="W83" s="203" t="s">
        <v>394</v>
      </c>
      <c r="X83" s="227" t="s">
        <v>40</v>
      </c>
      <c r="Y83" s="249">
        <v>46156</v>
      </c>
      <c r="Z83" s="249">
        <v>46161</v>
      </c>
      <c r="AA83" s="224">
        <v>83291</v>
      </c>
      <c r="AB83" s="74"/>
      <c r="AC83" s="74"/>
      <c r="AD83" s="256">
        <v>0</v>
      </c>
    </row>
    <row r="84" spans="1:30" s="251" customFormat="1" ht="18" customHeight="1">
      <c r="A84" s="97">
        <v>29750</v>
      </c>
      <c r="B84" s="105">
        <v>1</v>
      </c>
      <c r="C84" s="247">
        <v>46120</v>
      </c>
      <c r="D84" s="105">
        <f t="shared" ca="1" si="3"/>
        <v>107</v>
      </c>
      <c r="E84" s="138" t="str">
        <f t="shared" si="2"/>
        <v>CANCELADA</v>
      </c>
      <c r="F84" s="138" t="s">
        <v>42</v>
      </c>
      <c r="G84" s="117" t="s">
        <v>60</v>
      </c>
      <c r="H84" s="117" t="s">
        <v>52</v>
      </c>
      <c r="I84" s="117" t="str">
        <f>IF(X84="ADMITIDO","ADMITIDO",IF(X84="CANCELADA","CANCELADA",IF(H84="","",IFERROR(_xlfn.XLOOKUP(H84,Listas!I:I,Listas!J:J),"OUTROS"))))</f>
        <v>CANCELADA</v>
      </c>
      <c r="J84" s="248" t="s">
        <v>163</v>
      </c>
      <c r="K84" s="73" t="s">
        <v>61</v>
      </c>
      <c r="L84" s="73" t="s">
        <v>255</v>
      </c>
      <c r="M84" s="73"/>
      <c r="N84" s="73" t="s">
        <v>63</v>
      </c>
      <c r="O84" s="73" t="s">
        <v>34</v>
      </c>
      <c r="P84" s="73" t="s">
        <v>219</v>
      </c>
      <c r="Q84" s="73" t="s">
        <v>73</v>
      </c>
      <c r="R84" s="74" t="s">
        <v>395</v>
      </c>
      <c r="S84" s="228" t="s">
        <v>396</v>
      </c>
      <c r="T84" s="74" t="s">
        <v>397</v>
      </c>
      <c r="U84" s="73"/>
      <c r="V84" s="220"/>
      <c r="W84" s="203" t="s">
        <v>398</v>
      </c>
      <c r="X84" s="227" t="s">
        <v>52</v>
      </c>
      <c r="Y84" s="249"/>
      <c r="Z84" s="249"/>
      <c r="AA84" s="224"/>
      <c r="AB84" s="74" t="s">
        <v>399</v>
      </c>
      <c r="AC84" s="74"/>
      <c r="AD84" s="256">
        <v>0</v>
      </c>
    </row>
    <row r="85" spans="1:30" s="251" customFormat="1" ht="18" customHeight="1">
      <c r="A85" s="97">
        <v>29739</v>
      </c>
      <c r="B85" s="105">
        <v>1</v>
      </c>
      <c r="C85" s="247">
        <v>46120</v>
      </c>
      <c r="D85" s="105">
        <f t="shared" ca="1" si="3"/>
        <v>107</v>
      </c>
      <c r="E85" s="138" t="str">
        <f t="shared" si="2"/>
        <v>ADMITIDO</v>
      </c>
      <c r="F85" s="138" t="s">
        <v>171</v>
      </c>
      <c r="G85" s="117" t="s">
        <v>43</v>
      </c>
      <c r="H85" s="117" t="str">
        <f>X85</f>
        <v>ADMITIDO</v>
      </c>
      <c r="I85" s="117" t="str">
        <f>IF(X85="ADMITIDO","ADMITIDO",IF(X85="CANCELADA","CANCELADA",IF(H85="","",IFERROR(_xlfn.XLOOKUP(H85,Listas!I:I,Listas!J:J),"OUTROS"))))</f>
        <v>ADMITIDO</v>
      </c>
      <c r="J85" s="248" t="s">
        <v>172</v>
      </c>
      <c r="K85" s="73" t="s">
        <v>383</v>
      </c>
      <c r="L85" s="73" t="s">
        <v>286</v>
      </c>
      <c r="M85" s="73"/>
      <c r="N85" s="73" t="s">
        <v>33</v>
      </c>
      <c r="O85" s="73" t="s">
        <v>56</v>
      </c>
      <c r="P85" s="73" t="s">
        <v>35</v>
      </c>
      <c r="Q85" s="73" t="s">
        <v>357</v>
      </c>
      <c r="R85" s="74"/>
      <c r="S85" s="228" t="s">
        <v>400</v>
      </c>
      <c r="T85" s="252"/>
      <c r="U85" s="73" t="s">
        <v>50</v>
      </c>
      <c r="V85" s="220">
        <v>46127</v>
      </c>
      <c r="W85" s="203" t="s">
        <v>401</v>
      </c>
      <c r="X85" s="227" t="s">
        <v>40</v>
      </c>
      <c r="Y85" s="249">
        <v>46136</v>
      </c>
      <c r="Z85" s="249">
        <v>46139</v>
      </c>
      <c r="AA85" s="224">
        <v>83267</v>
      </c>
      <c r="AB85" s="74"/>
      <c r="AC85" s="74"/>
      <c r="AD85" s="256">
        <v>0</v>
      </c>
    </row>
    <row r="86" spans="1:30" s="251" customFormat="1" ht="18" customHeight="1">
      <c r="A86" s="246">
        <v>29738</v>
      </c>
      <c r="B86" s="105">
        <v>1</v>
      </c>
      <c r="C86" s="247">
        <v>46120</v>
      </c>
      <c r="D86" s="105">
        <f t="shared" ca="1" si="3"/>
        <v>107</v>
      </c>
      <c r="E86" s="138" t="str">
        <f t="shared" si="2"/>
        <v>ADMITIDO</v>
      </c>
      <c r="F86" s="138" t="s">
        <v>42</v>
      </c>
      <c r="G86" s="117" t="s">
        <v>43</v>
      </c>
      <c r="H86" s="117" t="s">
        <v>40</v>
      </c>
      <c r="I86" s="117" t="str">
        <f>IF(X86="ADMITIDO","ADMITIDO",IF(X86="CANCELADA","CANCELADA",IF(H86="","",IFERROR(_xlfn.XLOOKUP(H86,Listas!I:I,Listas!J:J),"OUTROS"))))</f>
        <v>ADMITIDO</v>
      </c>
      <c r="J86" s="248" t="s">
        <v>53</v>
      </c>
      <c r="K86" s="73" t="s">
        <v>45</v>
      </c>
      <c r="L86" s="73" t="s">
        <v>402</v>
      </c>
      <c r="M86" s="73"/>
      <c r="N86" s="73" t="s">
        <v>33</v>
      </c>
      <c r="O86" s="73" t="s">
        <v>34</v>
      </c>
      <c r="P86" s="73" t="s">
        <v>57</v>
      </c>
      <c r="Q86" s="73" t="s">
        <v>98</v>
      </c>
      <c r="R86" s="74"/>
      <c r="S86" s="228"/>
      <c r="T86" s="252"/>
      <c r="U86" s="73" t="s">
        <v>50</v>
      </c>
      <c r="V86" s="220">
        <v>46129</v>
      </c>
      <c r="W86" s="203" t="s">
        <v>403</v>
      </c>
      <c r="X86" s="227" t="s">
        <v>40</v>
      </c>
      <c r="Y86" s="249">
        <v>46139</v>
      </c>
      <c r="Z86" s="249">
        <v>46140</v>
      </c>
      <c r="AA86" s="224">
        <v>145886</v>
      </c>
      <c r="AB86" s="74"/>
      <c r="AC86" s="74"/>
      <c r="AD86" s="256">
        <v>0</v>
      </c>
    </row>
    <row r="87" spans="1:30" s="251" customFormat="1" ht="18" customHeight="1">
      <c r="A87" s="97">
        <v>29740</v>
      </c>
      <c r="B87" s="105">
        <v>1</v>
      </c>
      <c r="C87" s="247">
        <v>46120</v>
      </c>
      <c r="D87" s="105">
        <f t="shared" ca="1" si="3"/>
        <v>107</v>
      </c>
      <c r="E87" s="138" t="str">
        <f t="shared" si="2"/>
        <v>ADMITIDO</v>
      </c>
      <c r="F87" s="138" t="s">
        <v>28</v>
      </c>
      <c r="G87" s="117" t="s">
        <v>43</v>
      </c>
      <c r="H87" s="117" t="str">
        <f>X87</f>
        <v>ADMITIDO</v>
      </c>
      <c r="I87" s="117" t="str">
        <f>IF(X87="ADMITIDO","ADMITIDO",IF(X87="CANCELADA","CANCELADA",IF(H87="","",IFERROR(_xlfn.XLOOKUP(H87,Listas!I:I,Listas!J:J),"OUTROS"))))</f>
        <v>ADMITIDO</v>
      </c>
      <c r="J87" s="248" t="s">
        <v>268</v>
      </c>
      <c r="K87" s="73" t="s">
        <v>383</v>
      </c>
      <c r="L87" s="73" t="s">
        <v>218</v>
      </c>
      <c r="M87" s="73"/>
      <c r="N87" s="73" t="s">
        <v>97</v>
      </c>
      <c r="O87" s="73" t="s">
        <v>56</v>
      </c>
      <c r="P87" s="73" t="s">
        <v>35</v>
      </c>
      <c r="Q87" s="73" t="s">
        <v>357</v>
      </c>
      <c r="R87" s="74"/>
      <c r="S87" s="228"/>
      <c r="T87" s="252"/>
      <c r="U87" s="73" t="s">
        <v>50</v>
      </c>
      <c r="V87" s="220">
        <v>46126</v>
      </c>
      <c r="W87" s="203" t="s">
        <v>404</v>
      </c>
      <c r="X87" s="227" t="s">
        <v>40</v>
      </c>
      <c r="Y87" s="249">
        <v>46134</v>
      </c>
      <c r="Z87" s="249">
        <v>46136</v>
      </c>
      <c r="AA87" s="224">
        <v>914142</v>
      </c>
      <c r="AB87" s="74"/>
      <c r="AC87" s="74"/>
      <c r="AD87" s="256">
        <v>0</v>
      </c>
    </row>
    <row r="88" spans="1:30" s="251" customFormat="1" ht="18" customHeight="1">
      <c r="A88" s="246">
        <v>29775</v>
      </c>
      <c r="B88" s="105">
        <v>1</v>
      </c>
      <c r="C88" s="247">
        <v>46121</v>
      </c>
      <c r="D88" s="105">
        <f t="shared" ca="1" si="3"/>
        <v>106</v>
      </c>
      <c r="E88" s="138" t="str">
        <f t="shared" si="2"/>
        <v>ADMITIDO</v>
      </c>
      <c r="F88" s="138" t="s">
        <v>42</v>
      </c>
      <c r="G88" s="117" t="s">
        <v>43</v>
      </c>
      <c r="H88" s="117" t="s">
        <v>40</v>
      </c>
      <c r="I88" s="117" t="str">
        <f>IF(X88="ADMITIDO","ADMITIDO",IF(X88="CANCELADA","CANCELADA",IF(H88="","",IFERROR(_xlfn.XLOOKUP(H88,Listas!I:I,Listas!J:J),"OUTROS"))))</f>
        <v>ADMITIDO</v>
      </c>
      <c r="J88" s="248" t="s">
        <v>405</v>
      </c>
      <c r="K88" s="73" t="s">
        <v>45</v>
      </c>
      <c r="L88" s="73" t="s">
        <v>156</v>
      </c>
      <c r="M88" s="73"/>
      <c r="N88" s="73" t="s">
        <v>97</v>
      </c>
      <c r="O88" s="73" t="s">
        <v>34</v>
      </c>
      <c r="P88" s="73" t="s">
        <v>57</v>
      </c>
      <c r="Q88" s="73" t="s">
        <v>308</v>
      </c>
      <c r="R88" s="74"/>
      <c r="S88" s="228"/>
      <c r="T88" s="252">
        <v>11963180042</v>
      </c>
      <c r="U88" s="73" t="s">
        <v>50</v>
      </c>
      <c r="V88" s="220">
        <v>46136</v>
      </c>
      <c r="W88" s="203" t="s">
        <v>406</v>
      </c>
      <c r="X88" s="73" t="s">
        <v>40</v>
      </c>
      <c r="Y88" s="249">
        <v>46117</v>
      </c>
      <c r="Z88" s="249">
        <v>46147</v>
      </c>
      <c r="AA88" s="224">
        <v>914209</v>
      </c>
      <c r="AB88" s="74"/>
      <c r="AC88" s="74"/>
      <c r="AD88" s="256">
        <v>0</v>
      </c>
    </row>
    <row r="89" spans="1:30" s="251" customFormat="1" ht="18" customHeight="1">
      <c r="A89" s="97">
        <v>29781</v>
      </c>
      <c r="B89" s="105">
        <v>1</v>
      </c>
      <c r="C89" s="247">
        <v>46121</v>
      </c>
      <c r="D89" s="105">
        <f t="shared" ca="1" si="3"/>
        <v>106</v>
      </c>
      <c r="E89" s="138" t="str">
        <f t="shared" si="2"/>
        <v>ADMITIDO</v>
      </c>
      <c r="F89" s="138" t="s">
        <v>42</v>
      </c>
      <c r="G89" s="117" t="s">
        <v>240</v>
      </c>
      <c r="H89" s="117" t="str">
        <f>X89</f>
        <v>ADMITIDO</v>
      </c>
      <c r="I89" s="117" t="str">
        <f>IF(X89="ADMITIDO","ADMITIDO",IF(X89="CANCELADA","CANCELADA",IF(H89="","",IFERROR(_xlfn.XLOOKUP(H89,Listas!I:I,Listas!J:J),"OUTROS"))))</f>
        <v>ADMITIDO</v>
      </c>
      <c r="J89" s="248" t="s">
        <v>53</v>
      </c>
      <c r="K89" s="73" t="s">
        <v>241</v>
      </c>
      <c r="L89" s="73" t="s">
        <v>407</v>
      </c>
      <c r="M89" s="73"/>
      <c r="N89" s="73" t="s">
        <v>243</v>
      </c>
      <c r="O89" s="73" t="s">
        <v>34</v>
      </c>
      <c r="P89" s="73" t="s">
        <v>48</v>
      </c>
      <c r="Q89" s="73" t="s">
        <v>49</v>
      </c>
      <c r="R89" s="74" t="s">
        <v>408</v>
      </c>
      <c r="S89" s="228" t="s">
        <v>409</v>
      </c>
      <c r="T89" s="74" t="s">
        <v>410</v>
      </c>
      <c r="U89" s="73" t="s">
        <v>76</v>
      </c>
      <c r="V89" s="220">
        <v>46127</v>
      </c>
      <c r="W89" s="203" t="s">
        <v>1306</v>
      </c>
      <c r="X89" s="227" t="s">
        <v>40</v>
      </c>
      <c r="Y89" s="249">
        <v>46132</v>
      </c>
      <c r="Z89" s="249">
        <v>46134</v>
      </c>
      <c r="AA89" s="224">
        <v>145861</v>
      </c>
      <c r="AB89" s="74"/>
      <c r="AC89" s="74"/>
      <c r="AD89" s="256">
        <v>0</v>
      </c>
    </row>
    <row r="90" spans="1:30" s="251" customFormat="1" ht="18" customHeight="1">
      <c r="A90" s="246">
        <v>29784</v>
      </c>
      <c r="B90" s="105">
        <v>1</v>
      </c>
      <c r="C90" s="247">
        <v>46121</v>
      </c>
      <c r="D90" s="105">
        <f t="shared" ca="1" si="3"/>
        <v>106</v>
      </c>
      <c r="E90" s="138" t="str">
        <f t="shared" si="2"/>
        <v>ADMITIDO</v>
      </c>
      <c r="F90" s="138" t="s">
        <v>42</v>
      </c>
      <c r="G90" s="117" t="s">
        <v>29</v>
      </c>
      <c r="H90" s="117" t="str">
        <f>X90</f>
        <v>ADMITIDO</v>
      </c>
      <c r="I90" s="117" t="str">
        <f>IF(X90="ADMITIDO","ADMITIDO",IF(X90="CANCELADA","CANCELADA",IF(H90="","",IFERROR(_xlfn.XLOOKUP(H90,Listas!I:I,Listas!J:J),"OUTROS"))))</f>
        <v>ADMITIDO</v>
      </c>
      <c r="J90" s="248" t="s">
        <v>53</v>
      </c>
      <c r="K90" s="73" t="s">
        <v>347</v>
      </c>
      <c r="L90" s="73" t="s">
        <v>348</v>
      </c>
      <c r="M90" s="73"/>
      <c r="N90" s="73" t="s">
        <v>33</v>
      </c>
      <c r="O90" s="73" t="s">
        <v>34</v>
      </c>
      <c r="P90" s="73" t="s">
        <v>57</v>
      </c>
      <c r="Q90" s="73" t="s">
        <v>98</v>
      </c>
      <c r="R90" s="74" t="s">
        <v>1307</v>
      </c>
      <c r="S90" s="228"/>
      <c r="T90" s="74" t="s">
        <v>1308</v>
      </c>
      <c r="U90" s="73" t="s">
        <v>38</v>
      </c>
      <c r="V90" s="220">
        <v>46167</v>
      </c>
      <c r="W90" s="203" t="s">
        <v>1309</v>
      </c>
      <c r="X90" s="227" t="s">
        <v>40</v>
      </c>
      <c r="Y90" s="256"/>
      <c r="Z90" s="249">
        <v>46172</v>
      </c>
      <c r="AA90" s="224">
        <v>146033</v>
      </c>
      <c r="AB90" s="74"/>
      <c r="AC90" s="74"/>
      <c r="AD90" s="256">
        <v>0</v>
      </c>
    </row>
    <row r="91" spans="1:30" s="251" customFormat="1" ht="18" customHeight="1">
      <c r="A91" s="97">
        <v>29782</v>
      </c>
      <c r="B91" s="105">
        <v>1</v>
      </c>
      <c r="C91" s="247">
        <v>46121</v>
      </c>
      <c r="D91" s="105">
        <f t="shared" ca="1" si="3"/>
        <v>106</v>
      </c>
      <c r="E91" s="138" t="str">
        <f t="shared" si="2"/>
        <v>ADMITIDO</v>
      </c>
      <c r="F91" s="138" t="s">
        <v>42</v>
      </c>
      <c r="G91" s="117" t="s">
        <v>240</v>
      </c>
      <c r="H91" s="117" t="str">
        <f>X91</f>
        <v>ADMITIDO</v>
      </c>
      <c r="I91" s="117" t="str">
        <f>IF(X91="ADMITIDO","ADMITIDO",IF(X91="CANCELADA","CANCELADA",IF(H91="","",IFERROR(_xlfn.XLOOKUP(H91,Listas!I:I,Listas!J:J),"OUTROS"))))</f>
        <v>ADMITIDO</v>
      </c>
      <c r="J91" s="248" t="s">
        <v>44</v>
      </c>
      <c r="K91" s="73" t="s">
        <v>241</v>
      </c>
      <c r="L91" s="73" t="s">
        <v>413</v>
      </c>
      <c r="M91" s="73"/>
      <c r="N91" s="73" t="s">
        <v>243</v>
      </c>
      <c r="O91" s="73" t="s">
        <v>34</v>
      </c>
      <c r="P91" s="73" t="s">
        <v>48</v>
      </c>
      <c r="Q91" s="73" t="s">
        <v>414</v>
      </c>
      <c r="R91" s="74"/>
      <c r="S91" s="228"/>
      <c r="T91" s="74"/>
      <c r="U91" s="73" t="s">
        <v>76</v>
      </c>
      <c r="V91" s="220">
        <v>46153</v>
      </c>
      <c r="W91" s="203" t="s">
        <v>415</v>
      </c>
      <c r="X91" s="227" t="s">
        <v>40</v>
      </c>
      <c r="Y91" s="249">
        <v>46155</v>
      </c>
      <c r="Z91" s="249">
        <v>46160</v>
      </c>
      <c r="AA91" s="224">
        <v>145961</v>
      </c>
      <c r="AB91" s="74"/>
      <c r="AC91" s="74"/>
      <c r="AD91" s="256">
        <v>0</v>
      </c>
    </row>
    <row r="92" spans="1:30" s="251" customFormat="1" ht="18" customHeight="1">
      <c r="A92" s="246">
        <v>29764</v>
      </c>
      <c r="B92" s="105">
        <v>1</v>
      </c>
      <c r="C92" s="247">
        <v>46121</v>
      </c>
      <c r="D92" s="105">
        <f t="shared" ca="1" si="3"/>
        <v>106</v>
      </c>
      <c r="E92" s="138" t="str">
        <f t="shared" si="2"/>
        <v>CANCELADA</v>
      </c>
      <c r="F92" s="138" t="s">
        <v>42</v>
      </c>
      <c r="G92" s="117" t="s">
        <v>60</v>
      </c>
      <c r="H92" s="117" t="s">
        <v>52</v>
      </c>
      <c r="I92" s="117" t="str">
        <f>IF(X92="ADMITIDO","ADMITIDO",IF(X92="CANCELADA","CANCELADA",IF(H92="","",IFERROR(_xlfn.XLOOKUP(H92,Listas!I:I,Listas!J:J),"OUTROS"))))</f>
        <v>CANCELADA</v>
      </c>
      <c r="J92" s="248" t="s">
        <v>53</v>
      </c>
      <c r="K92" s="73" t="s">
        <v>61</v>
      </c>
      <c r="L92" s="73" t="s">
        <v>161</v>
      </c>
      <c r="M92" s="73"/>
      <c r="N92" s="73" t="s">
        <v>33</v>
      </c>
      <c r="O92" s="73" t="s">
        <v>34</v>
      </c>
      <c r="P92" s="73" t="s">
        <v>72</v>
      </c>
      <c r="Q92" s="73" t="s">
        <v>73</v>
      </c>
      <c r="R92" s="74" t="s">
        <v>416</v>
      </c>
      <c r="S92" s="228" t="s">
        <v>65</v>
      </c>
      <c r="T92" s="74" t="s">
        <v>417</v>
      </c>
      <c r="U92" s="73"/>
      <c r="V92" s="220"/>
      <c r="W92" s="203"/>
      <c r="X92" s="227" t="s">
        <v>52</v>
      </c>
      <c r="Y92" s="249"/>
      <c r="Z92" s="249"/>
      <c r="AA92" s="224"/>
      <c r="AB92" s="74" t="s">
        <v>418</v>
      </c>
      <c r="AC92" s="74"/>
      <c r="AD92" s="256">
        <v>0</v>
      </c>
    </row>
    <row r="93" spans="1:30" s="251" customFormat="1" ht="18" customHeight="1">
      <c r="A93" s="246">
        <v>29783</v>
      </c>
      <c r="B93" s="105">
        <v>1</v>
      </c>
      <c r="C93" s="247">
        <v>46121</v>
      </c>
      <c r="D93" s="105">
        <f t="shared" ca="1" si="3"/>
        <v>106</v>
      </c>
      <c r="E93" s="138" t="str">
        <f t="shared" si="2"/>
        <v>ADMITIDO</v>
      </c>
      <c r="F93" s="138" t="s">
        <v>42</v>
      </c>
      <c r="G93" s="117" t="s">
        <v>29</v>
      </c>
      <c r="H93" s="117" t="s">
        <v>40</v>
      </c>
      <c r="I93" s="117" t="str">
        <f>IF(X93="ADMITIDO","ADMITIDO",IF(X93="CANCELADA","CANCELADA",IF(H93="","",IFERROR(_xlfn.XLOOKUP(H93,Listas!I:I,Listas!J:J),"OUTROS"))))</f>
        <v>ADMITIDO</v>
      </c>
      <c r="J93" s="248" t="s">
        <v>116</v>
      </c>
      <c r="K93" s="73" t="s">
        <v>347</v>
      </c>
      <c r="L93" s="73" t="s">
        <v>419</v>
      </c>
      <c r="M93" s="73"/>
      <c r="N93" s="73" t="s">
        <v>420</v>
      </c>
      <c r="O93" s="73" t="s">
        <v>34</v>
      </c>
      <c r="P93" s="73" t="s">
        <v>48</v>
      </c>
      <c r="Q93" s="73" t="s">
        <v>131</v>
      </c>
      <c r="R93" s="74"/>
      <c r="S93" s="228"/>
      <c r="T93" s="74" t="s">
        <v>421</v>
      </c>
      <c r="U93" s="73" t="s">
        <v>38</v>
      </c>
      <c r="V93" s="220">
        <v>46135</v>
      </c>
      <c r="W93" s="203" t="s">
        <v>422</v>
      </c>
      <c r="X93" s="119" t="s">
        <v>40</v>
      </c>
      <c r="Y93" s="249">
        <v>46150</v>
      </c>
      <c r="Z93" s="249">
        <v>46153</v>
      </c>
      <c r="AA93" s="224">
        <v>145424</v>
      </c>
      <c r="AB93" s="74"/>
      <c r="AC93" s="74"/>
      <c r="AD93" s="256">
        <v>0</v>
      </c>
    </row>
    <row r="94" spans="1:30" s="251" customFormat="1" ht="18" customHeight="1">
      <c r="A94" s="246">
        <v>29780</v>
      </c>
      <c r="B94" s="105">
        <v>1</v>
      </c>
      <c r="C94" s="247">
        <v>46121</v>
      </c>
      <c r="D94" s="105">
        <f t="shared" ca="1" si="3"/>
        <v>106</v>
      </c>
      <c r="E94" s="138" t="str">
        <f t="shared" si="2"/>
        <v>ADMITIDO</v>
      </c>
      <c r="F94" s="138" t="s">
        <v>28</v>
      </c>
      <c r="G94" s="117" t="s">
        <v>240</v>
      </c>
      <c r="H94" s="117" t="str">
        <f t="shared" ref="H94:H100" si="4">X94</f>
        <v>ADMITIDO</v>
      </c>
      <c r="I94" s="117" t="str">
        <f>IF(X94="ADMITIDO","ADMITIDO",IF(X94="CANCELADA","CANCELADA",IF(H94="","",IFERROR(_xlfn.XLOOKUP(H94,Listas!I:I,Listas!J:J),"OUTROS"))))</f>
        <v>ADMITIDO</v>
      </c>
      <c r="J94" s="248" t="s">
        <v>268</v>
      </c>
      <c r="K94" s="73" t="s">
        <v>423</v>
      </c>
      <c r="L94" s="73" t="s">
        <v>424</v>
      </c>
      <c r="M94" s="73"/>
      <c r="N94" s="73" t="s">
        <v>243</v>
      </c>
      <c r="O94" s="73" t="s">
        <v>34</v>
      </c>
      <c r="P94" s="73" t="s">
        <v>35</v>
      </c>
      <c r="Q94" s="73" t="s">
        <v>36</v>
      </c>
      <c r="R94" s="74"/>
      <c r="S94" s="228"/>
      <c r="T94" s="74" t="s">
        <v>425</v>
      </c>
      <c r="U94" s="73" t="s">
        <v>132</v>
      </c>
      <c r="V94" s="220">
        <v>46135</v>
      </c>
      <c r="W94" s="203" t="s">
        <v>426</v>
      </c>
      <c r="X94" s="227" t="s">
        <v>40</v>
      </c>
      <c r="Y94" s="249">
        <v>46140</v>
      </c>
      <c r="Z94" s="249">
        <v>46141</v>
      </c>
      <c r="AA94" s="224">
        <v>914182</v>
      </c>
      <c r="AB94" s="74"/>
      <c r="AC94" s="74"/>
      <c r="AD94" s="256">
        <v>0</v>
      </c>
    </row>
    <row r="95" spans="1:30" s="251" customFormat="1" ht="18" customHeight="1">
      <c r="A95" s="97">
        <v>29769</v>
      </c>
      <c r="B95" s="105">
        <v>1</v>
      </c>
      <c r="C95" s="247">
        <v>46121</v>
      </c>
      <c r="D95" s="105">
        <f t="shared" ca="1" si="3"/>
        <v>106</v>
      </c>
      <c r="E95" s="138" t="str">
        <f t="shared" si="2"/>
        <v>ADMITIDO</v>
      </c>
      <c r="F95" s="138" t="s">
        <v>28</v>
      </c>
      <c r="G95" s="117" t="s">
        <v>29</v>
      </c>
      <c r="H95" s="117" t="str">
        <f t="shared" si="4"/>
        <v>ADMITIDO</v>
      </c>
      <c r="I95" s="117" t="str">
        <f>IF(X95="ADMITIDO","ADMITIDO",IF(X95="CANCELADA","CANCELADA",IF(H95="","",IFERROR(_xlfn.XLOOKUP(H95,Listas!I:I,Listas!J:J),"OUTROS"))))</f>
        <v>ADMITIDO</v>
      </c>
      <c r="J95" s="248" t="s">
        <v>427</v>
      </c>
      <c r="K95" s="73" t="s">
        <v>31</v>
      </c>
      <c r="L95" s="73" t="s">
        <v>428</v>
      </c>
      <c r="M95" s="73"/>
      <c r="N95" s="73" t="s">
        <v>205</v>
      </c>
      <c r="O95" s="73" t="s">
        <v>34</v>
      </c>
      <c r="P95" s="73" t="s">
        <v>35</v>
      </c>
      <c r="Q95" s="73" t="s">
        <v>36</v>
      </c>
      <c r="R95" s="74"/>
      <c r="S95" s="228"/>
      <c r="T95" s="74"/>
      <c r="U95" s="73" t="s">
        <v>38</v>
      </c>
      <c r="V95" s="220">
        <v>46134</v>
      </c>
      <c r="W95" s="257" t="s">
        <v>429</v>
      </c>
      <c r="X95" s="73" t="s">
        <v>40</v>
      </c>
      <c r="Y95" s="249">
        <v>46142</v>
      </c>
      <c r="Z95" s="249">
        <v>46143</v>
      </c>
      <c r="AA95" s="224">
        <v>914204</v>
      </c>
      <c r="AB95" s="74"/>
      <c r="AC95" s="74"/>
      <c r="AD95" s="256">
        <v>0</v>
      </c>
    </row>
    <row r="96" spans="1:30" s="251" customFormat="1" ht="18" customHeight="1">
      <c r="A96" s="97">
        <v>29774</v>
      </c>
      <c r="B96" s="105">
        <v>1</v>
      </c>
      <c r="C96" s="247">
        <v>46121</v>
      </c>
      <c r="D96" s="105">
        <f t="shared" ca="1" si="3"/>
        <v>106</v>
      </c>
      <c r="E96" s="138" t="str">
        <f>IF(X96="ADMITIDO","ADMITIDO",IF(X96="CANCELADA","CANCELADA",IF(H96="","",IF(H96="ADMITIDO","ADMITIDO",IF(H96="CANCELADA","CANCELADA",IF(OR(H96="ANALISE CANCELAMENTO",H96="ANÁLISE CANCELAMENTO"),"EM ANÁLISE",IF(D96="","",IF(D96&lt;=7,"NO PRAZO",IF(D96&lt;=14,"ATENÇÃO","CRÍTICO")))))))))</f>
        <v>ADMITIDO</v>
      </c>
      <c r="F96" s="138" t="s">
        <v>42</v>
      </c>
      <c r="G96" s="117" t="s">
        <v>43</v>
      </c>
      <c r="H96" s="117" t="str">
        <f t="shared" si="4"/>
        <v>ADMITIDO</v>
      </c>
      <c r="I96" s="117" t="str">
        <f>IF(X96="ADMITIDO","ADMITIDO",IF(X96="CANCELADA","CANCELADA",IF(H96="","",IFERROR(_xlfn.XLOOKUP(H96,Listas!I:I,Listas!J:J),"OUTROS"))))</f>
        <v>ADMITIDO</v>
      </c>
      <c r="J96" s="248" t="s">
        <v>44</v>
      </c>
      <c r="K96" s="73" t="s">
        <v>45</v>
      </c>
      <c r="L96" s="73" t="s">
        <v>430</v>
      </c>
      <c r="M96" s="73"/>
      <c r="N96" s="73" t="s">
        <v>431</v>
      </c>
      <c r="O96" s="73" t="s">
        <v>34</v>
      </c>
      <c r="P96" s="73" t="s">
        <v>57</v>
      </c>
      <c r="Q96" s="73" t="s">
        <v>432</v>
      </c>
      <c r="R96" s="74"/>
      <c r="S96" s="228"/>
      <c r="T96" s="252"/>
      <c r="U96" s="73" t="s">
        <v>50</v>
      </c>
      <c r="V96" s="220">
        <v>46126</v>
      </c>
      <c r="W96" s="203" t="s">
        <v>433</v>
      </c>
      <c r="X96" s="227" t="s">
        <v>40</v>
      </c>
      <c r="Y96" s="249">
        <v>46134</v>
      </c>
      <c r="Z96" s="249">
        <v>46139</v>
      </c>
      <c r="AA96" s="224">
        <v>914143</v>
      </c>
      <c r="AB96" s="74"/>
      <c r="AC96" s="74"/>
      <c r="AD96" s="256">
        <v>0</v>
      </c>
    </row>
    <row r="97" spans="1:30" s="251" customFormat="1" ht="18" customHeight="1">
      <c r="A97" s="97">
        <v>29786</v>
      </c>
      <c r="B97" s="105">
        <v>1</v>
      </c>
      <c r="C97" s="247">
        <v>46121</v>
      </c>
      <c r="D97" s="105">
        <f t="shared" ca="1" si="3"/>
        <v>106</v>
      </c>
      <c r="E97" s="138" t="str">
        <f t="shared" si="2"/>
        <v>ADMITIDO</v>
      </c>
      <c r="F97" s="138" t="s">
        <v>42</v>
      </c>
      <c r="G97" s="117" t="s">
        <v>29</v>
      </c>
      <c r="H97" s="117" t="str">
        <f t="shared" si="4"/>
        <v>ADMITIDO</v>
      </c>
      <c r="I97" s="117" t="str">
        <f>IF(X97="ADMITIDO","ADMITIDO",IF(X97="CANCELADA","CANCELADA",IF(H97="","",IFERROR(_xlfn.XLOOKUP(H97,Listas!I:I,Listas!J:J),"OUTROS"))))</f>
        <v>ADMITIDO</v>
      </c>
      <c r="J97" s="248" t="s">
        <v>44</v>
      </c>
      <c r="K97" s="73" t="s">
        <v>54</v>
      </c>
      <c r="L97" s="73" t="s">
        <v>434</v>
      </c>
      <c r="M97" s="73"/>
      <c r="N97" s="73" t="s">
        <v>435</v>
      </c>
      <c r="O97" s="73" t="s">
        <v>34</v>
      </c>
      <c r="P97" s="73" t="s">
        <v>48</v>
      </c>
      <c r="Q97" s="73" t="s">
        <v>49</v>
      </c>
      <c r="R97" s="74"/>
      <c r="S97" s="228"/>
      <c r="T97" s="255" t="s">
        <v>436</v>
      </c>
      <c r="U97" s="73" t="s">
        <v>38</v>
      </c>
      <c r="V97" s="220">
        <v>46127</v>
      </c>
      <c r="W97" s="203" t="s">
        <v>1310</v>
      </c>
      <c r="X97" s="227" t="s">
        <v>40</v>
      </c>
      <c r="Y97" s="249">
        <v>46132</v>
      </c>
      <c r="Z97" s="249">
        <v>46134</v>
      </c>
      <c r="AA97" s="224">
        <v>145864</v>
      </c>
      <c r="AB97" s="74"/>
      <c r="AC97" s="74"/>
      <c r="AD97" s="256">
        <v>0</v>
      </c>
    </row>
    <row r="98" spans="1:30" s="251" customFormat="1" ht="18" customHeight="1">
      <c r="A98" s="246">
        <v>29772</v>
      </c>
      <c r="B98" s="105">
        <v>1</v>
      </c>
      <c r="C98" s="247">
        <v>46121</v>
      </c>
      <c r="D98" s="105">
        <f t="shared" ca="1" si="3"/>
        <v>106</v>
      </c>
      <c r="E98" s="138" t="str">
        <f t="shared" si="2"/>
        <v>ADMITIDO</v>
      </c>
      <c r="F98" s="138" t="s">
        <v>119</v>
      </c>
      <c r="G98" s="117" t="s">
        <v>145</v>
      </c>
      <c r="H98" s="117" t="str">
        <f t="shared" si="4"/>
        <v>ADMITIDO</v>
      </c>
      <c r="I98" s="117" t="str">
        <f>IF(X98="ADMITIDO","ADMITIDO",IF(X98="CANCELADA","CANCELADA",IF(H98="","",IFERROR(_xlfn.XLOOKUP(H98,Listas!I:I,Listas!J:J),"OUTROS"))))</f>
        <v>ADMITIDO</v>
      </c>
      <c r="J98" s="248" t="s">
        <v>438</v>
      </c>
      <c r="K98" s="73" t="s">
        <v>439</v>
      </c>
      <c r="L98" s="73" t="s">
        <v>440</v>
      </c>
      <c r="M98" s="73"/>
      <c r="N98" s="73" t="s">
        <v>119</v>
      </c>
      <c r="O98" s="73" t="s">
        <v>34</v>
      </c>
      <c r="P98" s="73" t="s">
        <v>48</v>
      </c>
      <c r="Q98" s="73" t="s">
        <v>441</v>
      </c>
      <c r="R98" s="74"/>
      <c r="S98" s="228"/>
      <c r="T98" s="74" t="s">
        <v>442</v>
      </c>
      <c r="U98" s="73" t="s">
        <v>132</v>
      </c>
      <c r="V98" s="220">
        <v>46135</v>
      </c>
      <c r="W98" s="203" t="s">
        <v>443</v>
      </c>
      <c r="X98" s="227" t="s">
        <v>40</v>
      </c>
      <c r="Y98" s="249">
        <v>46139</v>
      </c>
      <c r="Z98" s="249">
        <v>46139</v>
      </c>
      <c r="AA98" s="224">
        <v>145888</v>
      </c>
      <c r="AB98" s="74"/>
      <c r="AC98" s="74"/>
      <c r="AD98" s="256">
        <v>0</v>
      </c>
    </row>
    <row r="99" spans="1:30" s="251" customFormat="1" ht="18" customHeight="1">
      <c r="A99" s="246">
        <v>29773</v>
      </c>
      <c r="B99" s="105">
        <v>1</v>
      </c>
      <c r="C99" s="247">
        <v>46121</v>
      </c>
      <c r="D99" s="105">
        <f t="shared" ca="1" si="3"/>
        <v>106</v>
      </c>
      <c r="E99" s="138" t="str">
        <f t="shared" si="2"/>
        <v>ADMITIDO</v>
      </c>
      <c r="F99" s="138" t="s">
        <v>119</v>
      </c>
      <c r="G99" s="117" t="s">
        <v>145</v>
      </c>
      <c r="H99" s="117" t="str">
        <f t="shared" si="4"/>
        <v>ADMITIDO</v>
      </c>
      <c r="I99" s="117" t="str">
        <f>IF(X99="ADMITIDO","ADMITIDO",IF(X99="CANCELADA","CANCELADA",IF(H99="","",IFERROR(_xlfn.XLOOKUP(H99,Listas!I:I,Listas!J:J),"OUTROS"))))</f>
        <v>ADMITIDO</v>
      </c>
      <c r="J99" s="248" t="s">
        <v>444</v>
      </c>
      <c r="K99" s="73" t="s">
        <v>439</v>
      </c>
      <c r="L99" s="73" t="s">
        <v>440</v>
      </c>
      <c r="M99" s="73"/>
      <c r="N99" s="73" t="s">
        <v>119</v>
      </c>
      <c r="O99" s="73" t="s">
        <v>34</v>
      </c>
      <c r="P99" s="73" t="s">
        <v>48</v>
      </c>
      <c r="Q99" s="73" t="s">
        <v>441</v>
      </c>
      <c r="R99" s="74" t="s">
        <v>445</v>
      </c>
      <c r="S99" s="228" t="s">
        <v>373</v>
      </c>
      <c r="T99" s="74" t="s">
        <v>446</v>
      </c>
      <c r="U99" s="73" t="s">
        <v>132</v>
      </c>
      <c r="V99" s="220">
        <v>46135</v>
      </c>
      <c r="W99" s="203" t="s">
        <v>447</v>
      </c>
      <c r="X99" s="227" t="s">
        <v>40</v>
      </c>
      <c r="Y99" s="249">
        <v>46139</v>
      </c>
      <c r="Z99" s="249">
        <v>46139</v>
      </c>
      <c r="AA99" s="224">
        <v>145887</v>
      </c>
      <c r="AB99" s="280"/>
      <c r="AC99" s="280"/>
      <c r="AD99" s="256">
        <v>0</v>
      </c>
    </row>
    <row r="100" spans="1:30" s="251" customFormat="1" ht="18" customHeight="1">
      <c r="A100" s="97">
        <v>29777</v>
      </c>
      <c r="B100" s="105">
        <v>1</v>
      </c>
      <c r="C100" s="247">
        <v>46121</v>
      </c>
      <c r="D100" s="105">
        <f t="shared" ca="1" si="3"/>
        <v>106</v>
      </c>
      <c r="E100" s="138" t="str">
        <f t="shared" si="2"/>
        <v>ADMITIDO</v>
      </c>
      <c r="F100" s="138" t="s">
        <v>28</v>
      </c>
      <c r="G100" s="117" t="s">
        <v>240</v>
      </c>
      <c r="H100" s="117" t="str">
        <f t="shared" si="4"/>
        <v>ADMITIDO</v>
      </c>
      <c r="I100" s="117" t="str">
        <f>IF(X100="ADMITIDO","ADMITIDO",IF(X100="CANCELADA","CANCELADA",IF(H100="","",IFERROR(_xlfn.XLOOKUP(H100,Listas!I:I,Listas!J:J),"OUTROS"))))</f>
        <v>ADMITIDO</v>
      </c>
      <c r="J100" s="248" t="s">
        <v>448</v>
      </c>
      <c r="K100" s="73" t="s">
        <v>423</v>
      </c>
      <c r="L100" s="73" t="s">
        <v>449</v>
      </c>
      <c r="M100" s="73"/>
      <c r="N100" s="73" t="s">
        <v>63</v>
      </c>
      <c r="O100" s="73" t="s">
        <v>34</v>
      </c>
      <c r="P100" s="73" t="s">
        <v>48</v>
      </c>
      <c r="Q100" s="73" t="s">
        <v>450</v>
      </c>
      <c r="R100" s="74"/>
      <c r="S100" s="228"/>
      <c r="T100" s="74" t="s">
        <v>451</v>
      </c>
      <c r="U100" s="73" t="s">
        <v>132</v>
      </c>
      <c r="V100" s="220"/>
      <c r="W100" s="203" t="s">
        <v>452</v>
      </c>
      <c r="X100" s="227" t="s">
        <v>40</v>
      </c>
      <c r="Y100" s="249">
        <v>46132</v>
      </c>
      <c r="Z100" s="249">
        <v>46134</v>
      </c>
      <c r="AA100" s="224">
        <v>914151</v>
      </c>
      <c r="AB100" s="74"/>
      <c r="AC100" s="74"/>
      <c r="AD100" s="256">
        <v>0</v>
      </c>
    </row>
    <row r="101" spans="1:30" s="251" customFormat="1" ht="18" customHeight="1">
      <c r="A101" s="246">
        <v>29814</v>
      </c>
      <c r="B101" s="105">
        <v>1</v>
      </c>
      <c r="C101" s="247">
        <v>46122</v>
      </c>
      <c r="D101" s="105">
        <f t="shared" ca="1" si="3"/>
        <v>105</v>
      </c>
      <c r="E101" s="138" t="str">
        <f t="shared" si="2"/>
        <v>ADMITIDO</v>
      </c>
      <c r="F101" s="138" t="s">
        <v>42</v>
      </c>
      <c r="G101" s="117" t="s">
        <v>29</v>
      </c>
      <c r="H101" s="117" t="s">
        <v>40</v>
      </c>
      <c r="I101" s="117" t="str">
        <f>IF(X101="ADMITIDO","ADMITIDO",IF(X101="CANCELADA","CANCELADA",IF(H101="","",IFERROR(_xlfn.XLOOKUP(H101,Listas!I:I,Listas!J:J),"OUTROS"))))</f>
        <v>ADMITIDO</v>
      </c>
      <c r="J101" s="248" t="s">
        <v>53</v>
      </c>
      <c r="K101" s="73" t="s">
        <v>54</v>
      </c>
      <c r="L101" s="73" t="s">
        <v>453</v>
      </c>
      <c r="M101" s="73"/>
      <c r="N101" s="73" t="s">
        <v>93</v>
      </c>
      <c r="O101" s="73" t="s">
        <v>56</v>
      </c>
      <c r="P101" s="73" t="s">
        <v>57</v>
      </c>
      <c r="Q101" s="73" t="s">
        <v>165</v>
      </c>
      <c r="R101" s="74"/>
      <c r="S101" s="228"/>
      <c r="T101" s="74"/>
      <c r="U101" s="73" t="s">
        <v>38</v>
      </c>
      <c r="V101" s="220">
        <v>46154</v>
      </c>
      <c r="W101" s="203" t="s">
        <v>454</v>
      </c>
      <c r="X101" s="227" t="s">
        <v>40</v>
      </c>
      <c r="Y101" s="249">
        <v>46157</v>
      </c>
      <c r="Z101" s="249">
        <v>46160</v>
      </c>
      <c r="AA101" s="224">
        <v>914280</v>
      </c>
      <c r="AB101" s="74"/>
      <c r="AC101" s="74"/>
      <c r="AD101" s="256">
        <v>0</v>
      </c>
    </row>
    <row r="102" spans="1:30" s="251" customFormat="1" ht="18" customHeight="1">
      <c r="A102" s="246">
        <v>29804</v>
      </c>
      <c r="B102" s="105">
        <v>1</v>
      </c>
      <c r="C102" s="247">
        <v>46122</v>
      </c>
      <c r="D102" s="105">
        <f t="shared" ca="1" si="3"/>
        <v>105</v>
      </c>
      <c r="E102" s="138" t="str">
        <f t="shared" si="2"/>
        <v>ADMITIDO</v>
      </c>
      <c r="F102" s="138" t="s">
        <v>42</v>
      </c>
      <c r="G102" s="117" t="s">
        <v>240</v>
      </c>
      <c r="H102" s="117" t="s">
        <v>40</v>
      </c>
      <c r="I102" s="117" t="str">
        <f>IF(X102="ADMITIDO","ADMITIDO",IF(X102="CANCELADA","CANCELADA",IF(H102="","",IFERROR(_xlfn.XLOOKUP(H102,Listas!I:I,Listas!J:J),"OUTROS"))))</f>
        <v>ADMITIDO</v>
      </c>
      <c r="J102" s="248" t="s">
        <v>44</v>
      </c>
      <c r="K102" s="73" t="s">
        <v>241</v>
      </c>
      <c r="L102" s="73" t="s">
        <v>407</v>
      </c>
      <c r="M102" s="73"/>
      <c r="N102" s="73" t="s">
        <v>243</v>
      </c>
      <c r="O102" s="73" t="s">
        <v>34</v>
      </c>
      <c r="P102" s="73" t="s">
        <v>48</v>
      </c>
      <c r="Q102" s="73" t="s">
        <v>49</v>
      </c>
      <c r="R102" s="74"/>
      <c r="S102" s="228"/>
      <c r="T102" s="74" t="s">
        <v>1311</v>
      </c>
      <c r="U102" s="73" t="s">
        <v>132</v>
      </c>
      <c r="V102" s="220">
        <v>46161</v>
      </c>
      <c r="W102" s="118" t="s">
        <v>1312</v>
      </c>
      <c r="X102" s="119" t="s">
        <v>40</v>
      </c>
      <c r="Y102" s="249">
        <v>46167</v>
      </c>
      <c r="Z102" s="249">
        <v>46169</v>
      </c>
      <c r="AA102" s="224">
        <v>146017</v>
      </c>
      <c r="AB102" s="74" t="s">
        <v>457</v>
      </c>
      <c r="AC102" s="74"/>
      <c r="AD102" s="256">
        <v>1</v>
      </c>
    </row>
    <row r="103" spans="1:30" s="251" customFormat="1" ht="18" customHeight="1">
      <c r="A103" s="97">
        <v>29744</v>
      </c>
      <c r="B103" s="105">
        <v>1</v>
      </c>
      <c r="C103" s="247">
        <v>46120</v>
      </c>
      <c r="D103" s="105">
        <f ca="1">TODAY()-C103</f>
        <v>107</v>
      </c>
      <c r="E103" s="138" t="str">
        <f t="shared" si="2"/>
        <v>ADMITIDO</v>
      </c>
      <c r="F103" s="138" t="s">
        <v>42</v>
      </c>
      <c r="G103" s="117" t="s">
        <v>69</v>
      </c>
      <c r="H103" s="117" t="s">
        <v>40</v>
      </c>
      <c r="I103" s="117" t="str">
        <f>IF(X103="ADMITIDO","ADMITIDO",IF(X103="CANCELADA","CANCELADA",IF(H103="","",IFERROR(_xlfn.XLOOKUP(H103,Listas!I:I,Listas!J:J),"OUTROS"))))</f>
        <v>ADMITIDO</v>
      </c>
      <c r="J103" s="248" t="s">
        <v>53</v>
      </c>
      <c r="K103" s="73" t="s">
        <v>158</v>
      </c>
      <c r="L103" s="73" t="s">
        <v>159</v>
      </c>
      <c r="M103" s="73"/>
      <c r="N103" s="73" t="s">
        <v>63</v>
      </c>
      <c r="O103" s="73" t="s">
        <v>34</v>
      </c>
      <c r="P103" s="73" t="s">
        <v>57</v>
      </c>
      <c r="Q103" s="73" t="s">
        <v>220</v>
      </c>
      <c r="R103" s="74"/>
      <c r="S103" s="228" t="s">
        <v>65</v>
      </c>
      <c r="T103" s="74" t="s">
        <v>458</v>
      </c>
      <c r="U103" s="73" t="s">
        <v>76</v>
      </c>
      <c r="V103" s="220">
        <v>46155</v>
      </c>
      <c r="W103" s="203" t="s">
        <v>459</v>
      </c>
      <c r="X103" s="227" t="s">
        <v>40</v>
      </c>
      <c r="Y103" s="249">
        <v>46157</v>
      </c>
      <c r="Z103" s="249">
        <v>46161</v>
      </c>
      <c r="AA103" s="224">
        <v>145972</v>
      </c>
      <c r="AB103" s="74" t="s">
        <v>460</v>
      </c>
      <c r="AC103" s="74"/>
      <c r="AD103" s="256">
        <v>1</v>
      </c>
    </row>
    <row r="104" spans="1:30" s="251" customFormat="1" ht="18" customHeight="1">
      <c r="A104" s="97">
        <v>29810</v>
      </c>
      <c r="B104" s="105">
        <v>1</v>
      </c>
      <c r="C104" s="247">
        <v>46122</v>
      </c>
      <c r="D104" s="105">
        <f t="shared" ca="1" si="3"/>
        <v>105</v>
      </c>
      <c r="E104" s="138" t="str">
        <f t="shared" si="2"/>
        <v>ADMITIDO</v>
      </c>
      <c r="F104" s="138" t="s">
        <v>42</v>
      </c>
      <c r="G104" s="117" t="s">
        <v>69</v>
      </c>
      <c r="H104" s="117" t="str">
        <f>X104</f>
        <v>ADMITIDO</v>
      </c>
      <c r="I104" s="117" t="str">
        <f>IF(X104="ADMITIDO","ADMITIDO",IF(X104="CANCELADA","CANCELADA",IF(H104="","",IFERROR(_xlfn.XLOOKUP(H104,Listas!I:I,Listas!J:J),"OUTROS"))))</f>
        <v>ADMITIDO</v>
      </c>
      <c r="J104" s="248" t="s">
        <v>461</v>
      </c>
      <c r="K104" s="73" t="s">
        <v>70</v>
      </c>
      <c r="L104" s="73" t="s">
        <v>343</v>
      </c>
      <c r="M104" s="73"/>
      <c r="N104" s="73" t="s">
        <v>63</v>
      </c>
      <c r="O104" s="73" t="s">
        <v>34</v>
      </c>
      <c r="P104" s="73" t="s">
        <v>219</v>
      </c>
      <c r="Q104" s="73" t="s">
        <v>462</v>
      </c>
      <c r="R104" s="74"/>
      <c r="S104" s="228" t="s">
        <v>463</v>
      </c>
      <c r="T104" s="74" t="s">
        <v>464</v>
      </c>
      <c r="U104" s="73" t="s">
        <v>67</v>
      </c>
      <c r="V104" s="220">
        <v>46129</v>
      </c>
      <c r="W104" s="203" t="s">
        <v>465</v>
      </c>
      <c r="X104" s="227" t="s">
        <v>40</v>
      </c>
      <c r="Y104" s="249">
        <v>46135</v>
      </c>
      <c r="Z104" s="249">
        <v>46136</v>
      </c>
      <c r="AA104" s="224">
        <v>914160</v>
      </c>
      <c r="AB104" s="74"/>
      <c r="AC104" s="74"/>
      <c r="AD104" s="256">
        <v>0</v>
      </c>
    </row>
    <row r="105" spans="1:30" s="251" customFormat="1" ht="18" customHeight="1">
      <c r="A105" s="97">
        <v>29812</v>
      </c>
      <c r="B105" s="105">
        <v>1</v>
      </c>
      <c r="C105" s="247">
        <v>46122</v>
      </c>
      <c r="D105" s="105">
        <f t="shared" ca="1" si="3"/>
        <v>105</v>
      </c>
      <c r="E105" s="138" t="str">
        <f t="shared" si="2"/>
        <v>ADMITIDO</v>
      </c>
      <c r="F105" s="138" t="s">
        <v>42</v>
      </c>
      <c r="G105" s="117" t="s">
        <v>29</v>
      </c>
      <c r="H105" s="117" t="str">
        <f>X105</f>
        <v>ADMITIDO</v>
      </c>
      <c r="I105" s="117" t="str">
        <f>IF(X105="ADMITIDO","ADMITIDO",IF(X105="CANCELADA","CANCELADA",IF(H105="","",IFERROR(_xlfn.XLOOKUP(H105,Listas!I:I,Listas!J:J),"OUTROS"))))</f>
        <v>ADMITIDO</v>
      </c>
      <c r="J105" s="248" t="s">
        <v>53</v>
      </c>
      <c r="K105" s="73" t="s">
        <v>54</v>
      </c>
      <c r="L105" s="73" t="s">
        <v>164</v>
      </c>
      <c r="M105" s="73"/>
      <c r="N105" s="73" t="s">
        <v>88</v>
      </c>
      <c r="O105" s="73" t="s">
        <v>34</v>
      </c>
      <c r="P105" s="73" t="s">
        <v>57</v>
      </c>
      <c r="Q105" s="73" t="s">
        <v>94</v>
      </c>
      <c r="R105" s="74"/>
      <c r="S105" s="228"/>
      <c r="T105" s="255" t="s">
        <v>466</v>
      </c>
      <c r="U105" s="73" t="s">
        <v>38</v>
      </c>
      <c r="V105" s="220">
        <v>46126</v>
      </c>
      <c r="W105" s="203" t="s">
        <v>1313</v>
      </c>
      <c r="X105" s="227" t="s">
        <v>40</v>
      </c>
      <c r="Y105" s="249">
        <v>46129</v>
      </c>
      <c r="Z105" s="249">
        <v>46134</v>
      </c>
      <c r="AA105" s="224">
        <v>145851</v>
      </c>
      <c r="AB105" s="74"/>
      <c r="AC105" s="74"/>
      <c r="AD105" s="256">
        <v>0</v>
      </c>
    </row>
    <row r="106" spans="1:30" s="251" customFormat="1" ht="18" customHeight="1">
      <c r="A106" s="97">
        <v>29813</v>
      </c>
      <c r="B106" s="105">
        <v>1</v>
      </c>
      <c r="C106" s="247">
        <v>46122</v>
      </c>
      <c r="D106" s="105">
        <f t="shared" ca="1" si="3"/>
        <v>105</v>
      </c>
      <c r="E106" s="138" t="str">
        <f t="shared" si="2"/>
        <v>ADMITIDO</v>
      </c>
      <c r="F106" s="138" t="s">
        <v>42</v>
      </c>
      <c r="G106" s="117" t="s">
        <v>29</v>
      </c>
      <c r="H106" s="117" t="str">
        <f>X106</f>
        <v>ADMITIDO</v>
      </c>
      <c r="I106" s="117" t="str">
        <f>IF(X106="ADMITIDO","ADMITIDO",IF(X106="CANCELADA","CANCELADA",IF(H106="","",IFERROR(_xlfn.XLOOKUP(H106,Listas!I:I,Listas!J:J),"OUTROS"))))</f>
        <v>ADMITIDO</v>
      </c>
      <c r="J106" s="248" t="s">
        <v>53</v>
      </c>
      <c r="K106" s="73" t="s">
        <v>54</v>
      </c>
      <c r="L106" s="73" t="s">
        <v>164</v>
      </c>
      <c r="M106" s="73"/>
      <c r="N106" s="73" t="s">
        <v>88</v>
      </c>
      <c r="O106" s="73" t="s">
        <v>34</v>
      </c>
      <c r="P106" s="73" t="s">
        <v>57</v>
      </c>
      <c r="Q106" s="73" t="s">
        <v>231</v>
      </c>
      <c r="R106" s="74"/>
      <c r="S106" s="228"/>
      <c r="T106" s="255" t="s">
        <v>468</v>
      </c>
      <c r="U106" s="73" t="s">
        <v>38</v>
      </c>
      <c r="V106" s="220">
        <v>46126</v>
      </c>
      <c r="W106" s="203" t="s">
        <v>1314</v>
      </c>
      <c r="X106" s="227" t="s">
        <v>40</v>
      </c>
      <c r="Y106" s="249">
        <v>46134</v>
      </c>
      <c r="Z106" s="249">
        <v>46135</v>
      </c>
      <c r="AA106" s="224">
        <v>145858</v>
      </c>
      <c r="AB106" s="74"/>
      <c r="AC106" s="74"/>
      <c r="AD106" s="256">
        <v>0</v>
      </c>
    </row>
    <row r="107" spans="1:30" s="251" customFormat="1" ht="18" customHeight="1">
      <c r="A107" s="246">
        <v>29803</v>
      </c>
      <c r="B107" s="105">
        <v>1</v>
      </c>
      <c r="C107" s="247">
        <v>46122</v>
      </c>
      <c r="D107" s="105">
        <f t="shared" ca="1" si="3"/>
        <v>105</v>
      </c>
      <c r="E107" s="138" t="str">
        <f t="shared" si="2"/>
        <v>ADMITIDO</v>
      </c>
      <c r="F107" s="138" t="s">
        <v>42</v>
      </c>
      <c r="G107" s="117" t="s">
        <v>240</v>
      </c>
      <c r="H107" s="117" t="str">
        <f>X107</f>
        <v>ADMITIDO</v>
      </c>
      <c r="I107" s="117" t="str">
        <f>IF(X107="ADMITIDO","ADMITIDO",IF(X107="CANCELADA","CANCELADA",IF(H107="","",IFERROR(_xlfn.XLOOKUP(H107,Listas!I:I,Listas!J:J),"OUTROS"))))</f>
        <v>ADMITIDO</v>
      </c>
      <c r="J107" s="248" t="s">
        <v>44</v>
      </c>
      <c r="K107" s="73" t="s">
        <v>241</v>
      </c>
      <c r="L107" s="73" t="s">
        <v>351</v>
      </c>
      <c r="M107" s="73"/>
      <c r="N107" s="73" t="s">
        <v>63</v>
      </c>
      <c r="O107" s="73" t="s">
        <v>34</v>
      </c>
      <c r="P107" s="73" t="s">
        <v>57</v>
      </c>
      <c r="Q107" s="73" t="s">
        <v>470</v>
      </c>
      <c r="R107" s="74" t="s">
        <v>1315</v>
      </c>
      <c r="S107" s="228" t="s">
        <v>65</v>
      </c>
      <c r="T107" s="74" t="s">
        <v>1316</v>
      </c>
      <c r="U107" s="73" t="s">
        <v>132</v>
      </c>
      <c r="V107" s="220" t="s">
        <v>1317</v>
      </c>
      <c r="W107" s="203" t="s">
        <v>1318</v>
      </c>
      <c r="X107" s="227" t="s">
        <v>40</v>
      </c>
      <c r="Y107" s="249">
        <v>46169</v>
      </c>
      <c r="Z107" s="249">
        <v>46171</v>
      </c>
      <c r="AA107" s="224">
        <v>914361</v>
      </c>
      <c r="AB107" s="74" t="s">
        <v>1319</v>
      </c>
      <c r="AC107" s="74"/>
      <c r="AD107" s="256">
        <v>6</v>
      </c>
    </row>
    <row r="108" spans="1:30" s="251" customFormat="1" ht="18" customHeight="1">
      <c r="A108" s="97">
        <v>29806</v>
      </c>
      <c r="B108" s="105">
        <v>1</v>
      </c>
      <c r="C108" s="247">
        <v>46122</v>
      </c>
      <c r="D108" s="105">
        <f t="shared" ca="1" si="3"/>
        <v>105</v>
      </c>
      <c r="E108" s="138" t="str">
        <f t="shared" si="2"/>
        <v>ADMITIDO</v>
      </c>
      <c r="F108" s="138" t="s">
        <v>42</v>
      </c>
      <c r="G108" s="117" t="s">
        <v>240</v>
      </c>
      <c r="H108" s="117" t="str">
        <f>X108</f>
        <v>ADMITIDO</v>
      </c>
      <c r="I108" s="117" t="str">
        <f>IF(X108="ADMITIDO","ADMITIDO",IF(X108="CANCELADA","CANCELADA",IF(H108="","",IFERROR(_xlfn.XLOOKUP(H108,Listas!I:I,Listas!J:J),"OUTROS"))))</f>
        <v>ADMITIDO</v>
      </c>
      <c r="J108" s="248" t="s">
        <v>53</v>
      </c>
      <c r="K108" s="73" t="s">
        <v>241</v>
      </c>
      <c r="L108" s="73" t="s">
        <v>475</v>
      </c>
      <c r="M108" s="73"/>
      <c r="N108" s="73" t="s">
        <v>243</v>
      </c>
      <c r="O108" s="73" t="s">
        <v>34</v>
      </c>
      <c r="P108" s="73" t="s">
        <v>57</v>
      </c>
      <c r="Q108" s="73" t="s">
        <v>476</v>
      </c>
      <c r="R108" s="74" t="s">
        <v>477</v>
      </c>
      <c r="S108" s="228"/>
      <c r="T108" s="74"/>
      <c r="U108" s="73" t="s">
        <v>109</v>
      </c>
      <c r="V108" s="220">
        <v>46149</v>
      </c>
      <c r="W108" s="203" t="s">
        <v>478</v>
      </c>
      <c r="X108" s="117" t="s">
        <v>40</v>
      </c>
      <c r="Y108" s="249">
        <v>46155</v>
      </c>
      <c r="Z108" s="249">
        <v>46157</v>
      </c>
      <c r="AA108" s="224">
        <v>145952</v>
      </c>
      <c r="AB108" s="74"/>
      <c r="AC108" s="74"/>
      <c r="AD108" s="256">
        <v>0</v>
      </c>
    </row>
    <row r="109" spans="1:30" s="251" customFormat="1" ht="18" customHeight="1">
      <c r="A109" s="97">
        <v>29805</v>
      </c>
      <c r="B109" s="105">
        <v>1</v>
      </c>
      <c r="C109" s="247">
        <v>46122</v>
      </c>
      <c r="D109" s="105">
        <f t="shared" ca="1" si="3"/>
        <v>105</v>
      </c>
      <c r="E109" s="138" t="str">
        <f t="shared" si="2"/>
        <v>CANCELADA</v>
      </c>
      <c r="F109" s="138" t="s">
        <v>42</v>
      </c>
      <c r="G109" s="117" t="s">
        <v>240</v>
      </c>
      <c r="H109" s="117" t="s">
        <v>52</v>
      </c>
      <c r="I109" s="117" t="str">
        <f>IF(X109="ADMITIDO","ADMITIDO",IF(X109="CANCELADA","CANCELADA",IF(H109="","",IFERROR(_xlfn.XLOOKUP(H109,Listas!I:I,Listas!J:J),"OUTROS"))))</f>
        <v>CANCELADA</v>
      </c>
      <c r="J109" s="248" t="s">
        <v>479</v>
      </c>
      <c r="K109" s="73" t="s">
        <v>241</v>
      </c>
      <c r="L109" s="73" t="s">
        <v>475</v>
      </c>
      <c r="M109" s="73"/>
      <c r="N109" s="73" t="s">
        <v>243</v>
      </c>
      <c r="O109" s="73" t="s">
        <v>34</v>
      </c>
      <c r="P109" s="73" t="s">
        <v>57</v>
      </c>
      <c r="Q109" s="73" t="s">
        <v>98</v>
      </c>
      <c r="R109" s="74" t="s">
        <v>365</v>
      </c>
      <c r="S109" s="228"/>
      <c r="T109" s="74"/>
      <c r="U109" s="73"/>
      <c r="V109" s="220"/>
      <c r="W109" s="203"/>
      <c r="X109" s="227" t="s">
        <v>52</v>
      </c>
      <c r="Y109" s="249"/>
      <c r="Z109" s="249"/>
      <c r="AA109" s="224"/>
      <c r="AB109" s="74"/>
      <c r="AC109" s="74"/>
      <c r="AD109" s="256">
        <v>0</v>
      </c>
    </row>
    <row r="110" spans="1:30" s="251" customFormat="1" ht="18" customHeight="1">
      <c r="A110" s="246">
        <v>29807</v>
      </c>
      <c r="B110" s="105">
        <v>1</v>
      </c>
      <c r="C110" s="247">
        <v>46122</v>
      </c>
      <c r="D110" s="105">
        <f t="shared" ca="1" si="3"/>
        <v>105</v>
      </c>
      <c r="E110" s="138" t="str">
        <f t="shared" si="2"/>
        <v>ADMITIDO</v>
      </c>
      <c r="F110" s="138" t="s">
        <v>42</v>
      </c>
      <c r="G110" s="117" t="s">
        <v>240</v>
      </c>
      <c r="H110" s="117" t="str">
        <f>X110</f>
        <v>ADMITIDO</v>
      </c>
      <c r="I110" s="117" t="str">
        <f>IF(X110="ADMITIDO","ADMITIDO",IF(X110="CANCELADA","CANCELADA",IF(H110="","",IFERROR(_xlfn.XLOOKUP(H110,Listas!I:I,Listas!J:J),"OUTROS"))))</f>
        <v>ADMITIDO</v>
      </c>
      <c r="J110" s="248" t="s">
        <v>53</v>
      </c>
      <c r="K110" s="73" t="s">
        <v>241</v>
      </c>
      <c r="L110" s="73" t="s">
        <v>312</v>
      </c>
      <c r="M110" s="73"/>
      <c r="N110" s="73" t="s">
        <v>243</v>
      </c>
      <c r="O110" s="73" t="s">
        <v>34</v>
      </c>
      <c r="P110" s="73" t="s">
        <v>57</v>
      </c>
      <c r="Q110" s="73" t="s">
        <v>480</v>
      </c>
      <c r="R110" s="74"/>
      <c r="S110" s="228"/>
      <c r="T110" s="74" t="s">
        <v>481</v>
      </c>
      <c r="U110" s="73" t="s">
        <v>132</v>
      </c>
      <c r="V110" s="220">
        <v>46135</v>
      </c>
      <c r="W110" s="203" t="s">
        <v>482</v>
      </c>
      <c r="X110" s="227" t="s">
        <v>40</v>
      </c>
      <c r="Y110" s="249">
        <v>46140</v>
      </c>
      <c r="Z110" s="249">
        <v>46141</v>
      </c>
      <c r="AA110" s="224">
        <v>914194</v>
      </c>
      <c r="AB110" s="74" t="s">
        <v>483</v>
      </c>
      <c r="AC110" s="74"/>
      <c r="AD110" s="256">
        <v>0</v>
      </c>
    </row>
    <row r="111" spans="1:30" s="251" customFormat="1" ht="18" customHeight="1">
      <c r="A111" s="97">
        <v>29809</v>
      </c>
      <c r="B111" s="105">
        <v>1</v>
      </c>
      <c r="C111" s="247">
        <v>46122</v>
      </c>
      <c r="D111" s="105">
        <f t="shared" ca="1" si="3"/>
        <v>105</v>
      </c>
      <c r="E111" s="138" t="str">
        <f t="shared" si="2"/>
        <v>CANCELADA</v>
      </c>
      <c r="F111" s="138" t="s">
        <v>42</v>
      </c>
      <c r="G111" s="117" t="s">
        <v>240</v>
      </c>
      <c r="H111" s="117" t="s">
        <v>52</v>
      </c>
      <c r="I111" s="117" t="str">
        <f>IF(X111="ADMITIDO","ADMITIDO",IF(X111="CANCELADA","CANCELADA",IF(H111="","",IFERROR(_xlfn.XLOOKUP(H111,Listas!I:I,Listas!J:J),"OUTROS"))))</f>
        <v>CANCELADA</v>
      </c>
      <c r="J111" s="248" t="s">
        <v>53</v>
      </c>
      <c r="K111" s="73" t="s">
        <v>241</v>
      </c>
      <c r="L111" s="73" t="s">
        <v>312</v>
      </c>
      <c r="M111" s="73"/>
      <c r="N111" s="73" t="s">
        <v>243</v>
      </c>
      <c r="O111" s="73" t="s">
        <v>34</v>
      </c>
      <c r="P111" s="73" t="s">
        <v>57</v>
      </c>
      <c r="Q111" s="73" t="s">
        <v>480</v>
      </c>
      <c r="R111" s="74"/>
      <c r="S111" s="228"/>
      <c r="T111" s="74"/>
      <c r="U111" s="73"/>
      <c r="V111" s="220"/>
      <c r="W111" s="203"/>
      <c r="X111" s="227" t="s">
        <v>52</v>
      </c>
      <c r="Y111" s="249"/>
      <c r="Z111" s="249"/>
      <c r="AA111" s="224"/>
      <c r="AB111" s="74"/>
      <c r="AC111" s="74"/>
      <c r="AD111" s="256">
        <v>0</v>
      </c>
    </row>
    <row r="112" spans="1:30" s="251" customFormat="1" ht="18" customHeight="1">
      <c r="A112" s="97">
        <v>29797</v>
      </c>
      <c r="B112" s="105">
        <v>1</v>
      </c>
      <c r="C112" s="247">
        <v>46122</v>
      </c>
      <c r="D112" s="105">
        <f t="shared" ca="1" si="3"/>
        <v>105</v>
      </c>
      <c r="E112" s="138" t="str">
        <f t="shared" si="2"/>
        <v>ADMITIDO</v>
      </c>
      <c r="F112" s="138" t="s">
        <v>28</v>
      </c>
      <c r="G112" s="117" t="s">
        <v>60</v>
      </c>
      <c r="H112" s="117" t="str">
        <f>X112</f>
        <v>ADMITIDO</v>
      </c>
      <c r="I112" s="117" t="str">
        <f>IF(X112="ADMITIDO","ADMITIDO",IF(X112="CANCELADA","CANCELADA",IF(H112="","",IFERROR(_xlfn.XLOOKUP(H112,Listas!I:I,Listas!J:J),"OUTROS"))))</f>
        <v>ADMITIDO</v>
      </c>
      <c r="J112" s="248" t="s">
        <v>268</v>
      </c>
      <c r="K112" s="73" t="s">
        <v>61</v>
      </c>
      <c r="L112" s="73" t="s">
        <v>255</v>
      </c>
      <c r="M112" s="73"/>
      <c r="N112" s="73" t="s">
        <v>63</v>
      </c>
      <c r="O112" s="73" t="s">
        <v>34</v>
      </c>
      <c r="P112" s="73" t="s">
        <v>35</v>
      </c>
      <c r="Q112" s="73" t="s">
        <v>36</v>
      </c>
      <c r="R112" s="74" t="s">
        <v>484</v>
      </c>
      <c r="S112" s="228" t="s">
        <v>65</v>
      </c>
      <c r="T112" s="74" t="s">
        <v>485</v>
      </c>
      <c r="U112" s="73" t="s">
        <v>67</v>
      </c>
      <c r="V112" s="220">
        <v>46129</v>
      </c>
      <c r="W112" s="203" t="s">
        <v>486</v>
      </c>
      <c r="X112" s="227" t="s">
        <v>40</v>
      </c>
      <c r="Y112" s="249">
        <v>46134</v>
      </c>
      <c r="Z112" s="249">
        <v>46135</v>
      </c>
      <c r="AA112" s="224">
        <v>914159</v>
      </c>
      <c r="AB112" s="74"/>
      <c r="AC112" s="74"/>
      <c r="AD112" s="256">
        <v>0</v>
      </c>
    </row>
    <row r="113" spans="1:30" s="251" customFormat="1" ht="18" customHeight="1">
      <c r="A113" s="97">
        <v>29801</v>
      </c>
      <c r="B113" s="105">
        <v>1</v>
      </c>
      <c r="C113" s="247">
        <v>46122</v>
      </c>
      <c r="D113" s="105">
        <f t="shared" ca="1" si="3"/>
        <v>105</v>
      </c>
      <c r="E113" s="138" t="str">
        <f t="shared" si="2"/>
        <v>ADMITIDO</v>
      </c>
      <c r="F113" s="138" t="s">
        <v>28</v>
      </c>
      <c r="G113" s="117" t="s">
        <v>240</v>
      </c>
      <c r="H113" s="117" t="s">
        <v>40</v>
      </c>
      <c r="I113" s="117" t="str">
        <f>IF(X113="ADMITIDO","ADMITIDO",IF(X113="CANCELADA","CANCELADA",IF(H113="","",IFERROR(_xlfn.XLOOKUP(H113,Listas!I:I,Listas!J:J),"OUTROS"))))</f>
        <v>ADMITIDO</v>
      </c>
      <c r="J113" s="248" t="s">
        <v>487</v>
      </c>
      <c r="K113" s="73" t="s">
        <v>423</v>
      </c>
      <c r="L113" s="73" t="s">
        <v>488</v>
      </c>
      <c r="M113" s="73"/>
      <c r="N113" s="73" t="s">
        <v>63</v>
      </c>
      <c r="O113" s="73" t="s">
        <v>34</v>
      </c>
      <c r="P113" s="73" t="s">
        <v>35</v>
      </c>
      <c r="Q113" s="73" t="s">
        <v>36</v>
      </c>
      <c r="R113" s="74"/>
      <c r="S113" s="228"/>
      <c r="T113" s="74" t="s">
        <v>489</v>
      </c>
      <c r="U113" s="73" t="s">
        <v>76</v>
      </c>
      <c r="V113" s="220">
        <v>46132</v>
      </c>
      <c r="W113" s="203" t="s">
        <v>490</v>
      </c>
      <c r="X113" s="227" t="s">
        <v>40</v>
      </c>
      <c r="Y113" s="249">
        <v>46134</v>
      </c>
      <c r="Z113" s="249">
        <v>46135</v>
      </c>
      <c r="AA113" s="224">
        <v>914158</v>
      </c>
      <c r="AB113" s="74"/>
      <c r="AC113" s="74"/>
      <c r="AD113" s="256">
        <v>0</v>
      </c>
    </row>
    <row r="114" spans="1:30" s="251" customFormat="1" ht="18" customHeight="1">
      <c r="A114" s="97">
        <v>29792</v>
      </c>
      <c r="B114" s="105">
        <v>1</v>
      </c>
      <c r="C114" s="247">
        <v>46122</v>
      </c>
      <c r="D114" s="105">
        <f t="shared" ca="1" si="3"/>
        <v>105</v>
      </c>
      <c r="E114" s="138" t="str">
        <f t="shared" si="2"/>
        <v>ADMITIDO</v>
      </c>
      <c r="F114" s="138" t="s">
        <v>42</v>
      </c>
      <c r="G114" s="117" t="s">
        <v>240</v>
      </c>
      <c r="H114" s="117" t="str">
        <f>X114</f>
        <v>ADMITIDO</v>
      </c>
      <c r="I114" s="117" t="str">
        <f>IF(X114="ADMITIDO","ADMITIDO",IF(X114="CANCELADA","CANCELADA",IF(H114="","",IFERROR(_xlfn.XLOOKUP(H114,Listas!I:I,Listas!J:J),"OUTROS"))))</f>
        <v>ADMITIDO</v>
      </c>
      <c r="J114" s="248" t="s">
        <v>163</v>
      </c>
      <c r="K114" s="73" t="s">
        <v>241</v>
      </c>
      <c r="L114" s="73" t="s">
        <v>491</v>
      </c>
      <c r="M114" s="73"/>
      <c r="N114" s="73" t="s">
        <v>63</v>
      </c>
      <c r="O114" s="73" t="s">
        <v>34</v>
      </c>
      <c r="P114" s="73" t="s">
        <v>57</v>
      </c>
      <c r="Q114" s="73" t="s">
        <v>432</v>
      </c>
      <c r="R114" s="74"/>
      <c r="S114" s="228"/>
      <c r="T114" s="74" t="s">
        <v>492</v>
      </c>
      <c r="U114" s="73" t="s">
        <v>132</v>
      </c>
      <c r="V114" s="220">
        <v>46126</v>
      </c>
      <c r="W114" s="203" t="s">
        <v>493</v>
      </c>
      <c r="X114" s="227" t="s">
        <v>40</v>
      </c>
      <c r="Y114" s="249">
        <v>46132</v>
      </c>
      <c r="Z114" s="249">
        <v>46134</v>
      </c>
      <c r="AA114" s="224">
        <v>145865</v>
      </c>
      <c r="AB114" s="74"/>
      <c r="AC114" s="74"/>
      <c r="AD114" s="256">
        <v>0</v>
      </c>
    </row>
    <row r="115" spans="1:30" s="251" customFormat="1" ht="18" customHeight="1">
      <c r="A115" s="97">
        <v>29802</v>
      </c>
      <c r="B115" s="105">
        <v>1</v>
      </c>
      <c r="C115" s="247">
        <v>46122</v>
      </c>
      <c r="D115" s="105">
        <f t="shared" ca="1" si="3"/>
        <v>105</v>
      </c>
      <c r="E115" s="138" t="str">
        <f t="shared" si="2"/>
        <v>CANCELADA</v>
      </c>
      <c r="F115" s="138" t="s">
        <v>42</v>
      </c>
      <c r="G115" s="117" t="s">
        <v>240</v>
      </c>
      <c r="H115" s="117" t="s">
        <v>52</v>
      </c>
      <c r="I115" s="117" t="str">
        <f>IF(X115="ADMITIDO","ADMITIDO",IF(X115="CANCELADA","CANCELADA",IF(H115="","",IFERROR(_xlfn.XLOOKUP(H115,Listas!I:I,Listas!J:J),"OUTROS"))))</f>
        <v>CANCELADA</v>
      </c>
      <c r="J115" s="248" t="s">
        <v>53</v>
      </c>
      <c r="K115" s="73" t="s">
        <v>241</v>
      </c>
      <c r="L115" s="73" t="s">
        <v>494</v>
      </c>
      <c r="M115" s="73"/>
      <c r="N115" s="73" t="s">
        <v>175</v>
      </c>
      <c r="O115" s="73" t="s">
        <v>56</v>
      </c>
      <c r="P115" s="73" t="s">
        <v>35</v>
      </c>
      <c r="Q115" s="73" t="s">
        <v>176</v>
      </c>
      <c r="R115" s="74"/>
      <c r="S115" s="228"/>
      <c r="T115" s="74"/>
      <c r="U115" s="73"/>
      <c r="V115" s="220"/>
      <c r="W115" s="203"/>
      <c r="X115" s="227" t="s">
        <v>52</v>
      </c>
      <c r="Y115" s="249"/>
      <c r="Z115" s="249"/>
      <c r="AA115" s="224"/>
      <c r="AB115" s="74"/>
      <c r="AC115" s="74"/>
      <c r="AD115" s="256">
        <v>0</v>
      </c>
    </row>
    <row r="116" spans="1:30" s="251" customFormat="1" ht="18" customHeight="1">
      <c r="A116" s="97">
        <v>29819</v>
      </c>
      <c r="B116" s="105">
        <v>1</v>
      </c>
      <c r="C116" s="247">
        <v>46125</v>
      </c>
      <c r="D116" s="105">
        <f t="shared" ca="1" si="3"/>
        <v>102</v>
      </c>
      <c r="E116" s="138" t="str">
        <f t="shared" si="2"/>
        <v>CANCELADA</v>
      </c>
      <c r="F116" s="138" t="s">
        <v>28</v>
      </c>
      <c r="G116" s="117" t="s">
        <v>29</v>
      </c>
      <c r="H116" s="117" t="s">
        <v>52</v>
      </c>
      <c r="I116" s="117" t="str">
        <f>IF(X116="ADMITIDO","ADMITIDO",IF(X116="CANCELADA","CANCELADA",IF(H116="","",IFERROR(_xlfn.XLOOKUP(H116,Listas!I:I,Listas!J:J),"OUTROS"))))</f>
        <v>CANCELADA</v>
      </c>
      <c r="J116" s="248" t="s">
        <v>30</v>
      </c>
      <c r="K116" s="73" t="s">
        <v>86</v>
      </c>
      <c r="L116" s="73" t="s">
        <v>495</v>
      </c>
      <c r="M116" s="73"/>
      <c r="N116" s="73" t="s">
        <v>496</v>
      </c>
      <c r="O116" s="73" t="s">
        <v>34</v>
      </c>
      <c r="P116" s="73" t="s">
        <v>35</v>
      </c>
      <c r="Q116" s="73" t="s">
        <v>36</v>
      </c>
      <c r="R116" s="74" t="s">
        <v>497</v>
      </c>
      <c r="S116" s="228"/>
      <c r="T116" s="74"/>
      <c r="U116" s="73"/>
      <c r="V116" s="220"/>
      <c r="W116" s="203"/>
      <c r="X116" s="227" t="s">
        <v>52</v>
      </c>
      <c r="Y116" s="249"/>
      <c r="Z116" s="249"/>
      <c r="AA116" s="224"/>
      <c r="AB116" s="74"/>
      <c r="AC116" s="74"/>
      <c r="AD116" s="256">
        <v>0</v>
      </c>
    </row>
    <row r="117" spans="1:30" s="251" customFormat="1" ht="18" customHeight="1">
      <c r="A117" s="97">
        <v>29827</v>
      </c>
      <c r="B117" s="105">
        <v>1</v>
      </c>
      <c r="C117" s="247">
        <v>46125</v>
      </c>
      <c r="D117" s="105">
        <f t="shared" ca="1" si="3"/>
        <v>102</v>
      </c>
      <c r="E117" s="138" t="str">
        <f t="shared" si="2"/>
        <v>ADMITIDO</v>
      </c>
      <c r="F117" s="138" t="s">
        <v>42</v>
      </c>
      <c r="G117" s="117" t="s">
        <v>60</v>
      </c>
      <c r="H117" s="117" t="s">
        <v>40</v>
      </c>
      <c r="I117" s="117" t="str">
        <f>IF(X117="ADMITIDO","ADMITIDO",IF(X117="CANCELADA","CANCELADA",IF(H117="","",IFERROR(_xlfn.XLOOKUP(H117,Listas!I:I,Listas!J:J),"OUTROS"))))</f>
        <v>ADMITIDO</v>
      </c>
      <c r="J117" s="248" t="s">
        <v>53</v>
      </c>
      <c r="K117" s="73" t="s">
        <v>61</v>
      </c>
      <c r="L117" s="73" t="s">
        <v>498</v>
      </c>
      <c r="M117" s="73"/>
      <c r="N117" s="73" t="s">
        <v>63</v>
      </c>
      <c r="O117" s="73" t="s">
        <v>34</v>
      </c>
      <c r="P117" s="73" t="s">
        <v>72</v>
      </c>
      <c r="Q117" s="73" t="s">
        <v>151</v>
      </c>
      <c r="R117" s="74" t="s">
        <v>499</v>
      </c>
      <c r="S117" s="228"/>
      <c r="T117" s="74"/>
      <c r="U117" s="73" t="s">
        <v>132</v>
      </c>
      <c r="V117" s="220">
        <v>46141</v>
      </c>
      <c r="W117" s="203" t="s">
        <v>500</v>
      </c>
      <c r="X117" s="227" t="s">
        <v>40</v>
      </c>
      <c r="Y117" s="249">
        <v>46146</v>
      </c>
      <c r="Z117" s="249">
        <v>46147</v>
      </c>
      <c r="AA117" s="224">
        <v>145911</v>
      </c>
      <c r="AB117" s="74" t="s">
        <v>501</v>
      </c>
      <c r="AC117" s="74"/>
      <c r="AD117" s="256">
        <v>0</v>
      </c>
    </row>
    <row r="118" spans="1:30" s="251" customFormat="1" ht="18" customHeight="1">
      <c r="A118" s="97">
        <v>29820</v>
      </c>
      <c r="B118" s="105">
        <v>1</v>
      </c>
      <c r="C118" s="247">
        <v>46125</v>
      </c>
      <c r="D118" s="105">
        <f t="shared" ca="1" si="3"/>
        <v>102</v>
      </c>
      <c r="E118" s="138" t="str">
        <f t="shared" si="2"/>
        <v>CANCELADA</v>
      </c>
      <c r="F118" s="138" t="s">
        <v>28</v>
      </c>
      <c r="G118" s="117" t="s">
        <v>240</v>
      </c>
      <c r="H118" s="117" t="s">
        <v>52</v>
      </c>
      <c r="I118" s="117" t="str">
        <f>IF(X118="ADMITIDO","ADMITIDO",IF(X118="CANCELADA","CANCELADA",IF(H118="","",IFERROR(_xlfn.XLOOKUP(H118,Listas!I:I,Listas!J:J),"OUTROS"))))</f>
        <v>CANCELADA</v>
      </c>
      <c r="J118" s="248" t="s">
        <v>268</v>
      </c>
      <c r="K118" s="73" t="s">
        <v>423</v>
      </c>
      <c r="L118" s="73" t="s">
        <v>502</v>
      </c>
      <c r="M118" s="73"/>
      <c r="N118" s="73" t="s">
        <v>63</v>
      </c>
      <c r="O118" s="73" t="s">
        <v>34</v>
      </c>
      <c r="P118" s="73" t="s">
        <v>35</v>
      </c>
      <c r="Q118" s="73" t="s">
        <v>36</v>
      </c>
      <c r="R118" s="74" t="s">
        <v>365</v>
      </c>
      <c r="S118" s="228"/>
      <c r="T118" s="74"/>
      <c r="U118" s="73"/>
      <c r="V118" s="220"/>
      <c r="W118" s="203"/>
      <c r="X118" s="227" t="s">
        <v>52</v>
      </c>
      <c r="Y118" s="249"/>
      <c r="Z118" s="249"/>
      <c r="AA118" s="224"/>
      <c r="AB118" s="74"/>
      <c r="AC118" s="74"/>
      <c r="AD118" s="256">
        <v>0</v>
      </c>
    </row>
    <row r="119" spans="1:30" s="251" customFormat="1" ht="18" customHeight="1">
      <c r="A119" s="246">
        <v>29822</v>
      </c>
      <c r="B119" s="105">
        <v>1</v>
      </c>
      <c r="C119" s="247">
        <v>46125</v>
      </c>
      <c r="D119" s="105">
        <f t="shared" ca="1" si="3"/>
        <v>102</v>
      </c>
      <c r="E119" s="138" t="str">
        <f t="shared" si="2"/>
        <v>ADMITIDO</v>
      </c>
      <c r="F119" s="138" t="s">
        <v>42</v>
      </c>
      <c r="G119" s="117" t="s">
        <v>60</v>
      </c>
      <c r="H119" s="117" t="str">
        <f>X119</f>
        <v>ADMITIDO</v>
      </c>
      <c r="I119" s="117" t="str">
        <f>IF(X119="ADMITIDO","ADMITIDO",IF(X119="CANCELADA","CANCELADA",IF(H119="","",IFERROR(_xlfn.XLOOKUP(H119,Listas!I:I,Listas!J:J),"OUTROS"))))</f>
        <v>ADMITIDO</v>
      </c>
      <c r="J119" s="248" t="s">
        <v>53</v>
      </c>
      <c r="K119" s="73" t="s">
        <v>61</v>
      </c>
      <c r="L119" s="73" t="s">
        <v>161</v>
      </c>
      <c r="M119" s="73"/>
      <c r="N119" s="73" t="s">
        <v>33</v>
      </c>
      <c r="O119" s="73" t="s">
        <v>34</v>
      </c>
      <c r="P119" s="73" t="s">
        <v>72</v>
      </c>
      <c r="Q119" s="73" t="s">
        <v>73</v>
      </c>
      <c r="R119" s="74"/>
      <c r="S119" s="228" t="s">
        <v>65</v>
      </c>
      <c r="T119" s="74" t="s">
        <v>503</v>
      </c>
      <c r="U119" s="73" t="s">
        <v>76</v>
      </c>
      <c r="V119" s="220">
        <v>46134</v>
      </c>
      <c r="W119" s="203" t="s">
        <v>504</v>
      </c>
      <c r="X119" s="227" t="s">
        <v>40</v>
      </c>
      <c r="Y119" s="249">
        <v>46140</v>
      </c>
      <c r="Z119" s="249">
        <v>46141</v>
      </c>
      <c r="AA119" s="224">
        <v>145898</v>
      </c>
      <c r="AB119" s="74" t="s">
        <v>505</v>
      </c>
      <c r="AC119" s="74"/>
      <c r="AD119" s="256">
        <v>0</v>
      </c>
    </row>
    <row r="120" spans="1:30" s="251" customFormat="1" ht="18" customHeight="1">
      <c r="A120" s="97">
        <v>29825</v>
      </c>
      <c r="B120" s="105">
        <v>1</v>
      </c>
      <c r="C120" s="247">
        <v>46125</v>
      </c>
      <c r="D120" s="105">
        <f t="shared" ca="1" si="3"/>
        <v>102</v>
      </c>
      <c r="E120" s="138" t="str">
        <f t="shared" si="2"/>
        <v>ADMITIDO</v>
      </c>
      <c r="F120" s="138" t="s">
        <v>42</v>
      </c>
      <c r="G120" s="117" t="s">
        <v>60</v>
      </c>
      <c r="H120" s="117" t="s">
        <v>40</v>
      </c>
      <c r="I120" s="117" t="str">
        <f>IF(X120="ADMITIDO","ADMITIDO",IF(X120="CANCELADA","CANCELADA",IF(H120="","",IFERROR(_xlfn.XLOOKUP(H120,Listas!I:I,Listas!J:J),"OUTROS"))))</f>
        <v>ADMITIDO</v>
      </c>
      <c r="J120" s="248" t="s">
        <v>461</v>
      </c>
      <c r="K120" s="73" t="s">
        <v>61</v>
      </c>
      <c r="L120" s="73" t="s">
        <v>506</v>
      </c>
      <c r="M120" s="73"/>
      <c r="N120" s="73" t="s">
        <v>63</v>
      </c>
      <c r="O120" s="73" t="s">
        <v>34</v>
      </c>
      <c r="P120" s="73" t="s">
        <v>57</v>
      </c>
      <c r="Q120" s="73" t="s">
        <v>98</v>
      </c>
      <c r="R120" s="74" t="s">
        <v>507</v>
      </c>
      <c r="S120" s="228" t="s">
        <v>65</v>
      </c>
      <c r="T120" s="74" t="s">
        <v>508</v>
      </c>
      <c r="U120" s="73" t="s">
        <v>76</v>
      </c>
      <c r="V120" s="220">
        <v>46141</v>
      </c>
      <c r="W120" s="203" t="s">
        <v>509</v>
      </c>
      <c r="X120" s="73" t="s">
        <v>40</v>
      </c>
      <c r="Y120" s="249">
        <v>46149</v>
      </c>
      <c r="Z120" s="249">
        <v>46150</v>
      </c>
      <c r="AA120" s="224">
        <v>914232</v>
      </c>
      <c r="AB120" s="74" t="s">
        <v>510</v>
      </c>
      <c r="AC120" s="74"/>
      <c r="AD120" s="256">
        <v>0</v>
      </c>
    </row>
    <row r="121" spans="1:30" s="251" customFormat="1" ht="18" customHeight="1">
      <c r="A121" s="97">
        <v>29857</v>
      </c>
      <c r="B121" s="105">
        <v>1</v>
      </c>
      <c r="C121" s="247">
        <v>46125</v>
      </c>
      <c r="D121" s="105">
        <f t="shared" ca="1" si="3"/>
        <v>102</v>
      </c>
      <c r="E121" s="138" t="str">
        <f t="shared" si="2"/>
        <v>ADMITIDO</v>
      </c>
      <c r="F121" s="138" t="s">
        <v>42</v>
      </c>
      <c r="G121" s="117" t="s">
        <v>43</v>
      </c>
      <c r="H121" s="117" t="s">
        <v>40</v>
      </c>
      <c r="I121" s="117" t="str">
        <f>IF(X121="ADMITIDO","ADMITIDO",IF(X121="CANCELADA","CANCELADA",IF(H121="","",IFERROR(_xlfn.XLOOKUP(H121,Listas!I:I,Listas!J:J),"OUTROS"))))</f>
        <v>ADMITIDO</v>
      </c>
      <c r="J121" s="248" t="s">
        <v>116</v>
      </c>
      <c r="K121" s="73" t="s">
        <v>189</v>
      </c>
      <c r="L121" s="73" t="s">
        <v>511</v>
      </c>
      <c r="M121" s="73"/>
      <c r="N121" s="73" t="s">
        <v>512</v>
      </c>
      <c r="O121" s="73" t="s">
        <v>34</v>
      </c>
      <c r="P121" s="73" t="s">
        <v>48</v>
      </c>
      <c r="Q121" s="73" t="s">
        <v>414</v>
      </c>
      <c r="R121" s="74" t="s">
        <v>1320</v>
      </c>
      <c r="S121" s="228" t="s">
        <v>1321</v>
      </c>
      <c r="T121" s="252">
        <v>11978225856</v>
      </c>
      <c r="U121" s="73" t="s">
        <v>67</v>
      </c>
      <c r="V121" s="220">
        <v>46174</v>
      </c>
      <c r="W121" s="203" t="s">
        <v>1322</v>
      </c>
      <c r="X121" s="227" t="s">
        <v>40</v>
      </c>
      <c r="Y121" s="249">
        <v>46188</v>
      </c>
      <c r="Z121" s="249">
        <v>46188</v>
      </c>
      <c r="AA121" s="224">
        <v>914434</v>
      </c>
      <c r="AB121" s="74" t="s">
        <v>1323</v>
      </c>
      <c r="AC121" s="74"/>
      <c r="AD121" s="256">
        <v>0</v>
      </c>
    </row>
    <row r="122" spans="1:30" s="251" customFormat="1" ht="18" customHeight="1">
      <c r="A122" s="97">
        <v>29839</v>
      </c>
      <c r="B122" s="105">
        <v>1</v>
      </c>
      <c r="C122" s="247">
        <v>46125</v>
      </c>
      <c r="D122" s="105">
        <f t="shared" ca="1" si="3"/>
        <v>102</v>
      </c>
      <c r="E122" s="138" t="str">
        <f t="shared" si="2"/>
        <v>ADMITIDO</v>
      </c>
      <c r="F122" s="138" t="s">
        <v>171</v>
      </c>
      <c r="G122" s="117" t="s">
        <v>145</v>
      </c>
      <c r="H122" s="117" t="s">
        <v>40</v>
      </c>
      <c r="I122" s="117" t="str">
        <f>IF(X122="ADMITIDO","ADMITIDO",IF(X122="CANCELADA","CANCELADA",IF(H122="","",IFERROR(_xlfn.XLOOKUP(H122,Listas!I:I,Listas!J:J),"OUTROS"))))</f>
        <v>ADMITIDO</v>
      </c>
      <c r="J122" s="248" t="s">
        <v>514</v>
      </c>
      <c r="K122" s="73" t="s">
        <v>371</v>
      </c>
      <c r="L122" s="73" t="s">
        <v>515</v>
      </c>
      <c r="M122" s="73"/>
      <c r="N122" s="73" t="s">
        <v>63</v>
      </c>
      <c r="O122" s="73" t="s">
        <v>34</v>
      </c>
      <c r="P122" s="73" t="s">
        <v>35</v>
      </c>
      <c r="Q122" s="73" t="s">
        <v>36</v>
      </c>
      <c r="R122" s="74"/>
      <c r="S122" s="228" t="s">
        <v>65</v>
      </c>
      <c r="T122" s="74" t="s">
        <v>516</v>
      </c>
      <c r="U122" s="73" t="s">
        <v>132</v>
      </c>
      <c r="V122" s="220">
        <v>46129</v>
      </c>
      <c r="W122" s="203" t="s">
        <v>517</v>
      </c>
      <c r="X122" s="227" t="s">
        <v>40</v>
      </c>
      <c r="Y122" s="249">
        <v>46135</v>
      </c>
      <c r="Z122" s="249">
        <v>46136</v>
      </c>
      <c r="AA122" s="224">
        <v>83268</v>
      </c>
      <c r="AB122" s="74"/>
      <c r="AC122" s="74"/>
      <c r="AD122" s="256">
        <v>0</v>
      </c>
    </row>
    <row r="123" spans="1:30" s="251" customFormat="1" ht="18" customHeight="1">
      <c r="A123" s="97">
        <v>29847</v>
      </c>
      <c r="B123" s="105">
        <v>1</v>
      </c>
      <c r="C123" s="247">
        <v>46125</v>
      </c>
      <c r="D123" s="105">
        <f t="shared" ca="1" si="3"/>
        <v>102</v>
      </c>
      <c r="E123" s="138" t="str">
        <f t="shared" si="2"/>
        <v>ADMITIDO</v>
      </c>
      <c r="F123" s="138" t="s">
        <v>42</v>
      </c>
      <c r="G123" s="117" t="s">
        <v>240</v>
      </c>
      <c r="H123" s="117" t="s">
        <v>40</v>
      </c>
      <c r="I123" s="117" t="str">
        <f>IF(X123="ADMITIDO","ADMITIDO",IF(X123="CANCELADA","CANCELADA",IF(H123="","",IFERROR(_xlfn.XLOOKUP(H123,Listas!I:I,Listas!J:J),"OUTROS"))))</f>
        <v>ADMITIDO</v>
      </c>
      <c r="J123" s="248" t="s">
        <v>53</v>
      </c>
      <c r="K123" s="73" t="s">
        <v>241</v>
      </c>
      <c r="L123" s="73" t="s">
        <v>518</v>
      </c>
      <c r="M123" s="73"/>
      <c r="N123" s="73" t="s">
        <v>63</v>
      </c>
      <c r="O123" s="73" t="s">
        <v>34</v>
      </c>
      <c r="P123" s="73" t="s">
        <v>48</v>
      </c>
      <c r="Q123" s="73" t="s">
        <v>120</v>
      </c>
      <c r="R123" s="74" t="s">
        <v>365</v>
      </c>
      <c r="S123" s="228"/>
      <c r="T123" s="74" t="s">
        <v>519</v>
      </c>
      <c r="U123" s="73" t="s">
        <v>132</v>
      </c>
      <c r="V123" s="220"/>
      <c r="W123" s="203" t="s">
        <v>520</v>
      </c>
      <c r="X123" s="227" t="s">
        <v>40</v>
      </c>
      <c r="Y123" s="249">
        <v>46134</v>
      </c>
      <c r="Z123" s="249">
        <v>46135</v>
      </c>
      <c r="AA123" s="224">
        <v>145867</v>
      </c>
      <c r="AB123" s="74"/>
      <c r="AC123" s="74"/>
      <c r="AD123" s="256">
        <v>0</v>
      </c>
    </row>
    <row r="124" spans="1:30" s="251" customFormat="1" ht="18" customHeight="1">
      <c r="A124" s="97">
        <v>29824</v>
      </c>
      <c r="B124" s="105">
        <v>1</v>
      </c>
      <c r="C124" s="247">
        <v>46125</v>
      </c>
      <c r="D124" s="105">
        <f t="shared" ca="1" si="3"/>
        <v>102</v>
      </c>
      <c r="E124" s="138" t="str">
        <f t="shared" si="2"/>
        <v>CANCELADA</v>
      </c>
      <c r="F124" s="138" t="s">
        <v>42</v>
      </c>
      <c r="G124" s="117" t="s">
        <v>60</v>
      </c>
      <c r="H124" s="117" t="s">
        <v>52</v>
      </c>
      <c r="I124" s="117" t="str">
        <f>IF(X124="ADMITIDO","ADMITIDO",IF(X124="CANCELADA","CANCELADA",IF(H124="","",IFERROR(_xlfn.XLOOKUP(H124,Listas!I:I,Listas!J:J),"OUTROS"))))</f>
        <v>CANCELADA</v>
      </c>
      <c r="J124" s="248" t="s">
        <v>44</v>
      </c>
      <c r="K124" s="73" t="s">
        <v>61</v>
      </c>
      <c r="L124" s="73" t="s">
        <v>521</v>
      </c>
      <c r="M124" s="73"/>
      <c r="N124" s="73" t="s">
        <v>63</v>
      </c>
      <c r="O124" s="73" t="s">
        <v>34</v>
      </c>
      <c r="P124" s="73" t="s">
        <v>57</v>
      </c>
      <c r="Q124" s="73" t="s">
        <v>98</v>
      </c>
      <c r="R124" s="74" t="s">
        <v>522</v>
      </c>
      <c r="S124" s="228"/>
      <c r="T124" s="74"/>
      <c r="U124" s="73"/>
      <c r="V124" s="220"/>
      <c r="W124" s="203"/>
      <c r="X124" s="227" t="s">
        <v>52</v>
      </c>
      <c r="Y124" s="249"/>
      <c r="Z124" s="249"/>
      <c r="AA124" s="224"/>
      <c r="AB124" s="74"/>
      <c r="AC124" s="74"/>
      <c r="AD124" s="256">
        <v>0</v>
      </c>
    </row>
    <row r="125" spans="1:30" s="251" customFormat="1" ht="18" customHeight="1">
      <c r="A125" s="97">
        <v>29849</v>
      </c>
      <c r="B125" s="105">
        <v>1</v>
      </c>
      <c r="C125" s="247">
        <v>46125</v>
      </c>
      <c r="D125" s="105">
        <f t="shared" ca="1" si="3"/>
        <v>102</v>
      </c>
      <c r="E125" s="138" t="str">
        <f t="shared" si="2"/>
        <v>ADMITIDO</v>
      </c>
      <c r="F125" s="138" t="s">
        <v>42</v>
      </c>
      <c r="G125" s="117" t="s">
        <v>102</v>
      </c>
      <c r="H125" s="117" t="str">
        <f>X125</f>
        <v>ADMITIDO</v>
      </c>
      <c r="I125" s="117" t="str">
        <f>IF(X125="ADMITIDO","ADMITIDO",IF(X125="CANCELADA","CANCELADA",IF(H125="","",IFERROR(_xlfn.XLOOKUP(H125,Listas!I:I,Listas!J:J),"OUTROS"))))</f>
        <v>ADMITIDO</v>
      </c>
      <c r="J125" s="248" t="s">
        <v>53</v>
      </c>
      <c r="K125" s="73" t="s">
        <v>103</v>
      </c>
      <c r="L125" s="73" t="s">
        <v>523</v>
      </c>
      <c r="M125" s="73"/>
      <c r="N125" s="73" t="s">
        <v>274</v>
      </c>
      <c r="O125" s="73" t="s">
        <v>34</v>
      </c>
      <c r="P125" s="73" t="s">
        <v>48</v>
      </c>
      <c r="Q125" s="73" t="s">
        <v>275</v>
      </c>
      <c r="R125" s="74"/>
      <c r="S125" s="228"/>
      <c r="T125" s="74"/>
      <c r="U125" s="73" t="s">
        <v>67</v>
      </c>
      <c r="V125" s="220">
        <v>46128</v>
      </c>
      <c r="W125" s="203" t="s">
        <v>524</v>
      </c>
      <c r="X125" s="227" t="s">
        <v>40</v>
      </c>
      <c r="Y125" s="249">
        <v>46134</v>
      </c>
      <c r="Z125" s="249">
        <v>46136</v>
      </c>
      <c r="AA125" s="224">
        <v>145875</v>
      </c>
      <c r="AB125" s="74"/>
      <c r="AC125" s="74"/>
      <c r="AD125" s="256">
        <v>0</v>
      </c>
    </row>
    <row r="126" spans="1:30" s="251" customFormat="1" ht="18" customHeight="1">
      <c r="A126" s="246">
        <v>29844</v>
      </c>
      <c r="B126" s="105">
        <v>1</v>
      </c>
      <c r="C126" s="247">
        <v>46125</v>
      </c>
      <c r="D126" s="105">
        <f t="shared" ca="1" si="3"/>
        <v>102</v>
      </c>
      <c r="E126" s="138" t="str">
        <f t="shared" si="2"/>
        <v>ADMITIDO</v>
      </c>
      <c r="F126" s="138" t="s">
        <v>42</v>
      </c>
      <c r="G126" s="117" t="s">
        <v>69</v>
      </c>
      <c r="H126" s="117" t="str">
        <f>X126</f>
        <v>ADMITIDO</v>
      </c>
      <c r="I126" s="117" t="str">
        <f>IF(X126="ADMITIDO","ADMITIDO",IF(X126="CANCELADA","CANCELADA",IF(H126="","",IFERROR(_xlfn.XLOOKUP(H126,Listas!I:I,Listas!J:J),"OUTROS"))))</f>
        <v>ADMITIDO</v>
      </c>
      <c r="J126" s="248" t="s">
        <v>53</v>
      </c>
      <c r="K126" s="73" t="s">
        <v>70</v>
      </c>
      <c r="L126" s="73" t="s">
        <v>525</v>
      </c>
      <c r="M126" s="73"/>
      <c r="N126" s="73" t="s">
        <v>63</v>
      </c>
      <c r="O126" s="73" t="s">
        <v>34</v>
      </c>
      <c r="P126" s="73" t="s">
        <v>72</v>
      </c>
      <c r="Q126" s="73" t="s">
        <v>151</v>
      </c>
      <c r="R126" s="74"/>
      <c r="S126" s="228" t="s">
        <v>373</v>
      </c>
      <c r="T126" s="74"/>
      <c r="U126" s="73" t="s">
        <v>109</v>
      </c>
      <c r="V126" s="220">
        <v>46148</v>
      </c>
      <c r="W126" s="203" t="s">
        <v>526</v>
      </c>
      <c r="X126" s="227" t="s">
        <v>40</v>
      </c>
      <c r="Y126" s="249">
        <v>46153</v>
      </c>
      <c r="Z126" s="249">
        <v>46155</v>
      </c>
      <c r="AA126" s="224">
        <v>145940</v>
      </c>
      <c r="AB126" s="74" t="s">
        <v>527</v>
      </c>
      <c r="AC126" s="74"/>
      <c r="AD126" s="256">
        <v>0</v>
      </c>
    </row>
    <row r="127" spans="1:30" s="251" customFormat="1" ht="18" customHeight="1">
      <c r="A127" s="97">
        <v>29843</v>
      </c>
      <c r="B127" s="105">
        <v>1</v>
      </c>
      <c r="C127" s="247">
        <v>46125</v>
      </c>
      <c r="D127" s="105">
        <f t="shared" ca="1" si="3"/>
        <v>102</v>
      </c>
      <c r="E127" s="138" t="str">
        <f t="shared" si="2"/>
        <v>CANCELADA</v>
      </c>
      <c r="F127" s="138" t="s">
        <v>171</v>
      </c>
      <c r="G127" s="117" t="s">
        <v>43</v>
      </c>
      <c r="H127" s="117" t="s">
        <v>52</v>
      </c>
      <c r="I127" s="117" t="str">
        <f>IF(X127="ADMITIDO","ADMITIDO",IF(X127="CANCELADA","CANCELADA",IF(H127="","",IFERROR(_xlfn.XLOOKUP(H127,Listas!I:I,Listas!J:J),"OUTROS"))))</f>
        <v>CANCELADA</v>
      </c>
      <c r="J127" s="248" t="s">
        <v>172</v>
      </c>
      <c r="K127" s="73" t="s">
        <v>360</v>
      </c>
      <c r="L127" s="73" t="s">
        <v>528</v>
      </c>
      <c r="M127" s="73"/>
      <c r="N127" s="73" t="s">
        <v>529</v>
      </c>
      <c r="O127" s="73" t="s">
        <v>34</v>
      </c>
      <c r="P127" s="73" t="s">
        <v>35</v>
      </c>
      <c r="Q127" s="73" t="s">
        <v>36</v>
      </c>
      <c r="R127" s="74" t="s">
        <v>530</v>
      </c>
      <c r="S127" s="228"/>
      <c r="T127" s="252"/>
      <c r="U127" s="73"/>
      <c r="V127" s="220"/>
      <c r="W127" s="203"/>
      <c r="X127" s="227" t="s">
        <v>52</v>
      </c>
      <c r="Y127" s="249"/>
      <c r="Z127" s="249"/>
      <c r="AA127" s="224"/>
      <c r="AB127" s="74"/>
      <c r="AC127" s="74"/>
      <c r="AD127" s="256">
        <v>0</v>
      </c>
    </row>
    <row r="128" spans="1:30" s="251" customFormat="1" ht="18" customHeight="1">
      <c r="A128" s="97">
        <v>29815</v>
      </c>
      <c r="B128" s="105">
        <v>1</v>
      </c>
      <c r="C128" s="247">
        <v>46125</v>
      </c>
      <c r="D128" s="105">
        <f t="shared" ca="1" si="3"/>
        <v>102</v>
      </c>
      <c r="E128" s="138" t="str">
        <f t="shared" si="2"/>
        <v>ADMITIDO</v>
      </c>
      <c r="F128" s="138" t="s">
        <v>42</v>
      </c>
      <c r="G128" s="117" t="s">
        <v>43</v>
      </c>
      <c r="H128" s="117" t="str">
        <f>X128</f>
        <v>ADMITIDO</v>
      </c>
      <c r="I128" s="117" t="str">
        <f>IF(X128="ADMITIDO","ADMITIDO",IF(X128="CANCELADA","CANCELADA",IF(H128="","",IFERROR(_xlfn.XLOOKUP(H128,Listas!I:I,Listas!J:J),"OUTROS"))))</f>
        <v>ADMITIDO</v>
      </c>
      <c r="J128" s="248" t="s">
        <v>53</v>
      </c>
      <c r="K128" s="73" t="s">
        <v>189</v>
      </c>
      <c r="L128" s="73" t="s">
        <v>531</v>
      </c>
      <c r="M128" s="73"/>
      <c r="N128" s="73" t="s">
        <v>33</v>
      </c>
      <c r="O128" s="73" t="s">
        <v>34</v>
      </c>
      <c r="P128" s="73" t="s">
        <v>57</v>
      </c>
      <c r="Q128" s="73" t="s">
        <v>532</v>
      </c>
      <c r="R128" s="74"/>
      <c r="S128" s="228" t="s">
        <v>533</v>
      </c>
      <c r="T128" s="252"/>
      <c r="U128" s="73" t="s">
        <v>50</v>
      </c>
      <c r="V128" s="220">
        <v>46128</v>
      </c>
      <c r="W128" s="203" t="s">
        <v>534</v>
      </c>
      <c r="X128" s="227" t="s">
        <v>40</v>
      </c>
      <c r="Y128" s="249">
        <v>46136</v>
      </c>
      <c r="Z128" s="249">
        <v>46140</v>
      </c>
      <c r="AA128" s="224">
        <v>914167</v>
      </c>
      <c r="AB128" s="74"/>
      <c r="AC128" s="74"/>
      <c r="AD128" s="256">
        <v>0</v>
      </c>
    </row>
    <row r="129" spans="1:30" s="251" customFormat="1" ht="18" customHeight="1">
      <c r="A129" s="246">
        <v>29816</v>
      </c>
      <c r="B129" s="105">
        <v>1</v>
      </c>
      <c r="C129" s="247">
        <v>46125</v>
      </c>
      <c r="D129" s="105">
        <f t="shared" ca="1" si="3"/>
        <v>102</v>
      </c>
      <c r="E129" s="138" t="str">
        <f t="shared" si="2"/>
        <v>ADMITIDO</v>
      </c>
      <c r="F129" s="138" t="s">
        <v>42</v>
      </c>
      <c r="G129" s="117" t="s">
        <v>43</v>
      </c>
      <c r="H129" s="117" t="s">
        <v>40</v>
      </c>
      <c r="I129" s="117" t="str">
        <f>IF(X129="ADMITIDO","ADMITIDO",IF(X129="CANCELADA","CANCELADA",IF(H129="","",IFERROR(_xlfn.XLOOKUP(H129,Listas!I:I,Listas!J:J),"OUTROS"))))</f>
        <v>ADMITIDO</v>
      </c>
      <c r="J129" s="248" t="s">
        <v>53</v>
      </c>
      <c r="K129" s="73" t="s">
        <v>189</v>
      </c>
      <c r="L129" s="258" t="s">
        <v>1324</v>
      </c>
      <c r="M129" s="258"/>
      <c r="N129" s="73" t="s">
        <v>33</v>
      </c>
      <c r="O129" s="73" t="s">
        <v>34</v>
      </c>
      <c r="P129" s="73" t="s">
        <v>57</v>
      </c>
      <c r="Q129" s="73" t="s">
        <v>536</v>
      </c>
      <c r="R129" s="74"/>
      <c r="S129" s="228" t="s">
        <v>537</v>
      </c>
      <c r="T129" s="252">
        <v>11941655172</v>
      </c>
      <c r="U129" s="73" t="s">
        <v>50</v>
      </c>
      <c r="V129" s="220">
        <v>46135</v>
      </c>
      <c r="W129" s="203" t="s">
        <v>538</v>
      </c>
      <c r="X129" s="117" t="s">
        <v>40</v>
      </c>
      <c r="Y129" s="249">
        <v>46147</v>
      </c>
      <c r="Z129" s="201">
        <v>46147</v>
      </c>
      <c r="AA129" s="224">
        <v>914210</v>
      </c>
      <c r="AB129" s="74" t="s">
        <v>539</v>
      </c>
      <c r="AC129" s="74"/>
      <c r="AD129" s="256">
        <v>0</v>
      </c>
    </row>
    <row r="130" spans="1:30" s="251" customFormat="1" ht="18" customHeight="1">
      <c r="A130" s="97">
        <v>29841</v>
      </c>
      <c r="B130" s="105">
        <v>1</v>
      </c>
      <c r="C130" s="247">
        <v>46125</v>
      </c>
      <c r="D130" s="105">
        <f t="shared" ca="1" si="3"/>
        <v>102</v>
      </c>
      <c r="E130" s="138" t="str">
        <f t="shared" ref="E130:E193" si="5">IF(X130="ADMITIDO","ADMITIDO",IF(X130="CANCELADA","CANCELADA",IF(H130="","",IF(H130="ADMITIDO","ADMITIDO",IF(H130="CANCELADA","CANCELADA",IF(OR(H130="ANALISE CANCELAMENTO",H130="ANÁLISE CANCELAMENTO"),"EM ANÁLISE",IF(D130="","",IF(D130&lt;=7,"NO PRAZO",IF(D130&lt;=14,"ATENÇÃO","CRÍTICO")))))))))</f>
        <v>ADMITIDO</v>
      </c>
      <c r="F130" s="138" t="s">
        <v>42</v>
      </c>
      <c r="G130" s="117" t="s">
        <v>29</v>
      </c>
      <c r="H130" s="117" t="str">
        <f>X130</f>
        <v>ADMITIDO</v>
      </c>
      <c r="I130" s="117" t="str">
        <f>IF(X130="ADMITIDO","ADMITIDO",IF(X130="CANCELADA","CANCELADA",IF(H130="","",IFERROR(_xlfn.XLOOKUP(H130,Listas!I:I,Listas!J:J),"OUTROS"))))</f>
        <v>ADMITIDO</v>
      </c>
      <c r="J130" s="248" t="s">
        <v>227</v>
      </c>
      <c r="K130" s="73" t="s">
        <v>228</v>
      </c>
      <c r="L130" s="73" t="s">
        <v>540</v>
      </c>
      <c r="M130" s="73"/>
      <c r="N130" s="73" t="s">
        <v>88</v>
      </c>
      <c r="O130" s="73" t="s">
        <v>34</v>
      </c>
      <c r="P130" s="73" t="s">
        <v>48</v>
      </c>
      <c r="Q130" s="73" t="s">
        <v>541</v>
      </c>
      <c r="R130" s="74"/>
      <c r="S130" s="228"/>
      <c r="T130" s="255" t="s">
        <v>542</v>
      </c>
      <c r="U130" s="73" t="s">
        <v>38</v>
      </c>
      <c r="V130" s="220">
        <v>46126</v>
      </c>
      <c r="W130" s="203" t="s">
        <v>543</v>
      </c>
      <c r="X130" s="227" t="s">
        <v>40</v>
      </c>
      <c r="Y130" s="249">
        <v>46134</v>
      </c>
      <c r="Z130" s="249">
        <v>46135</v>
      </c>
      <c r="AA130" s="224">
        <v>145870</v>
      </c>
      <c r="AB130" s="74"/>
      <c r="AC130" s="74"/>
      <c r="AD130" s="256">
        <v>0</v>
      </c>
    </row>
    <row r="131" spans="1:30" s="251" customFormat="1" ht="18" customHeight="1">
      <c r="A131" s="246">
        <v>29826</v>
      </c>
      <c r="B131" s="105">
        <v>1</v>
      </c>
      <c r="C131" s="247">
        <v>46125</v>
      </c>
      <c r="D131" s="105">
        <f t="shared" ca="1" si="3"/>
        <v>102</v>
      </c>
      <c r="E131" s="138" t="str">
        <f t="shared" si="5"/>
        <v>ADMITIDO</v>
      </c>
      <c r="F131" s="138" t="s">
        <v>42</v>
      </c>
      <c r="G131" s="117" t="s">
        <v>102</v>
      </c>
      <c r="H131" s="117" t="str">
        <f>X131</f>
        <v>ADMITIDO</v>
      </c>
      <c r="I131" s="117" t="str">
        <f>IF(X131="ADMITIDO","ADMITIDO",IF(X131="CANCELADA","CANCELADA",IF(H131="","",IFERROR(_xlfn.XLOOKUP(H131,Listas!I:I,Listas!J:J),"OUTROS"))))</f>
        <v>ADMITIDO</v>
      </c>
      <c r="J131" s="248" t="s">
        <v>53</v>
      </c>
      <c r="K131" s="73" t="s">
        <v>103</v>
      </c>
      <c r="L131" s="73" t="s">
        <v>194</v>
      </c>
      <c r="M131" s="73"/>
      <c r="N131" s="73" t="s">
        <v>63</v>
      </c>
      <c r="O131" s="73" t="s">
        <v>34</v>
      </c>
      <c r="P131" s="73" t="s">
        <v>72</v>
      </c>
      <c r="Q131" s="73" t="s">
        <v>223</v>
      </c>
      <c r="R131" s="74" t="s">
        <v>544</v>
      </c>
      <c r="S131" s="228" t="s">
        <v>107</v>
      </c>
      <c r="T131" s="74"/>
      <c r="U131" s="73" t="s">
        <v>132</v>
      </c>
      <c r="V131" s="220">
        <v>46135</v>
      </c>
      <c r="W131" s="203" t="s">
        <v>545</v>
      </c>
      <c r="X131" s="227" t="s">
        <v>40</v>
      </c>
      <c r="Y131" s="249">
        <v>46140</v>
      </c>
      <c r="Z131" s="249">
        <v>46141</v>
      </c>
      <c r="AA131" s="224">
        <v>914195</v>
      </c>
      <c r="AB131" s="74"/>
      <c r="AC131" s="74"/>
      <c r="AD131" s="256">
        <v>0</v>
      </c>
    </row>
    <row r="132" spans="1:30" s="251" customFormat="1" ht="18" customHeight="1">
      <c r="A132" s="609">
        <v>29874</v>
      </c>
      <c r="B132" s="105">
        <v>1</v>
      </c>
      <c r="C132" s="247">
        <v>46126</v>
      </c>
      <c r="D132" s="105">
        <f t="shared" ref="D132:D196" ca="1" si="6">TODAY()-C132</f>
        <v>101</v>
      </c>
      <c r="E132" s="138" t="str">
        <f t="shared" si="5"/>
        <v>ADMITIDO</v>
      </c>
      <c r="F132" s="138" t="s">
        <v>28</v>
      </c>
      <c r="G132" s="117" t="s">
        <v>60</v>
      </c>
      <c r="H132" s="117" t="s">
        <v>40</v>
      </c>
      <c r="I132" s="117" t="str">
        <f>IF(X132="ADMITIDO","ADMITIDO",IF(X132="CANCELADA","CANCELADA",IF(H132="","",IFERROR(_xlfn.XLOOKUP(H132,Listas!I:I,Listas!J:J),"OUTROS"))))</f>
        <v>ADMITIDO</v>
      </c>
      <c r="J132" s="248" t="s">
        <v>268</v>
      </c>
      <c r="K132" s="73" t="s">
        <v>318</v>
      </c>
      <c r="L132" s="73" t="s">
        <v>546</v>
      </c>
      <c r="M132" s="73"/>
      <c r="N132" s="73" t="s">
        <v>63</v>
      </c>
      <c r="O132" s="73" t="s">
        <v>56</v>
      </c>
      <c r="P132" s="73" t="s">
        <v>35</v>
      </c>
      <c r="Q132" s="73" t="s">
        <v>176</v>
      </c>
      <c r="R132" s="74" t="s">
        <v>547</v>
      </c>
      <c r="S132" s="228" t="s">
        <v>65</v>
      </c>
      <c r="T132" s="74" t="s">
        <v>548</v>
      </c>
      <c r="U132" s="73" t="s">
        <v>76</v>
      </c>
      <c r="V132" s="220">
        <v>46129</v>
      </c>
      <c r="W132" s="203" t="s">
        <v>549</v>
      </c>
      <c r="X132" s="227" t="s">
        <v>40</v>
      </c>
      <c r="Y132" s="249">
        <v>46134</v>
      </c>
      <c r="Z132" s="249">
        <v>46135</v>
      </c>
      <c r="AA132" s="224">
        <v>914157</v>
      </c>
      <c r="AB132" s="74"/>
      <c r="AC132" s="74"/>
      <c r="AD132" s="256">
        <v>0</v>
      </c>
    </row>
    <row r="133" spans="1:30" s="251" customFormat="1" ht="18" customHeight="1">
      <c r="A133" s="609"/>
      <c r="B133" s="105">
        <v>1</v>
      </c>
      <c r="C133" s="247">
        <v>46126</v>
      </c>
      <c r="D133" s="105">
        <f t="shared" ca="1" si="6"/>
        <v>101</v>
      </c>
      <c r="E133" s="138" t="str">
        <f t="shared" si="5"/>
        <v>ADMITIDO</v>
      </c>
      <c r="F133" s="138" t="s">
        <v>28</v>
      </c>
      <c r="G133" s="117" t="s">
        <v>60</v>
      </c>
      <c r="H133" s="117" t="s">
        <v>40</v>
      </c>
      <c r="I133" s="117" t="str">
        <f>IF(X133="ADMITIDO","ADMITIDO",IF(X133="CANCELADA","CANCELADA",IF(H133="","",IFERROR(_xlfn.XLOOKUP(H133,Listas!I:I,Listas!J:J),"OUTROS"))))</f>
        <v>ADMITIDO</v>
      </c>
      <c r="J133" s="248" t="s">
        <v>268</v>
      </c>
      <c r="K133" s="73" t="s">
        <v>318</v>
      </c>
      <c r="L133" s="73" t="s">
        <v>546</v>
      </c>
      <c r="M133" s="73"/>
      <c r="N133" s="73" t="s">
        <v>63</v>
      </c>
      <c r="O133" s="73" t="s">
        <v>56</v>
      </c>
      <c r="P133" s="73" t="s">
        <v>35</v>
      </c>
      <c r="Q133" s="73" t="s">
        <v>176</v>
      </c>
      <c r="R133" s="74" t="s">
        <v>547</v>
      </c>
      <c r="S133" s="228" t="s">
        <v>65</v>
      </c>
      <c r="T133" s="74" t="s">
        <v>548</v>
      </c>
      <c r="U133" s="73" t="s">
        <v>76</v>
      </c>
      <c r="V133" s="220">
        <v>46129</v>
      </c>
      <c r="W133" s="203" t="s">
        <v>549</v>
      </c>
      <c r="X133" s="227" t="s">
        <v>40</v>
      </c>
      <c r="Y133" s="249">
        <v>46134</v>
      </c>
      <c r="Z133" s="249">
        <v>46135</v>
      </c>
      <c r="AA133" s="224">
        <v>914157</v>
      </c>
      <c r="AB133" s="74"/>
      <c r="AC133" s="74"/>
      <c r="AD133" s="256">
        <v>0</v>
      </c>
    </row>
    <row r="134" spans="1:30" s="251" customFormat="1" ht="18" customHeight="1">
      <c r="A134" s="97">
        <v>29868</v>
      </c>
      <c r="B134" s="105">
        <v>1</v>
      </c>
      <c r="C134" s="247">
        <v>46126</v>
      </c>
      <c r="D134" s="105">
        <f t="shared" ca="1" si="6"/>
        <v>101</v>
      </c>
      <c r="E134" s="138" t="str">
        <f t="shared" si="5"/>
        <v>CANCELADA</v>
      </c>
      <c r="F134" s="138" t="s">
        <v>42</v>
      </c>
      <c r="G134" s="117" t="s">
        <v>69</v>
      </c>
      <c r="H134" s="117" t="s">
        <v>52</v>
      </c>
      <c r="I134" s="117" t="str">
        <f>IF(X134="ADMITIDO","ADMITIDO",IF(X134="CANCELADA","CANCELADA",IF(H134="","",IFERROR(_xlfn.XLOOKUP(H134,Listas!I:I,Listas!J:J),"OUTROS"))))</f>
        <v>CANCELADA</v>
      </c>
      <c r="J134" s="248" t="s">
        <v>53</v>
      </c>
      <c r="K134" s="73" t="s">
        <v>70</v>
      </c>
      <c r="L134" s="73" t="s">
        <v>343</v>
      </c>
      <c r="M134" s="73"/>
      <c r="N134" s="73" t="s">
        <v>63</v>
      </c>
      <c r="O134" s="73" t="s">
        <v>34</v>
      </c>
      <c r="P134" s="73" t="s">
        <v>219</v>
      </c>
      <c r="Q134" s="73" t="s">
        <v>550</v>
      </c>
      <c r="R134" s="74" t="s">
        <v>551</v>
      </c>
      <c r="S134" s="228"/>
      <c r="T134" s="74"/>
      <c r="U134" s="73"/>
      <c r="V134" s="220"/>
      <c r="W134" s="203"/>
      <c r="X134" s="227" t="s">
        <v>52</v>
      </c>
      <c r="Y134" s="249"/>
      <c r="Z134" s="249"/>
      <c r="AA134" s="224"/>
      <c r="AB134" s="74"/>
      <c r="AC134" s="74"/>
      <c r="AD134" s="256">
        <v>0</v>
      </c>
    </row>
    <row r="135" spans="1:30" s="251" customFormat="1" ht="18" customHeight="1">
      <c r="A135" s="97">
        <v>29896</v>
      </c>
      <c r="B135" s="105">
        <v>1</v>
      </c>
      <c r="C135" s="247">
        <v>46126</v>
      </c>
      <c r="D135" s="105">
        <f t="shared" ca="1" si="6"/>
        <v>101</v>
      </c>
      <c r="E135" s="138" t="str">
        <f t="shared" si="5"/>
        <v>CANCELADA</v>
      </c>
      <c r="F135" s="138" t="s">
        <v>42</v>
      </c>
      <c r="G135" s="117" t="s">
        <v>552</v>
      </c>
      <c r="H135" s="117" t="s">
        <v>52</v>
      </c>
      <c r="I135" s="117" t="str">
        <f>IF(X135="ADMITIDO","ADMITIDO",IF(X135="CANCELADA","CANCELADA",IF(H135="","",IFERROR(_xlfn.XLOOKUP(H135,Listas!I:I,Listas!J:J),"OUTROS"))))</f>
        <v>CANCELADA</v>
      </c>
      <c r="J135" s="248" t="s">
        <v>53</v>
      </c>
      <c r="K135" s="73" t="s">
        <v>553</v>
      </c>
      <c r="L135" s="73" t="s">
        <v>554</v>
      </c>
      <c r="M135" s="73"/>
      <c r="N135" s="248" t="s">
        <v>1186</v>
      </c>
      <c r="O135" s="73" t="s">
        <v>34</v>
      </c>
      <c r="P135" s="73" t="s">
        <v>57</v>
      </c>
      <c r="Q135" s="73" t="s">
        <v>555</v>
      </c>
      <c r="R135" s="74"/>
      <c r="S135" s="228"/>
      <c r="T135" s="74"/>
      <c r="U135" s="73"/>
      <c r="V135" s="220"/>
      <c r="W135" s="203"/>
      <c r="X135" s="227" t="s">
        <v>52</v>
      </c>
      <c r="Y135" s="249"/>
      <c r="Z135" s="249"/>
      <c r="AA135" s="224"/>
      <c r="AB135" s="74" t="s">
        <v>1325</v>
      </c>
      <c r="AC135" s="74"/>
      <c r="AD135" s="256">
        <v>0</v>
      </c>
    </row>
    <row r="136" spans="1:30" s="251" customFormat="1" ht="18" customHeight="1">
      <c r="A136" s="97">
        <v>29873</v>
      </c>
      <c r="B136" s="105">
        <v>1</v>
      </c>
      <c r="C136" s="247">
        <v>46126</v>
      </c>
      <c r="D136" s="105">
        <f t="shared" ca="1" si="6"/>
        <v>101</v>
      </c>
      <c r="E136" s="138" t="str">
        <f t="shared" si="5"/>
        <v>CANCELADA</v>
      </c>
      <c r="F136" s="138" t="s">
        <v>42</v>
      </c>
      <c r="G136" s="117" t="s">
        <v>60</v>
      </c>
      <c r="H136" s="117" t="s">
        <v>52</v>
      </c>
      <c r="I136" s="117" t="str">
        <f>IF(X136="ADMITIDO","ADMITIDO",IF(X136="CANCELADA","CANCELADA",IF(H136="","",IFERROR(_xlfn.XLOOKUP(H136,Listas!I:I,Listas!J:J),"OUTROS"))))</f>
        <v>CANCELADA</v>
      </c>
      <c r="J136" s="248" t="s">
        <v>53</v>
      </c>
      <c r="K136" s="73" t="s">
        <v>61</v>
      </c>
      <c r="L136" s="73" t="s">
        <v>556</v>
      </c>
      <c r="M136" s="73"/>
      <c r="N136" s="73" t="s">
        <v>63</v>
      </c>
      <c r="O136" s="73" t="s">
        <v>34</v>
      </c>
      <c r="P136" s="73" t="s">
        <v>72</v>
      </c>
      <c r="Q136" s="73" t="s">
        <v>238</v>
      </c>
      <c r="R136" s="74"/>
      <c r="S136" s="228"/>
      <c r="T136" s="74"/>
      <c r="U136" s="73"/>
      <c r="V136" s="220"/>
      <c r="W136" s="203"/>
      <c r="X136" s="227" t="s">
        <v>52</v>
      </c>
      <c r="Y136" s="249"/>
      <c r="Z136" s="249"/>
      <c r="AA136" s="224"/>
      <c r="AB136" s="74"/>
      <c r="AC136" s="74"/>
      <c r="AD136" s="256">
        <v>0</v>
      </c>
    </row>
    <row r="137" spans="1:30" s="251" customFormat="1" ht="18" customHeight="1">
      <c r="A137" s="246">
        <v>29869</v>
      </c>
      <c r="B137" s="105">
        <v>1</v>
      </c>
      <c r="C137" s="247">
        <v>46126</v>
      </c>
      <c r="D137" s="105">
        <f t="shared" ca="1" si="6"/>
        <v>101</v>
      </c>
      <c r="E137" s="138" t="str">
        <f t="shared" si="5"/>
        <v>ADMITIDO</v>
      </c>
      <c r="F137" s="138" t="s">
        <v>28</v>
      </c>
      <c r="G137" s="117" t="s">
        <v>43</v>
      </c>
      <c r="H137" s="117" t="s">
        <v>40</v>
      </c>
      <c r="I137" s="117" t="str">
        <f>IF(X137="ADMITIDO","ADMITIDO",IF(X137="CANCELADA","CANCELADA",IF(H137="","",IFERROR(_xlfn.XLOOKUP(H137,Listas!I:I,Listas!J:J),"OUTROS"))))</f>
        <v>ADMITIDO</v>
      </c>
      <c r="J137" s="248" t="s">
        <v>557</v>
      </c>
      <c r="K137" s="73" t="s">
        <v>285</v>
      </c>
      <c r="L137" s="73" t="s">
        <v>558</v>
      </c>
      <c r="M137" s="73"/>
      <c r="N137" s="73" t="s">
        <v>559</v>
      </c>
      <c r="O137" s="73" t="s">
        <v>34</v>
      </c>
      <c r="P137" s="73" t="s">
        <v>35</v>
      </c>
      <c r="Q137" s="73" t="s">
        <v>287</v>
      </c>
      <c r="R137" s="74"/>
      <c r="S137" s="228"/>
      <c r="T137" s="252">
        <v>8185386777</v>
      </c>
      <c r="U137" s="73" t="s">
        <v>50</v>
      </c>
      <c r="V137" s="220">
        <v>46132</v>
      </c>
      <c r="W137" s="203" t="s">
        <v>560</v>
      </c>
      <c r="X137" s="227" t="s">
        <v>40</v>
      </c>
      <c r="Y137" s="249">
        <v>46141</v>
      </c>
      <c r="Z137" s="249">
        <v>46142</v>
      </c>
      <c r="AA137" s="224">
        <v>914197</v>
      </c>
      <c r="AB137" s="74"/>
      <c r="AC137" s="74"/>
      <c r="AD137" s="256">
        <v>0</v>
      </c>
    </row>
    <row r="138" spans="1:30" s="251" customFormat="1" ht="18" customHeight="1">
      <c r="A138" s="97">
        <v>29878</v>
      </c>
      <c r="B138" s="105">
        <v>1</v>
      </c>
      <c r="C138" s="247">
        <v>46126</v>
      </c>
      <c r="D138" s="105">
        <f t="shared" ca="1" si="6"/>
        <v>101</v>
      </c>
      <c r="E138" s="138" t="str">
        <f t="shared" si="5"/>
        <v>CANCELADA</v>
      </c>
      <c r="F138" s="138" t="s">
        <v>42</v>
      </c>
      <c r="G138" s="117" t="s">
        <v>29</v>
      </c>
      <c r="H138" s="117" t="s">
        <v>52</v>
      </c>
      <c r="I138" s="117" t="str">
        <f>IF(X138="ADMITIDO","ADMITIDO",IF(X138="CANCELADA","CANCELADA",IF(H138="","",IFERROR(_xlfn.XLOOKUP(H138,Listas!I:I,Listas!J:J),"OUTROS"))))</f>
        <v>CANCELADA</v>
      </c>
      <c r="J138" s="248" t="s">
        <v>44</v>
      </c>
      <c r="K138" s="73" t="s">
        <v>228</v>
      </c>
      <c r="L138" s="73" t="s">
        <v>229</v>
      </c>
      <c r="M138" s="73"/>
      <c r="N138" s="73" t="s">
        <v>88</v>
      </c>
      <c r="O138" s="73" t="s">
        <v>34</v>
      </c>
      <c r="P138" s="73" t="s">
        <v>57</v>
      </c>
      <c r="Q138" s="73" t="s">
        <v>561</v>
      </c>
      <c r="R138" s="74" t="s">
        <v>562</v>
      </c>
      <c r="S138" s="228"/>
      <c r="T138" s="74"/>
      <c r="U138" s="73"/>
      <c r="V138" s="220"/>
      <c r="W138" s="203"/>
      <c r="X138" s="227" t="s">
        <v>52</v>
      </c>
      <c r="Y138" s="249"/>
      <c r="Z138" s="249"/>
      <c r="AA138" s="224"/>
      <c r="AB138" s="74"/>
      <c r="AC138" s="74"/>
      <c r="AD138" s="256">
        <v>0</v>
      </c>
    </row>
    <row r="139" spans="1:30" s="251" customFormat="1" ht="18" customHeight="1">
      <c r="A139" s="97">
        <v>29851</v>
      </c>
      <c r="B139" s="105">
        <v>1</v>
      </c>
      <c r="C139" s="247">
        <v>46126</v>
      </c>
      <c r="D139" s="105">
        <f t="shared" ca="1" si="6"/>
        <v>101</v>
      </c>
      <c r="E139" s="138" t="str">
        <f t="shared" si="5"/>
        <v>ADMITIDO</v>
      </c>
      <c r="F139" s="138" t="s">
        <v>28</v>
      </c>
      <c r="G139" s="117" t="s">
        <v>145</v>
      </c>
      <c r="H139" s="117" t="s">
        <v>40</v>
      </c>
      <c r="I139" s="117" t="str">
        <f>IF(X139="ADMITIDO","ADMITIDO",IF(X139="CANCELADA","CANCELADA",IF(H139="","",IFERROR(_xlfn.XLOOKUP(H139,Listas!I:I,Listas!J:J),"OUTROS"))))</f>
        <v>ADMITIDO</v>
      </c>
      <c r="J139" s="248" t="s">
        <v>268</v>
      </c>
      <c r="K139" s="73" t="s">
        <v>563</v>
      </c>
      <c r="L139" s="73" t="s">
        <v>564</v>
      </c>
      <c r="M139" s="73"/>
      <c r="N139" s="73" t="s">
        <v>63</v>
      </c>
      <c r="O139" s="73" t="s">
        <v>34</v>
      </c>
      <c r="P139" s="73" t="s">
        <v>35</v>
      </c>
      <c r="Q139" s="73" t="s">
        <v>565</v>
      </c>
      <c r="R139" s="279" t="s">
        <v>566</v>
      </c>
      <c r="S139" s="228"/>
      <c r="T139" s="74"/>
      <c r="U139" s="73" t="s">
        <v>76</v>
      </c>
      <c r="V139" s="220">
        <v>46142</v>
      </c>
      <c r="W139" s="203" t="s">
        <v>1326</v>
      </c>
      <c r="X139" s="227" t="s">
        <v>40</v>
      </c>
      <c r="Y139" s="249">
        <v>46147</v>
      </c>
      <c r="Z139" s="249">
        <v>46149</v>
      </c>
      <c r="AA139" s="224">
        <v>914220</v>
      </c>
      <c r="AB139" s="74"/>
      <c r="AC139" s="74"/>
      <c r="AD139" s="256">
        <v>0</v>
      </c>
    </row>
    <row r="140" spans="1:30" s="251" customFormat="1" ht="18" customHeight="1">
      <c r="A140" s="97">
        <v>29860</v>
      </c>
      <c r="B140" s="105">
        <v>1</v>
      </c>
      <c r="C140" s="247">
        <v>46126</v>
      </c>
      <c r="D140" s="105">
        <f t="shared" ca="1" si="6"/>
        <v>101</v>
      </c>
      <c r="E140" s="138" t="str">
        <f t="shared" si="5"/>
        <v>ADMITIDO</v>
      </c>
      <c r="F140" s="138" t="s">
        <v>42</v>
      </c>
      <c r="G140" s="117" t="s">
        <v>29</v>
      </c>
      <c r="H140" s="117" t="s">
        <v>40</v>
      </c>
      <c r="I140" s="117" t="str">
        <f>IF(X140="ADMITIDO","ADMITIDO",IF(X140="CANCELADA","CANCELADA",IF(H140="","",IFERROR(_xlfn.XLOOKUP(H140,Listas!I:I,Listas!J:J),"OUTROS"))))</f>
        <v>ADMITIDO</v>
      </c>
      <c r="J140" s="248" t="s">
        <v>53</v>
      </c>
      <c r="K140" s="73" t="s">
        <v>54</v>
      </c>
      <c r="L140" s="73" t="s">
        <v>164</v>
      </c>
      <c r="M140" s="73"/>
      <c r="N140" s="73" t="s">
        <v>88</v>
      </c>
      <c r="O140" s="73" t="s">
        <v>34</v>
      </c>
      <c r="P140" s="73" t="s">
        <v>57</v>
      </c>
      <c r="Q140" s="73" t="s">
        <v>231</v>
      </c>
      <c r="R140" s="74"/>
      <c r="S140" s="228"/>
      <c r="T140" s="74"/>
      <c r="U140" s="73" t="s">
        <v>38</v>
      </c>
      <c r="V140" s="220">
        <v>46134</v>
      </c>
      <c r="W140" s="203" t="s">
        <v>568</v>
      </c>
      <c r="X140" s="227" t="s">
        <v>40</v>
      </c>
      <c r="Y140" s="249">
        <v>46136</v>
      </c>
      <c r="Z140" s="249">
        <v>46137</v>
      </c>
      <c r="AA140" s="224">
        <v>145883</v>
      </c>
      <c r="AB140" s="74"/>
      <c r="AC140" s="74"/>
      <c r="AD140" s="256">
        <v>0</v>
      </c>
    </row>
    <row r="141" spans="1:30" s="251" customFormat="1" ht="18" customHeight="1">
      <c r="A141" s="246">
        <v>29861</v>
      </c>
      <c r="B141" s="239">
        <v>1</v>
      </c>
      <c r="C141" s="259">
        <v>46126</v>
      </c>
      <c r="D141" s="239">
        <f t="shared" ca="1" si="6"/>
        <v>101</v>
      </c>
      <c r="E141" s="138" t="str">
        <f t="shared" si="5"/>
        <v>ADMITIDO</v>
      </c>
      <c r="F141" s="138" t="s">
        <v>42</v>
      </c>
      <c r="G141" s="117" t="s">
        <v>663</v>
      </c>
      <c r="H141" s="117" t="s">
        <v>40</v>
      </c>
      <c r="I141" s="117" t="str">
        <f>IF(X141="ADMITIDO","ADMITIDO",IF(X141="CANCELADA","CANCELADA",IF(H141="","",IFERROR(_xlfn.XLOOKUP(H141,Listas!I:I,Listas!J:J),"OUTROS"))))</f>
        <v>ADMITIDO</v>
      </c>
      <c r="J141" s="248" t="s">
        <v>53</v>
      </c>
      <c r="K141" s="73" t="s">
        <v>54</v>
      </c>
      <c r="L141" s="73" t="s">
        <v>164</v>
      </c>
      <c r="M141" s="73"/>
      <c r="N141" s="73" t="s">
        <v>88</v>
      </c>
      <c r="O141" s="73" t="s">
        <v>34</v>
      </c>
      <c r="P141" s="73" t="s">
        <v>57</v>
      </c>
      <c r="Q141" s="73" t="s">
        <v>231</v>
      </c>
      <c r="R141" s="74"/>
      <c r="S141" s="228"/>
      <c r="T141" s="229" t="s">
        <v>1327</v>
      </c>
      <c r="U141" s="73" t="s">
        <v>38</v>
      </c>
      <c r="V141" s="220">
        <v>46167</v>
      </c>
      <c r="W141" s="125" t="s">
        <v>1328</v>
      </c>
      <c r="X141" s="227" t="s">
        <v>40</v>
      </c>
      <c r="Y141" s="249">
        <v>46171</v>
      </c>
      <c r="Z141" s="249">
        <v>46174</v>
      </c>
      <c r="AA141" s="224">
        <v>146029</v>
      </c>
      <c r="AB141" s="74" t="s">
        <v>1329</v>
      </c>
      <c r="AC141" s="74"/>
      <c r="AD141" s="256">
        <v>1</v>
      </c>
    </row>
    <row r="142" spans="1:30" s="251" customFormat="1" ht="18" customHeight="1">
      <c r="A142" s="97">
        <v>29863</v>
      </c>
      <c r="B142" s="105">
        <v>1</v>
      </c>
      <c r="C142" s="247">
        <v>46126</v>
      </c>
      <c r="D142" s="105">
        <f t="shared" ca="1" si="6"/>
        <v>101</v>
      </c>
      <c r="E142" s="232" t="str">
        <f t="shared" si="5"/>
        <v>ADMITIDO</v>
      </c>
      <c r="F142" s="138" t="s">
        <v>42</v>
      </c>
      <c r="G142" s="117" t="s">
        <v>29</v>
      </c>
      <c r="H142" s="117" t="str">
        <f>X142</f>
        <v>ADMITIDO</v>
      </c>
      <c r="I142" s="117" t="str">
        <f>IF(X142="ADMITIDO","ADMITIDO",IF(X142="CANCELADA","CANCELADA",IF(H142="","",IFERROR(_xlfn.XLOOKUP(H142,Listas!I:I,Listas!J:J),"OUTROS"))))</f>
        <v>ADMITIDO</v>
      </c>
      <c r="J142" s="248" t="s">
        <v>53</v>
      </c>
      <c r="K142" s="73" t="s">
        <v>54</v>
      </c>
      <c r="L142" s="73" t="s">
        <v>164</v>
      </c>
      <c r="M142" s="73"/>
      <c r="N142" s="73" t="s">
        <v>88</v>
      </c>
      <c r="O142" s="73" t="s">
        <v>56</v>
      </c>
      <c r="P142" s="73" t="s">
        <v>57</v>
      </c>
      <c r="Q142" s="73" t="s">
        <v>165</v>
      </c>
      <c r="R142" s="74"/>
      <c r="S142" s="228"/>
      <c r="T142" s="255" t="s">
        <v>570</v>
      </c>
      <c r="U142" s="73" t="s">
        <v>38</v>
      </c>
      <c r="V142" s="220">
        <v>46129</v>
      </c>
      <c r="W142" s="203" t="s">
        <v>1330</v>
      </c>
      <c r="X142" s="227" t="s">
        <v>40</v>
      </c>
      <c r="Y142" s="249">
        <v>46134</v>
      </c>
      <c r="Z142" s="249">
        <v>46135</v>
      </c>
      <c r="AA142" s="224">
        <v>145860</v>
      </c>
      <c r="AB142" s="74"/>
      <c r="AC142" s="74"/>
      <c r="AD142" s="256">
        <v>0</v>
      </c>
    </row>
    <row r="143" spans="1:30" s="251" customFormat="1" ht="18" customHeight="1">
      <c r="A143" s="97">
        <v>29864</v>
      </c>
      <c r="B143" s="105">
        <v>1</v>
      </c>
      <c r="C143" s="247">
        <v>46126</v>
      </c>
      <c r="D143" s="105">
        <f t="shared" ca="1" si="6"/>
        <v>101</v>
      </c>
      <c r="E143" s="138" t="str">
        <f t="shared" si="5"/>
        <v>ADMITIDO</v>
      </c>
      <c r="F143" s="138" t="s">
        <v>42</v>
      </c>
      <c r="G143" s="117" t="s">
        <v>29</v>
      </c>
      <c r="H143" s="117" t="str">
        <f>X143</f>
        <v>ADMITIDO</v>
      </c>
      <c r="I143" s="117" t="str">
        <f>IF(X143="ADMITIDO","ADMITIDO",IF(X143="CANCELADA","CANCELADA",IF(H143="","",IFERROR(_xlfn.XLOOKUP(H143,Listas!I:I,Listas!J:J),"OUTROS"))))</f>
        <v>ADMITIDO</v>
      </c>
      <c r="J143" s="248" t="s">
        <v>53</v>
      </c>
      <c r="K143" s="73" t="s">
        <v>54</v>
      </c>
      <c r="L143" s="73" t="s">
        <v>164</v>
      </c>
      <c r="M143" s="73"/>
      <c r="N143" s="73" t="s">
        <v>88</v>
      </c>
      <c r="O143" s="73" t="s">
        <v>56</v>
      </c>
      <c r="P143" s="73" t="s">
        <v>57</v>
      </c>
      <c r="Q143" s="73" t="s">
        <v>572</v>
      </c>
      <c r="R143" s="74"/>
      <c r="S143" s="228"/>
      <c r="T143" s="255" t="s">
        <v>573</v>
      </c>
      <c r="U143" s="73" t="s">
        <v>38</v>
      </c>
      <c r="V143" s="220">
        <v>46128</v>
      </c>
      <c r="W143" s="203" t="s">
        <v>1331</v>
      </c>
      <c r="X143" s="227" t="s">
        <v>40</v>
      </c>
      <c r="Y143" s="249">
        <v>46134</v>
      </c>
      <c r="Z143" s="249">
        <v>46135</v>
      </c>
      <c r="AA143" s="224">
        <v>145872</v>
      </c>
      <c r="AB143" s="74"/>
      <c r="AC143" s="74"/>
      <c r="AD143" s="256">
        <v>0</v>
      </c>
    </row>
    <row r="144" spans="1:30" s="251" customFormat="1" ht="18" customHeight="1">
      <c r="A144" s="246">
        <v>29889</v>
      </c>
      <c r="B144" s="105">
        <v>1</v>
      </c>
      <c r="C144" s="247">
        <v>46126</v>
      </c>
      <c r="D144" s="105">
        <f t="shared" ca="1" si="6"/>
        <v>101</v>
      </c>
      <c r="E144" s="138" t="str">
        <f t="shared" si="5"/>
        <v>ADMITIDO</v>
      </c>
      <c r="F144" s="138" t="s">
        <v>28</v>
      </c>
      <c r="G144" s="117" t="s">
        <v>29</v>
      </c>
      <c r="H144" s="117" t="str">
        <f>X144</f>
        <v>ADMITIDO</v>
      </c>
      <c r="I144" s="117" t="str">
        <f>IF(X144="ADMITIDO","ADMITIDO",IF(X144="CANCELADA","CANCELADA",IF(H144="","",IFERROR(_xlfn.XLOOKUP(H144,Listas!I:I,Listas!J:J),"OUTROS"))))</f>
        <v>ADMITIDO</v>
      </c>
      <c r="J144" s="248" t="s">
        <v>146</v>
      </c>
      <c r="K144" s="73" t="s">
        <v>86</v>
      </c>
      <c r="L144" s="73" t="s">
        <v>183</v>
      </c>
      <c r="M144" s="73"/>
      <c r="N144" s="73" t="s">
        <v>184</v>
      </c>
      <c r="O144" s="73" t="s">
        <v>34</v>
      </c>
      <c r="P144" s="73" t="s">
        <v>35</v>
      </c>
      <c r="Q144" s="73" t="s">
        <v>574</v>
      </c>
      <c r="R144" s="74"/>
      <c r="S144" s="228"/>
      <c r="T144" s="74" t="s">
        <v>575</v>
      </c>
      <c r="U144" s="73" t="s">
        <v>38</v>
      </c>
      <c r="V144" s="220">
        <v>46142</v>
      </c>
      <c r="W144" s="203" t="s">
        <v>576</v>
      </c>
      <c r="X144" s="119" t="s">
        <v>40</v>
      </c>
      <c r="Y144" s="249">
        <v>46149</v>
      </c>
      <c r="Z144" s="249">
        <v>46151</v>
      </c>
      <c r="AA144" s="224">
        <v>914236</v>
      </c>
      <c r="AB144" s="74" t="s">
        <v>577</v>
      </c>
      <c r="AC144" s="74"/>
      <c r="AD144" s="256">
        <v>1</v>
      </c>
    </row>
    <row r="145" spans="1:30" s="251" customFormat="1" ht="18" customHeight="1">
      <c r="A145" s="97">
        <v>29890</v>
      </c>
      <c r="B145" s="105">
        <v>1</v>
      </c>
      <c r="C145" s="247">
        <v>46126</v>
      </c>
      <c r="D145" s="105">
        <f t="shared" ca="1" si="6"/>
        <v>101</v>
      </c>
      <c r="E145" s="138" t="str">
        <f t="shared" si="5"/>
        <v>CANCELADA</v>
      </c>
      <c r="F145" s="138" t="s">
        <v>42</v>
      </c>
      <c r="G145" s="117" t="s">
        <v>60</v>
      </c>
      <c r="H145" s="117" t="s">
        <v>52</v>
      </c>
      <c r="I145" s="117" t="str">
        <f>IF(X145="ADMITIDO","ADMITIDO",IF(X145="CANCELADA","CANCELADA",IF(H145="","",IFERROR(_xlfn.XLOOKUP(H145,Listas!I:I,Listas!J:J),"OUTROS"))))</f>
        <v>CANCELADA</v>
      </c>
      <c r="J145" s="248" t="s">
        <v>53</v>
      </c>
      <c r="K145" s="73" t="s">
        <v>61</v>
      </c>
      <c r="L145" s="73" t="s">
        <v>506</v>
      </c>
      <c r="M145" s="73"/>
      <c r="N145" s="73" t="s">
        <v>63</v>
      </c>
      <c r="O145" s="73" t="s">
        <v>34</v>
      </c>
      <c r="P145" s="73" t="s">
        <v>219</v>
      </c>
      <c r="Q145" s="73" t="s">
        <v>578</v>
      </c>
      <c r="R145" s="74" t="s">
        <v>1332</v>
      </c>
      <c r="S145" s="228" t="s">
        <v>65</v>
      </c>
      <c r="T145" s="74" t="s">
        <v>1333</v>
      </c>
      <c r="U145" s="73"/>
      <c r="V145" s="220"/>
      <c r="W145" s="203"/>
      <c r="X145" s="119" t="s">
        <v>52</v>
      </c>
      <c r="Y145" s="249"/>
      <c r="Z145" s="249"/>
      <c r="AA145" s="224"/>
      <c r="AB145" s="74" t="s">
        <v>1334</v>
      </c>
      <c r="AC145" s="74"/>
      <c r="AD145" s="256">
        <v>2</v>
      </c>
    </row>
    <row r="146" spans="1:30" s="251" customFormat="1" ht="18" customHeight="1">
      <c r="A146" s="97">
        <v>29893</v>
      </c>
      <c r="B146" s="105">
        <v>1</v>
      </c>
      <c r="C146" s="247">
        <v>46126</v>
      </c>
      <c r="D146" s="105">
        <f t="shared" ca="1" si="6"/>
        <v>101</v>
      </c>
      <c r="E146" s="138" t="str">
        <f t="shared" si="5"/>
        <v>ADMITIDO</v>
      </c>
      <c r="F146" s="138" t="s">
        <v>42</v>
      </c>
      <c r="G146" s="117" t="s">
        <v>60</v>
      </c>
      <c r="H146" s="117" t="s">
        <v>40</v>
      </c>
      <c r="I146" s="117" t="str">
        <f>IF(X146="ADMITIDO","ADMITIDO",IF(X146="CANCELADA","CANCELADA",IF(H146="","",IFERROR(_xlfn.XLOOKUP(H146,Listas!I:I,Listas!J:J),"OUTROS"))))</f>
        <v>ADMITIDO</v>
      </c>
      <c r="J146" s="248" t="s">
        <v>53</v>
      </c>
      <c r="K146" s="73" t="s">
        <v>61</v>
      </c>
      <c r="L146" s="73" t="s">
        <v>506</v>
      </c>
      <c r="M146" s="73"/>
      <c r="N146" s="73" t="s">
        <v>63</v>
      </c>
      <c r="O146" s="73" t="s">
        <v>34</v>
      </c>
      <c r="P146" s="73" t="s">
        <v>219</v>
      </c>
      <c r="Q146" s="73" t="s">
        <v>581</v>
      </c>
      <c r="R146" s="74" t="s">
        <v>582</v>
      </c>
      <c r="S146" s="228" t="s">
        <v>65</v>
      </c>
      <c r="T146" s="74" t="s">
        <v>583</v>
      </c>
      <c r="U146" s="73" t="s">
        <v>132</v>
      </c>
      <c r="V146" s="220">
        <v>46147</v>
      </c>
      <c r="W146" s="203" t="s">
        <v>584</v>
      </c>
      <c r="X146" s="73" t="s">
        <v>40</v>
      </c>
      <c r="Y146" s="249">
        <v>46149</v>
      </c>
      <c r="Z146" s="249">
        <v>46150</v>
      </c>
      <c r="AA146" s="224">
        <v>914240</v>
      </c>
      <c r="AB146" s="203" t="s">
        <v>585</v>
      </c>
      <c r="AC146" s="203"/>
      <c r="AD146" s="256">
        <v>0</v>
      </c>
    </row>
    <row r="147" spans="1:30" s="251" customFormat="1" ht="18" customHeight="1">
      <c r="A147" s="97">
        <v>29842</v>
      </c>
      <c r="B147" s="105">
        <v>1</v>
      </c>
      <c r="C147" s="247">
        <v>46126</v>
      </c>
      <c r="D147" s="105">
        <f t="shared" ca="1" si="6"/>
        <v>101</v>
      </c>
      <c r="E147" s="138" t="str">
        <f t="shared" si="5"/>
        <v>CANCELADA</v>
      </c>
      <c r="F147" s="138" t="s">
        <v>28</v>
      </c>
      <c r="G147" s="117" t="s">
        <v>43</v>
      </c>
      <c r="H147" s="117" t="s">
        <v>52</v>
      </c>
      <c r="I147" s="117" t="str">
        <f>IF(X147="ADMITIDO","ADMITIDO",IF(X147="CANCELADA","CANCELADA",IF(H147="","",IFERROR(_xlfn.XLOOKUP(H147,Listas!I:I,Listas!J:J),"OUTROS"))))</f>
        <v>CANCELADA</v>
      </c>
      <c r="J147" s="248" t="s">
        <v>586</v>
      </c>
      <c r="K147" s="73" t="s">
        <v>360</v>
      </c>
      <c r="L147" s="73" t="s">
        <v>511</v>
      </c>
      <c r="M147" s="73"/>
      <c r="N147" s="73" t="s">
        <v>512</v>
      </c>
      <c r="O147" s="73" t="s">
        <v>34</v>
      </c>
      <c r="P147" s="73" t="s">
        <v>35</v>
      </c>
      <c r="Q147" s="73" t="s">
        <v>287</v>
      </c>
      <c r="R147" s="74" t="s">
        <v>587</v>
      </c>
      <c r="S147" s="228"/>
      <c r="T147" s="252"/>
      <c r="U147" s="73"/>
      <c r="V147" s="220"/>
      <c r="W147" s="203"/>
      <c r="X147" s="227" t="s">
        <v>52</v>
      </c>
      <c r="Y147" s="249"/>
      <c r="Z147" s="249"/>
      <c r="AA147" s="224"/>
      <c r="AB147" s="74"/>
      <c r="AC147" s="74"/>
      <c r="AD147" s="256">
        <v>0</v>
      </c>
    </row>
    <row r="148" spans="1:30" s="251" customFormat="1" ht="18" customHeight="1">
      <c r="A148" s="97">
        <v>29871</v>
      </c>
      <c r="B148" s="105">
        <v>1</v>
      </c>
      <c r="C148" s="247">
        <v>46126</v>
      </c>
      <c r="D148" s="105">
        <f t="shared" ca="1" si="6"/>
        <v>101</v>
      </c>
      <c r="E148" s="138" t="str">
        <f t="shared" si="5"/>
        <v>CANCELADA</v>
      </c>
      <c r="F148" s="138" t="s">
        <v>42</v>
      </c>
      <c r="G148" s="117" t="s">
        <v>69</v>
      </c>
      <c r="H148" s="117" t="s">
        <v>52</v>
      </c>
      <c r="I148" s="117" t="str">
        <f>IF(X148="ADMITIDO","ADMITIDO",IF(X148="CANCELADA","CANCELADA",IF(H148="","",IFERROR(_xlfn.XLOOKUP(H148,Listas!I:I,Listas!J:J),"OUTROS"))))</f>
        <v>CANCELADA</v>
      </c>
      <c r="J148" s="248" t="s">
        <v>53</v>
      </c>
      <c r="K148" s="73" t="s">
        <v>61</v>
      </c>
      <c r="L148" s="73" t="s">
        <v>588</v>
      </c>
      <c r="M148" s="73"/>
      <c r="N148" s="73" t="s">
        <v>63</v>
      </c>
      <c r="O148" s="73" t="s">
        <v>34</v>
      </c>
      <c r="P148" s="73" t="s">
        <v>589</v>
      </c>
      <c r="Q148" s="73" t="s">
        <v>532</v>
      </c>
      <c r="R148" s="74"/>
      <c r="S148" s="228"/>
      <c r="T148" s="74"/>
      <c r="U148" s="73"/>
      <c r="V148" s="220"/>
      <c r="W148" s="203"/>
      <c r="X148" s="227" t="s">
        <v>52</v>
      </c>
      <c r="Y148" s="249"/>
      <c r="Z148" s="249"/>
      <c r="AA148" s="224"/>
      <c r="AB148" s="74"/>
      <c r="AC148" s="74"/>
      <c r="AD148" s="256">
        <v>0</v>
      </c>
    </row>
    <row r="149" spans="1:30" s="251" customFormat="1" ht="18" customHeight="1">
      <c r="A149" s="246">
        <v>29872</v>
      </c>
      <c r="B149" s="105">
        <v>1</v>
      </c>
      <c r="C149" s="247">
        <v>46126</v>
      </c>
      <c r="D149" s="105">
        <f t="shared" ca="1" si="6"/>
        <v>101</v>
      </c>
      <c r="E149" s="138" t="str">
        <f t="shared" si="5"/>
        <v>ADMITIDO</v>
      </c>
      <c r="F149" s="138" t="s">
        <v>42</v>
      </c>
      <c r="G149" s="117" t="s">
        <v>60</v>
      </c>
      <c r="H149" s="117" t="s">
        <v>40</v>
      </c>
      <c r="I149" s="117" t="str">
        <f>IF(X149="ADMITIDO","ADMITIDO",IF(X149="CANCELADA","CANCELADA",IF(H149="","",IFERROR(_xlfn.XLOOKUP(H149,Listas!I:I,Listas!J:J),"OUTROS"))))</f>
        <v>ADMITIDO</v>
      </c>
      <c r="J149" s="248" t="s">
        <v>53</v>
      </c>
      <c r="K149" s="73" t="s">
        <v>61</v>
      </c>
      <c r="L149" s="73" t="s">
        <v>590</v>
      </c>
      <c r="M149" s="73"/>
      <c r="N149" s="73" t="s">
        <v>63</v>
      </c>
      <c r="O149" s="73" t="s">
        <v>34</v>
      </c>
      <c r="P149" s="73" t="s">
        <v>219</v>
      </c>
      <c r="Q149" s="73" t="s">
        <v>247</v>
      </c>
      <c r="R149" s="74" t="s">
        <v>591</v>
      </c>
      <c r="S149" s="228" t="s">
        <v>65</v>
      </c>
      <c r="T149" s="74" t="s">
        <v>592</v>
      </c>
      <c r="U149" s="73" t="s">
        <v>76</v>
      </c>
      <c r="V149" s="220">
        <v>46132</v>
      </c>
      <c r="W149" s="203" t="s">
        <v>593</v>
      </c>
      <c r="X149" s="227" t="s">
        <v>40</v>
      </c>
      <c r="Y149" s="249">
        <v>46139</v>
      </c>
      <c r="Z149" s="249">
        <v>46140</v>
      </c>
      <c r="AA149" s="224">
        <v>145893</v>
      </c>
      <c r="AB149" s="74"/>
      <c r="AC149" s="74"/>
      <c r="AD149" s="256">
        <v>0</v>
      </c>
    </row>
    <row r="150" spans="1:30" s="251" customFormat="1" ht="18" customHeight="1">
      <c r="A150" s="97">
        <v>29895</v>
      </c>
      <c r="B150" s="105">
        <v>1</v>
      </c>
      <c r="C150" s="247">
        <v>46126</v>
      </c>
      <c r="D150" s="105">
        <f t="shared" ca="1" si="6"/>
        <v>101</v>
      </c>
      <c r="E150" s="138" t="str">
        <f t="shared" si="5"/>
        <v>ADMITIDO</v>
      </c>
      <c r="F150" s="138" t="s">
        <v>42</v>
      </c>
      <c r="G150" s="117" t="s">
        <v>240</v>
      </c>
      <c r="H150" s="117" t="s">
        <v>40</v>
      </c>
      <c r="I150" s="117" t="str">
        <f>IF(X150="ADMITIDO","ADMITIDO",IF(X150="CANCELADA","CANCELADA",IF(H150="","",IFERROR(_xlfn.XLOOKUP(H150,Listas!I:I,Listas!J:J),"OUTROS"))))</f>
        <v>ADMITIDO</v>
      </c>
      <c r="J150" s="248" t="s">
        <v>163</v>
      </c>
      <c r="K150" s="73" t="s">
        <v>241</v>
      </c>
      <c r="L150" s="73" t="s">
        <v>594</v>
      </c>
      <c r="M150" s="73"/>
      <c r="N150" s="73" t="s">
        <v>243</v>
      </c>
      <c r="O150" s="73" t="s">
        <v>34</v>
      </c>
      <c r="P150" s="73" t="s">
        <v>57</v>
      </c>
      <c r="Q150" s="73" t="s">
        <v>432</v>
      </c>
      <c r="R150" s="74"/>
      <c r="S150" s="228"/>
      <c r="T150" s="74" t="s">
        <v>595</v>
      </c>
      <c r="U150" s="73" t="s">
        <v>132</v>
      </c>
      <c r="V150" s="220">
        <v>46140</v>
      </c>
      <c r="W150" s="203" t="s">
        <v>596</v>
      </c>
      <c r="X150" s="227" t="s">
        <v>40</v>
      </c>
      <c r="Y150" s="249">
        <v>46142</v>
      </c>
      <c r="Z150" s="249">
        <v>46146</v>
      </c>
      <c r="AA150" s="224">
        <v>145913</v>
      </c>
      <c r="AB150" s="74"/>
      <c r="AC150" s="74"/>
      <c r="AD150" s="256">
        <v>0</v>
      </c>
    </row>
    <row r="151" spans="1:30" s="251" customFormat="1" ht="18" customHeight="1">
      <c r="A151" s="97">
        <v>29875</v>
      </c>
      <c r="B151" s="105">
        <v>1</v>
      </c>
      <c r="C151" s="247">
        <v>46126</v>
      </c>
      <c r="D151" s="105">
        <f t="shared" ca="1" si="6"/>
        <v>101</v>
      </c>
      <c r="E151" s="138" t="str">
        <f t="shared" si="5"/>
        <v>ADMITIDO</v>
      </c>
      <c r="F151" s="138" t="s">
        <v>28</v>
      </c>
      <c r="G151" s="117" t="s">
        <v>145</v>
      </c>
      <c r="H151" s="117" t="s">
        <v>40</v>
      </c>
      <c r="I151" s="117" t="str">
        <f>IF(X151="ADMITIDO","ADMITIDO",IF(X151="CANCELADA","CANCELADA",IF(H151="","",IFERROR(_xlfn.XLOOKUP(H151,Listas!I:I,Listas!J:J),"OUTROS"))))</f>
        <v>ADMITIDO</v>
      </c>
      <c r="J151" s="248" t="s">
        <v>268</v>
      </c>
      <c r="K151" s="73" t="s">
        <v>318</v>
      </c>
      <c r="L151" s="73" t="s">
        <v>597</v>
      </c>
      <c r="M151" s="73"/>
      <c r="N151" s="73" t="s">
        <v>63</v>
      </c>
      <c r="O151" s="73" t="s">
        <v>56</v>
      </c>
      <c r="P151" s="73" t="s">
        <v>35</v>
      </c>
      <c r="Q151" s="73" t="s">
        <v>176</v>
      </c>
      <c r="R151" s="74"/>
      <c r="S151" s="228"/>
      <c r="T151" s="74"/>
      <c r="U151" s="73" t="s">
        <v>76</v>
      </c>
      <c r="V151" s="220">
        <v>46140</v>
      </c>
      <c r="W151" s="203" t="s">
        <v>599</v>
      </c>
      <c r="X151" s="227" t="s">
        <v>40</v>
      </c>
      <c r="Y151" s="249">
        <v>46147</v>
      </c>
      <c r="Z151" s="249">
        <v>46150</v>
      </c>
      <c r="AA151" s="224">
        <v>914218</v>
      </c>
      <c r="AB151" s="74"/>
      <c r="AC151" s="74"/>
      <c r="AD151" s="256">
        <v>0</v>
      </c>
    </row>
    <row r="152" spans="1:30" s="251" customFormat="1" ht="18" customHeight="1">
      <c r="A152" s="97">
        <v>29865</v>
      </c>
      <c r="B152" s="105">
        <v>1</v>
      </c>
      <c r="C152" s="247">
        <v>46126</v>
      </c>
      <c r="D152" s="105">
        <f t="shared" ca="1" si="6"/>
        <v>101</v>
      </c>
      <c r="E152" s="138" t="str">
        <f t="shared" si="5"/>
        <v>ADMITIDO</v>
      </c>
      <c r="F152" s="138" t="s">
        <v>42</v>
      </c>
      <c r="G152" s="117" t="s">
        <v>60</v>
      </c>
      <c r="H152" s="117" t="s">
        <v>40</v>
      </c>
      <c r="I152" s="117" t="str">
        <f>IF(X152="ADMITIDO","ADMITIDO",IF(X152="CANCELADA","CANCELADA",IF(H152="","",IFERROR(_xlfn.XLOOKUP(H152,Listas!I:I,Listas!J:J),"OUTROS"))))</f>
        <v>ADMITIDO</v>
      </c>
      <c r="J152" s="248" t="s">
        <v>53</v>
      </c>
      <c r="K152" s="73" t="s">
        <v>61</v>
      </c>
      <c r="L152" s="73" t="s">
        <v>600</v>
      </c>
      <c r="M152" s="73"/>
      <c r="N152" s="73" t="s">
        <v>63</v>
      </c>
      <c r="O152" s="73" t="s">
        <v>34</v>
      </c>
      <c r="P152" s="73" t="s">
        <v>72</v>
      </c>
      <c r="Q152" s="73" t="s">
        <v>601</v>
      </c>
      <c r="R152" s="74" t="s">
        <v>1335</v>
      </c>
      <c r="S152" s="228" t="s">
        <v>65</v>
      </c>
      <c r="T152" s="74" t="s">
        <v>1336</v>
      </c>
      <c r="U152" s="73" t="s">
        <v>132</v>
      </c>
      <c r="V152" s="220">
        <v>46171</v>
      </c>
      <c r="W152" s="203" t="s">
        <v>1337</v>
      </c>
      <c r="X152" s="227" t="s">
        <v>40</v>
      </c>
      <c r="Y152" s="249">
        <v>46175</v>
      </c>
      <c r="Z152" s="249">
        <v>46176</v>
      </c>
      <c r="AA152" s="224">
        <v>146043</v>
      </c>
      <c r="AB152" s="74"/>
      <c r="AC152" s="74"/>
      <c r="AD152" s="256">
        <v>0</v>
      </c>
    </row>
    <row r="153" spans="1:30" s="251" customFormat="1" ht="18" customHeight="1">
      <c r="A153" s="97">
        <v>29866</v>
      </c>
      <c r="B153" s="105">
        <v>1</v>
      </c>
      <c r="C153" s="247">
        <v>46126</v>
      </c>
      <c r="D153" s="105">
        <f t="shared" ca="1" si="6"/>
        <v>101</v>
      </c>
      <c r="E153" s="138" t="str">
        <f t="shared" si="5"/>
        <v>ADMITIDO</v>
      </c>
      <c r="F153" s="138" t="s">
        <v>42</v>
      </c>
      <c r="G153" s="117" t="s">
        <v>60</v>
      </c>
      <c r="H153" s="117" t="str">
        <f>X153</f>
        <v>ADMITIDO</v>
      </c>
      <c r="I153" s="117" t="str">
        <f>IF(X153="ADMITIDO","ADMITIDO",IF(X153="CANCELADA","CANCELADA",IF(H153="","",IFERROR(_xlfn.XLOOKUP(H153,Listas!I:I,Listas!J:J),"OUTROS"))))</f>
        <v>ADMITIDO</v>
      </c>
      <c r="J153" s="248" t="s">
        <v>53</v>
      </c>
      <c r="K153" s="73" t="s">
        <v>61</v>
      </c>
      <c r="L153" s="73" t="s">
        <v>600</v>
      </c>
      <c r="M153" s="73"/>
      <c r="N153" s="73" t="s">
        <v>63</v>
      </c>
      <c r="O153" s="73" t="s">
        <v>34</v>
      </c>
      <c r="P153" s="73" t="s">
        <v>72</v>
      </c>
      <c r="Q153" s="73" t="s">
        <v>73</v>
      </c>
      <c r="R153" s="74" t="s">
        <v>602</v>
      </c>
      <c r="S153" s="228" t="s">
        <v>141</v>
      </c>
      <c r="T153" s="74" t="s">
        <v>603</v>
      </c>
      <c r="U153" s="73" t="s">
        <v>76</v>
      </c>
      <c r="V153" s="220">
        <v>46127</v>
      </c>
      <c r="W153" s="203" t="s">
        <v>604</v>
      </c>
      <c r="X153" s="227" t="s">
        <v>40</v>
      </c>
      <c r="Y153" s="249">
        <v>46134</v>
      </c>
      <c r="Z153" s="249">
        <v>46135</v>
      </c>
      <c r="AA153" s="224">
        <v>145878</v>
      </c>
      <c r="AB153" s="74"/>
      <c r="AC153" s="74"/>
      <c r="AD153" s="256">
        <v>0</v>
      </c>
    </row>
    <row r="154" spans="1:30" s="251" customFormat="1" ht="18" customHeight="1">
      <c r="A154" s="97">
        <v>29834</v>
      </c>
      <c r="B154" s="105">
        <v>1</v>
      </c>
      <c r="C154" s="247">
        <v>46126</v>
      </c>
      <c r="D154" s="105">
        <f t="shared" ca="1" si="6"/>
        <v>101</v>
      </c>
      <c r="E154" s="138" t="str">
        <f t="shared" si="5"/>
        <v>CANCELADA</v>
      </c>
      <c r="F154" s="138" t="s">
        <v>28</v>
      </c>
      <c r="G154" s="117" t="s">
        <v>60</v>
      </c>
      <c r="H154" s="117" t="s">
        <v>52</v>
      </c>
      <c r="I154" s="117" t="str">
        <f>IF(X154="ADMITIDO","ADMITIDO",IF(X154="CANCELADA","CANCELADA",IF(H154="","",IFERROR(_xlfn.XLOOKUP(H154,Listas!I:I,Listas!J:J),"OUTROS"))))</f>
        <v>CANCELADA</v>
      </c>
      <c r="J154" s="248" t="s">
        <v>268</v>
      </c>
      <c r="K154" s="73" t="s">
        <v>330</v>
      </c>
      <c r="L154" s="73" t="s">
        <v>605</v>
      </c>
      <c r="M154" s="73"/>
      <c r="N154" s="73" t="s">
        <v>63</v>
      </c>
      <c r="O154" s="73" t="s">
        <v>34</v>
      </c>
      <c r="P154" s="73" t="s">
        <v>35</v>
      </c>
      <c r="Q154" s="73" t="s">
        <v>36</v>
      </c>
      <c r="R154" s="74"/>
      <c r="S154" s="228"/>
      <c r="T154" s="74"/>
      <c r="U154" s="73"/>
      <c r="V154" s="220"/>
      <c r="W154" s="203"/>
      <c r="X154" s="227" t="s">
        <v>52</v>
      </c>
      <c r="Y154" s="249"/>
      <c r="Z154" s="249"/>
      <c r="AA154" s="224"/>
      <c r="AB154" s="74"/>
      <c r="AC154" s="74"/>
      <c r="AD154" s="256">
        <v>0</v>
      </c>
    </row>
    <row r="155" spans="1:30" s="251" customFormat="1" ht="18" customHeight="1">
      <c r="A155" s="97">
        <v>29879</v>
      </c>
      <c r="B155" s="105">
        <v>1</v>
      </c>
      <c r="C155" s="247">
        <v>46126</v>
      </c>
      <c r="D155" s="105">
        <f t="shared" ca="1" si="6"/>
        <v>101</v>
      </c>
      <c r="E155" s="138" t="str">
        <f t="shared" si="5"/>
        <v>ADMITIDO</v>
      </c>
      <c r="F155" s="138" t="s">
        <v>42</v>
      </c>
      <c r="G155" s="117" t="s">
        <v>29</v>
      </c>
      <c r="H155" s="117" t="str">
        <f>X155</f>
        <v>ADMITIDO</v>
      </c>
      <c r="I155" s="117" t="str">
        <f>IF(X155="ADMITIDO","ADMITIDO",IF(X155="CANCELADA","CANCELADA",IF(H155="","",IFERROR(_xlfn.XLOOKUP(H155,Listas!I:I,Listas!J:J),"OUTROS"))))</f>
        <v>ADMITIDO</v>
      </c>
      <c r="J155" s="248" t="s">
        <v>53</v>
      </c>
      <c r="K155" s="73" t="s">
        <v>54</v>
      </c>
      <c r="L155" s="73" t="s">
        <v>92</v>
      </c>
      <c r="M155" s="73"/>
      <c r="N155" s="73" t="s">
        <v>93</v>
      </c>
      <c r="O155" s="73" t="s">
        <v>34</v>
      </c>
      <c r="P155" s="73" t="s">
        <v>57</v>
      </c>
      <c r="Q155" s="73" t="s">
        <v>532</v>
      </c>
      <c r="R155" s="74"/>
      <c r="S155" s="228"/>
      <c r="T155" s="255" t="s">
        <v>606</v>
      </c>
      <c r="U155" s="73" t="s">
        <v>38</v>
      </c>
      <c r="V155" s="220">
        <v>46129</v>
      </c>
      <c r="W155" s="203" t="s">
        <v>607</v>
      </c>
      <c r="X155" s="227" t="s">
        <v>40</v>
      </c>
      <c r="Y155" s="249">
        <v>46136</v>
      </c>
      <c r="Z155" s="249">
        <v>46137</v>
      </c>
      <c r="AA155" s="224">
        <v>914153</v>
      </c>
      <c r="AB155" s="74"/>
      <c r="AC155" s="74"/>
      <c r="AD155" s="256">
        <v>0</v>
      </c>
    </row>
    <row r="156" spans="1:30" s="251" customFormat="1" ht="18" customHeight="1">
      <c r="A156" s="97">
        <v>29880</v>
      </c>
      <c r="B156" s="105">
        <v>1</v>
      </c>
      <c r="C156" s="247">
        <v>46126</v>
      </c>
      <c r="D156" s="105">
        <f t="shared" ca="1" si="6"/>
        <v>101</v>
      </c>
      <c r="E156" s="138" t="str">
        <f t="shared" si="5"/>
        <v>ADMITIDO</v>
      </c>
      <c r="F156" s="138" t="s">
        <v>42</v>
      </c>
      <c r="G156" s="117" t="s">
        <v>29</v>
      </c>
      <c r="H156" s="117" t="s">
        <v>40</v>
      </c>
      <c r="I156" s="117" t="str">
        <f>IF(X156="ADMITIDO","ADMITIDO",IF(X156="CANCELADA","CANCELADA",IF(H156="","",IFERROR(_xlfn.XLOOKUP(H156,Listas!I:I,Listas!J:J),"OUTROS"))))</f>
        <v>ADMITIDO</v>
      </c>
      <c r="J156" s="248" t="s">
        <v>53</v>
      </c>
      <c r="K156" s="73" t="s">
        <v>54</v>
      </c>
      <c r="L156" s="73" t="s">
        <v>92</v>
      </c>
      <c r="M156" s="73"/>
      <c r="N156" s="73" t="s">
        <v>93</v>
      </c>
      <c r="O156" s="73" t="s">
        <v>34</v>
      </c>
      <c r="P156" s="73" t="s">
        <v>57</v>
      </c>
      <c r="Q156" s="73" t="s">
        <v>532</v>
      </c>
      <c r="R156" s="74"/>
      <c r="S156" s="228"/>
      <c r="T156" s="74"/>
      <c r="U156" s="73" t="s">
        <v>38</v>
      </c>
      <c r="V156" s="220">
        <v>46142</v>
      </c>
      <c r="W156" s="203" t="s">
        <v>608</v>
      </c>
      <c r="X156" s="227" t="s">
        <v>40</v>
      </c>
      <c r="Y156" s="249">
        <v>46148</v>
      </c>
      <c r="Z156" s="249">
        <v>46149</v>
      </c>
      <c r="AA156" s="224">
        <v>914225</v>
      </c>
      <c r="AB156" s="74"/>
      <c r="AC156" s="74"/>
      <c r="AD156" s="256">
        <v>0</v>
      </c>
    </row>
    <row r="157" spans="1:30" s="251" customFormat="1" ht="18" customHeight="1">
      <c r="A157" s="97">
        <v>29884</v>
      </c>
      <c r="B157" s="105">
        <v>1</v>
      </c>
      <c r="C157" s="247">
        <v>46126</v>
      </c>
      <c r="D157" s="105">
        <f t="shared" ca="1" si="6"/>
        <v>101</v>
      </c>
      <c r="E157" s="138" t="str">
        <f t="shared" si="5"/>
        <v>ADMITIDO</v>
      </c>
      <c r="F157" s="138" t="s">
        <v>28</v>
      </c>
      <c r="G157" s="117" t="s">
        <v>29</v>
      </c>
      <c r="H157" s="117" t="str">
        <f>X157</f>
        <v>ADMITIDO</v>
      </c>
      <c r="I157" s="117" t="str">
        <f>IF(X157="ADMITIDO","ADMITIDO",IF(X157="CANCELADA","CANCELADA",IF(H157="","",IFERROR(_xlfn.XLOOKUP(H157,Listas!I:I,Listas!J:J),"OUTROS"))))</f>
        <v>ADMITIDO</v>
      </c>
      <c r="J157" s="248" t="s">
        <v>609</v>
      </c>
      <c r="K157" s="73" t="s">
        <v>86</v>
      </c>
      <c r="L157" s="73" t="s">
        <v>610</v>
      </c>
      <c r="M157" s="73"/>
      <c r="N157" s="73" t="s">
        <v>611</v>
      </c>
      <c r="O157" s="73" t="s">
        <v>34</v>
      </c>
      <c r="P157" s="73" t="s">
        <v>35</v>
      </c>
      <c r="Q157" s="73" t="s">
        <v>612</v>
      </c>
      <c r="R157" s="74"/>
      <c r="S157" s="228"/>
      <c r="T157" s="74"/>
      <c r="U157" s="73" t="s">
        <v>38</v>
      </c>
      <c r="V157" s="220">
        <v>46134</v>
      </c>
      <c r="W157" s="203" t="s">
        <v>613</v>
      </c>
      <c r="X157" s="227" t="s">
        <v>40</v>
      </c>
      <c r="Y157" s="249">
        <v>46136</v>
      </c>
      <c r="Z157" s="249">
        <v>46137</v>
      </c>
      <c r="AA157" s="224">
        <v>914176</v>
      </c>
      <c r="AB157" s="74"/>
      <c r="AC157" s="74"/>
      <c r="AD157" s="256">
        <v>0</v>
      </c>
    </row>
    <row r="158" spans="1:30" s="251" customFormat="1" ht="18" customHeight="1">
      <c r="A158" s="97">
        <v>29886</v>
      </c>
      <c r="B158" s="105">
        <v>1</v>
      </c>
      <c r="C158" s="247">
        <v>46126</v>
      </c>
      <c r="D158" s="105">
        <f t="shared" ca="1" si="6"/>
        <v>101</v>
      </c>
      <c r="E158" s="138" t="str">
        <f t="shared" si="5"/>
        <v>ADMITIDO</v>
      </c>
      <c r="F158" s="138" t="s">
        <v>28</v>
      </c>
      <c r="G158" s="117" t="s">
        <v>29</v>
      </c>
      <c r="H158" s="117" t="str">
        <f>X158</f>
        <v>ADMITIDO</v>
      </c>
      <c r="I158" s="117" t="str">
        <f>IF(X158="ADMITIDO","ADMITIDO",IF(X158="CANCELADA","CANCELADA",IF(H158="","",IFERROR(_xlfn.XLOOKUP(H158,Listas!I:I,Listas!J:J),"OUTROS"))))</f>
        <v>ADMITIDO</v>
      </c>
      <c r="J158" s="248" t="s">
        <v>609</v>
      </c>
      <c r="K158" s="73" t="s">
        <v>614</v>
      </c>
      <c r="L158" s="73" t="s">
        <v>610</v>
      </c>
      <c r="M158" s="73"/>
      <c r="N158" s="73" t="s">
        <v>611</v>
      </c>
      <c r="O158" s="73" t="s">
        <v>56</v>
      </c>
      <c r="P158" s="73" t="s">
        <v>35</v>
      </c>
      <c r="Q158" s="73" t="s">
        <v>176</v>
      </c>
      <c r="R158" s="74"/>
      <c r="S158" s="228"/>
      <c r="T158" s="74"/>
      <c r="U158" s="73" t="s">
        <v>38</v>
      </c>
      <c r="V158" s="220">
        <v>46136</v>
      </c>
      <c r="W158" s="203" t="s">
        <v>615</v>
      </c>
      <c r="X158" s="227" t="s">
        <v>40</v>
      </c>
      <c r="Y158" s="249">
        <v>46141</v>
      </c>
      <c r="Z158" s="249">
        <v>46142</v>
      </c>
      <c r="AA158" s="224">
        <v>914201</v>
      </c>
      <c r="AB158" s="74"/>
      <c r="AC158" s="74"/>
      <c r="AD158" s="256">
        <v>0</v>
      </c>
    </row>
    <row r="159" spans="1:30" s="251" customFormat="1" ht="18" customHeight="1">
      <c r="A159" s="97">
        <v>29881</v>
      </c>
      <c r="B159" s="105">
        <v>1</v>
      </c>
      <c r="C159" s="247">
        <v>46126</v>
      </c>
      <c r="D159" s="105">
        <f t="shared" ca="1" si="6"/>
        <v>101</v>
      </c>
      <c r="E159" s="193" t="str">
        <f>IF(X159="ADMITIDO","ADMITIDO",IF(X159="CANCELADA","CANCELADA",IF(H159="","",IF(H159="ADMITIDO","ADMITIDO",IF(H159="CANCELADA","CANCELADA",IF(OR(H159="ANALISE CANCELAMENTO",H159="ANÁLISE CANCELAMENTO"),"EM ANÁLISE",IF(D159="","",IF(D159&lt;=7,"NO PRAZO",IF(D159&lt;=14,"ATENÇÃO","CRÍTICO")))))))))</f>
        <v>CANCELADA</v>
      </c>
      <c r="F159" s="138" t="s">
        <v>28</v>
      </c>
      <c r="G159" s="117" t="s">
        <v>240</v>
      </c>
      <c r="H159" s="117" t="s">
        <v>52</v>
      </c>
      <c r="I159" s="117" t="str">
        <f>IF(X159="ADMITIDO","ADMITIDO",IF(X159="CANCELADA","CANCELADA",IF(H159="","",IFERROR(_xlfn.XLOOKUP(H159,Listas!I:I,Listas!J:J),"OUTROS"))))</f>
        <v>CANCELADA</v>
      </c>
      <c r="J159" s="248" t="s">
        <v>616</v>
      </c>
      <c r="K159" s="73" t="s">
        <v>423</v>
      </c>
      <c r="L159" s="73" t="s">
        <v>617</v>
      </c>
      <c r="M159" s="73"/>
      <c r="N159" s="73" t="s">
        <v>243</v>
      </c>
      <c r="O159" s="73" t="s">
        <v>34</v>
      </c>
      <c r="P159" s="73" t="s">
        <v>35</v>
      </c>
      <c r="Q159" s="73" t="s">
        <v>362</v>
      </c>
      <c r="R159" s="74" t="s">
        <v>1338</v>
      </c>
      <c r="S159" s="228"/>
      <c r="T159" s="74"/>
      <c r="U159" s="73"/>
      <c r="V159" s="220"/>
      <c r="W159" s="203"/>
      <c r="X159" s="227" t="s">
        <v>52</v>
      </c>
      <c r="Y159" s="249"/>
      <c r="Z159" s="249"/>
      <c r="AA159" s="224"/>
      <c r="AB159" s="74" t="s">
        <v>399</v>
      </c>
      <c r="AC159" s="74"/>
      <c r="AD159" s="256">
        <v>0</v>
      </c>
    </row>
    <row r="160" spans="1:30" s="251" customFormat="1" ht="18" customHeight="1">
      <c r="A160" s="246">
        <v>29892</v>
      </c>
      <c r="B160" s="105">
        <v>1</v>
      </c>
      <c r="C160" s="247">
        <v>46126</v>
      </c>
      <c r="D160" s="105">
        <f t="shared" ca="1" si="6"/>
        <v>101</v>
      </c>
      <c r="E160" s="138" t="str">
        <f t="shared" si="5"/>
        <v>ADMITIDO</v>
      </c>
      <c r="F160" s="138" t="s">
        <v>42</v>
      </c>
      <c r="G160" s="117" t="s">
        <v>69</v>
      </c>
      <c r="H160" s="117" t="str">
        <f>X160</f>
        <v>ADMITIDO</v>
      </c>
      <c r="I160" s="117" t="str">
        <f>IF(X160="ADMITIDO","ADMITIDO",IF(X160="CANCELADA","CANCELADA",IF(H160="","",IFERROR(_xlfn.XLOOKUP(H160,Listas!I:I,Listas!J:J),"OUTROS"))))</f>
        <v>ADMITIDO</v>
      </c>
      <c r="J160" s="248" t="s">
        <v>53</v>
      </c>
      <c r="K160" s="73" t="s">
        <v>158</v>
      </c>
      <c r="L160" s="73" t="s">
        <v>618</v>
      </c>
      <c r="M160" s="73"/>
      <c r="N160" s="73" t="s">
        <v>63</v>
      </c>
      <c r="O160" s="73" t="s">
        <v>34</v>
      </c>
      <c r="P160" s="73" t="s">
        <v>72</v>
      </c>
      <c r="Q160" s="73" t="s">
        <v>619</v>
      </c>
      <c r="R160" s="74" t="s">
        <v>620</v>
      </c>
      <c r="S160" s="228" t="s">
        <v>621</v>
      </c>
      <c r="T160" s="74" t="s">
        <v>622</v>
      </c>
      <c r="U160" s="73" t="s">
        <v>132</v>
      </c>
      <c r="V160" s="220">
        <v>46135</v>
      </c>
      <c r="W160" s="203" t="s">
        <v>623</v>
      </c>
      <c r="X160" s="227" t="s">
        <v>40</v>
      </c>
      <c r="Y160" s="249">
        <v>46139</v>
      </c>
      <c r="Z160" s="249">
        <v>46140</v>
      </c>
      <c r="AA160" s="224">
        <v>145895</v>
      </c>
      <c r="AB160" s="74"/>
      <c r="AC160" s="74"/>
      <c r="AD160" s="256">
        <v>0</v>
      </c>
    </row>
    <row r="161" spans="1:30" s="251" customFormat="1" ht="18" customHeight="1">
      <c r="A161" s="97">
        <v>29840</v>
      </c>
      <c r="B161" s="105">
        <v>1</v>
      </c>
      <c r="C161" s="247">
        <v>46126</v>
      </c>
      <c r="D161" s="105">
        <f t="shared" ca="1" si="6"/>
        <v>101</v>
      </c>
      <c r="E161" s="138" t="str">
        <f t="shared" si="5"/>
        <v>ADMITIDO</v>
      </c>
      <c r="F161" s="138" t="s">
        <v>28</v>
      </c>
      <c r="G161" s="117" t="s">
        <v>102</v>
      </c>
      <c r="H161" s="117" t="str">
        <f>X161</f>
        <v>ADMITIDO</v>
      </c>
      <c r="I161" s="117" t="str">
        <f>IF(X161="ADMITIDO","ADMITIDO",IF(X161="CANCELADA","CANCELADA",IF(H161="","",IFERROR(_xlfn.XLOOKUP(H161,Listas!I:I,Listas!J:J),"OUTROS"))))</f>
        <v>ADMITIDO</v>
      </c>
      <c r="J161" s="248" t="s">
        <v>624</v>
      </c>
      <c r="K161" s="73" t="s">
        <v>326</v>
      </c>
      <c r="L161" s="73" t="s">
        <v>618</v>
      </c>
      <c r="M161" s="73"/>
      <c r="N161" s="73" t="s">
        <v>63</v>
      </c>
      <c r="O161" s="73" t="s">
        <v>56</v>
      </c>
      <c r="P161" s="73" t="s">
        <v>35</v>
      </c>
      <c r="Q161" s="73" t="s">
        <v>176</v>
      </c>
      <c r="R161" s="74" t="s">
        <v>625</v>
      </c>
      <c r="S161" s="228" t="s">
        <v>626</v>
      </c>
      <c r="T161" s="74"/>
      <c r="U161" s="73" t="s">
        <v>76</v>
      </c>
      <c r="V161" s="220">
        <v>46129</v>
      </c>
      <c r="W161" s="203" t="s">
        <v>627</v>
      </c>
      <c r="X161" s="227" t="s">
        <v>40</v>
      </c>
      <c r="Y161" s="249">
        <v>46134</v>
      </c>
      <c r="Z161" s="249">
        <v>46135</v>
      </c>
      <c r="AA161" s="224">
        <v>914155</v>
      </c>
      <c r="AB161" s="74"/>
      <c r="AC161" s="74"/>
      <c r="AD161" s="256">
        <v>0</v>
      </c>
    </row>
    <row r="162" spans="1:30" s="251" customFormat="1" ht="18" customHeight="1">
      <c r="A162" s="246">
        <v>29877</v>
      </c>
      <c r="B162" s="105">
        <v>1</v>
      </c>
      <c r="C162" s="247">
        <v>46126</v>
      </c>
      <c r="D162" s="105">
        <f t="shared" ca="1" si="6"/>
        <v>101</v>
      </c>
      <c r="E162" s="138" t="str">
        <f t="shared" si="5"/>
        <v>ADMITIDO</v>
      </c>
      <c r="F162" s="138" t="s">
        <v>42</v>
      </c>
      <c r="G162" s="117" t="s">
        <v>102</v>
      </c>
      <c r="H162" s="117" t="str">
        <f>X162</f>
        <v>ADMITIDO</v>
      </c>
      <c r="I162" s="117" t="str">
        <f>IF(X162="ADMITIDO","ADMITIDO",IF(X162="CANCELADA","CANCELADA",IF(H162="","",IFERROR(_xlfn.XLOOKUP(H162,Listas!I:I,Listas!J:J),"OUTROS"))))</f>
        <v>ADMITIDO</v>
      </c>
      <c r="J162" s="248" t="s">
        <v>44</v>
      </c>
      <c r="K162" s="73" t="s">
        <v>103</v>
      </c>
      <c r="L162" s="73" t="s">
        <v>628</v>
      </c>
      <c r="M162" s="73"/>
      <c r="N162" s="73" t="s">
        <v>274</v>
      </c>
      <c r="O162" s="73" t="s">
        <v>34</v>
      </c>
      <c r="P162" s="73" t="s">
        <v>48</v>
      </c>
      <c r="Q162" s="73" t="s">
        <v>629</v>
      </c>
      <c r="R162" s="74" t="s">
        <v>630</v>
      </c>
      <c r="S162" s="228" t="s">
        <v>631</v>
      </c>
      <c r="T162" s="74"/>
      <c r="U162" s="73" t="s">
        <v>67</v>
      </c>
      <c r="V162" s="220">
        <v>46129</v>
      </c>
      <c r="W162" s="203" t="s">
        <v>632</v>
      </c>
      <c r="X162" s="227" t="s">
        <v>40</v>
      </c>
      <c r="Y162" s="120">
        <v>46139</v>
      </c>
      <c r="Z162" s="120">
        <v>46142</v>
      </c>
      <c r="AA162" s="224">
        <v>145881</v>
      </c>
      <c r="AB162" s="74"/>
      <c r="AC162" s="74"/>
      <c r="AD162" s="256">
        <v>0</v>
      </c>
    </row>
    <row r="163" spans="1:30" s="251" customFormat="1" ht="18" customHeight="1">
      <c r="A163" s="97">
        <v>29850</v>
      </c>
      <c r="B163" s="105">
        <v>1</v>
      </c>
      <c r="C163" s="247">
        <v>46126</v>
      </c>
      <c r="D163" s="105">
        <f t="shared" ca="1" si="6"/>
        <v>101</v>
      </c>
      <c r="E163" s="138" t="str">
        <f t="shared" si="5"/>
        <v>CANCELADA</v>
      </c>
      <c r="F163" s="138" t="s">
        <v>42</v>
      </c>
      <c r="G163" s="117" t="s">
        <v>60</v>
      </c>
      <c r="H163" s="117" t="s">
        <v>52</v>
      </c>
      <c r="I163" s="117" t="str">
        <f>IF(X163="ADMITIDO","ADMITIDO",IF(X163="CANCELADA","CANCELADA",IF(H163="","",IFERROR(_xlfn.XLOOKUP(H163,Listas!I:I,Listas!J:J),"OUTROS"))))</f>
        <v>CANCELADA</v>
      </c>
      <c r="J163" s="248" t="s">
        <v>53</v>
      </c>
      <c r="K163" s="73" t="s">
        <v>61</v>
      </c>
      <c r="L163" s="73" t="s">
        <v>255</v>
      </c>
      <c r="M163" s="73"/>
      <c r="N163" s="73" t="s">
        <v>63</v>
      </c>
      <c r="O163" s="73" t="s">
        <v>34</v>
      </c>
      <c r="P163" s="73" t="s">
        <v>219</v>
      </c>
      <c r="Q163" s="73" t="s">
        <v>73</v>
      </c>
      <c r="R163" s="74"/>
      <c r="S163" s="228"/>
      <c r="T163" s="74"/>
      <c r="U163" s="73"/>
      <c r="V163" s="220"/>
      <c r="W163" s="203"/>
      <c r="X163" s="227" t="s">
        <v>52</v>
      </c>
      <c r="Y163" s="249"/>
      <c r="Z163" s="249"/>
      <c r="AA163" s="224"/>
      <c r="AB163" s="74"/>
      <c r="AC163" s="74"/>
      <c r="AD163" s="256">
        <v>0</v>
      </c>
    </row>
    <row r="164" spans="1:30" s="251" customFormat="1" ht="18" customHeight="1">
      <c r="A164" s="97">
        <v>29862</v>
      </c>
      <c r="B164" s="105">
        <v>1</v>
      </c>
      <c r="C164" s="247">
        <v>46126</v>
      </c>
      <c r="D164" s="105">
        <f t="shared" ca="1" si="6"/>
        <v>101</v>
      </c>
      <c r="E164" s="138" t="str">
        <f t="shared" si="5"/>
        <v>CANCELADA</v>
      </c>
      <c r="F164" s="138" t="s">
        <v>42</v>
      </c>
      <c r="G164" s="117" t="s">
        <v>60</v>
      </c>
      <c r="H164" s="117" t="s">
        <v>52</v>
      </c>
      <c r="I164" s="117" t="str">
        <f>IF(X164="ADMITIDO","ADMITIDO",IF(X164="CANCELADA","CANCELADA",IF(H164="","",IFERROR(_xlfn.XLOOKUP(H164,Listas!I:I,Listas!J:J),"OUTROS"))))</f>
        <v>CANCELADA</v>
      </c>
      <c r="J164" s="248" t="s">
        <v>53</v>
      </c>
      <c r="K164" s="73" t="s">
        <v>61</v>
      </c>
      <c r="L164" s="73" t="s">
        <v>255</v>
      </c>
      <c r="M164" s="73"/>
      <c r="N164" s="73" t="s">
        <v>63</v>
      </c>
      <c r="O164" s="73" t="s">
        <v>34</v>
      </c>
      <c r="P164" s="73" t="s">
        <v>219</v>
      </c>
      <c r="Q164" s="73" t="s">
        <v>633</v>
      </c>
      <c r="R164" s="74"/>
      <c r="S164" s="228"/>
      <c r="T164" s="74"/>
      <c r="U164" s="73"/>
      <c r="V164" s="220"/>
      <c r="W164" s="203"/>
      <c r="X164" s="227" t="s">
        <v>52</v>
      </c>
      <c r="Y164" s="249"/>
      <c r="Z164" s="249"/>
      <c r="AA164" s="224"/>
      <c r="AB164" s="74"/>
      <c r="AC164" s="74"/>
      <c r="AD164" s="256">
        <v>0</v>
      </c>
    </row>
    <row r="165" spans="1:30" s="251" customFormat="1" ht="18" customHeight="1">
      <c r="A165" s="97">
        <v>29870</v>
      </c>
      <c r="B165" s="105">
        <v>1</v>
      </c>
      <c r="C165" s="247">
        <v>46126</v>
      </c>
      <c r="D165" s="105">
        <f t="shared" ca="1" si="6"/>
        <v>101</v>
      </c>
      <c r="E165" s="138" t="str">
        <f t="shared" si="5"/>
        <v>ADMITIDO</v>
      </c>
      <c r="F165" s="138" t="s">
        <v>42</v>
      </c>
      <c r="G165" s="117" t="s">
        <v>69</v>
      </c>
      <c r="H165" s="117" t="str">
        <f>X165</f>
        <v>ADMITIDO</v>
      </c>
      <c r="I165" s="117" t="str">
        <f>IF(X165="ADMITIDO","ADMITIDO",IF(X165="CANCELADA","CANCELADA",IF(H165="","",IFERROR(_xlfn.XLOOKUP(H165,Listas!I:I,Listas!J:J),"OUTROS"))))</f>
        <v>ADMITIDO</v>
      </c>
      <c r="J165" s="248" t="s">
        <v>53</v>
      </c>
      <c r="K165" s="73" t="s">
        <v>70</v>
      </c>
      <c r="L165" s="73" t="s">
        <v>525</v>
      </c>
      <c r="M165" s="73"/>
      <c r="N165" s="73" t="s">
        <v>63</v>
      </c>
      <c r="O165" s="73" t="s">
        <v>34</v>
      </c>
      <c r="P165" s="73" t="s">
        <v>72</v>
      </c>
      <c r="Q165" s="73" t="s">
        <v>151</v>
      </c>
      <c r="R165" s="74"/>
      <c r="S165" s="228" t="s">
        <v>373</v>
      </c>
      <c r="T165" s="74"/>
      <c r="U165" s="73" t="s">
        <v>76</v>
      </c>
      <c r="V165" s="220">
        <v>46150</v>
      </c>
      <c r="W165" s="203" t="s">
        <v>634</v>
      </c>
      <c r="X165" s="117" t="s">
        <v>40</v>
      </c>
      <c r="Y165" s="249">
        <v>46154</v>
      </c>
      <c r="Z165" s="249">
        <v>46155</v>
      </c>
      <c r="AA165" s="224">
        <v>145946</v>
      </c>
      <c r="AB165" s="74"/>
      <c r="AC165" s="74"/>
      <c r="AD165" s="256">
        <v>0</v>
      </c>
    </row>
    <row r="166" spans="1:30" s="251" customFormat="1" ht="18" customHeight="1">
      <c r="A166" s="97">
        <v>29885</v>
      </c>
      <c r="B166" s="105">
        <v>1</v>
      </c>
      <c r="C166" s="247">
        <v>46126</v>
      </c>
      <c r="D166" s="105">
        <f t="shared" ca="1" si="6"/>
        <v>101</v>
      </c>
      <c r="E166" s="138" t="str">
        <f t="shared" si="5"/>
        <v>CANCELADA</v>
      </c>
      <c r="F166" s="138" t="s">
        <v>119</v>
      </c>
      <c r="G166" s="117" t="s">
        <v>145</v>
      </c>
      <c r="H166" s="117" t="s">
        <v>52</v>
      </c>
      <c r="I166" s="117" t="str">
        <f>IF(X166="ADMITIDO","ADMITIDO",IF(X166="CANCELADA","CANCELADA",IF(H166="","",IFERROR(_xlfn.XLOOKUP(H166,Listas!I:I,Listas!J:J),"OUTROS"))))</f>
        <v>CANCELADA</v>
      </c>
      <c r="J166" s="248" t="s">
        <v>635</v>
      </c>
      <c r="K166" s="73" t="s">
        <v>636</v>
      </c>
      <c r="L166" s="73" t="s">
        <v>637</v>
      </c>
      <c r="M166" s="73"/>
      <c r="N166" s="73" t="s">
        <v>119</v>
      </c>
      <c r="O166" s="73" t="s">
        <v>34</v>
      </c>
      <c r="P166" s="73" t="s">
        <v>48</v>
      </c>
      <c r="Q166" s="73" t="s">
        <v>441</v>
      </c>
      <c r="R166" s="74"/>
      <c r="S166" s="228"/>
      <c r="T166" s="74"/>
      <c r="U166" s="73"/>
      <c r="V166" s="220"/>
      <c r="W166" s="203"/>
      <c r="X166" s="227" t="s">
        <v>52</v>
      </c>
      <c r="Y166" s="249"/>
      <c r="Z166" s="249"/>
      <c r="AA166" s="224"/>
      <c r="AB166" s="74"/>
      <c r="AC166" s="74"/>
      <c r="AD166" s="256">
        <v>0</v>
      </c>
    </row>
    <row r="167" spans="1:30" s="251" customFormat="1" ht="18" customHeight="1">
      <c r="A167" s="97">
        <v>29859</v>
      </c>
      <c r="B167" s="105">
        <v>1</v>
      </c>
      <c r="C167" s="247">
        <v>46126</v>
      </c>
      <c r="D167" s="105">
        <f t="shared" ca="1" si="6"/>
        <v>101</v>
      </c>
      <c r="E167" s="138" t="str">
        <f t="shared" si="5"/>
        <v>ADMITIDO</v>
      </c>
      <c r="F167" s="138" t="s">
        <v>42</v>
      </c>
      <c r="G167" s="117" t="s">
        <v>69</v>
      </c>
      <c r="H167" s="117" t="str">
        <f>X167</f>
        <v>ADMITIDO</v>
      </c>
      <c r="I167" s="117" t="str">
        <f>IF(X167="ADMITIDO","ADMITIDO",IF(X167="CANCELADA","CANCELADA",IF(H167="","",IFERROR(_xlfn.XLOOKUP(H167,Listas!I:I,Listas!J:J),"OUTROS"))))</f>
        <v>ADMITIDO</v>
      </c>
      <c r="J167" s="248" t="s">
        <v>53</v>
      </c>
      <c r="K167" s="73" t="s">
        <v>70</v>
      </c>
      <c r="L167" s="73" t="s">
        <v>639</v>
      </c>
      <c r="M167" s="73"/>
      <c r="N167" s="73" t="s">
        <v>63</v>
      </c>
      <c r="O167" s="73" t="s">
        <v>34</v>
      </c>
      <c r="P167" s="73" t="s">
        <v>57</v>
      </c>
      <c r="Q167" s="73" t="s">
        <v>432</v>
      </c>
      <c r="R167" s="74"/>
      <c r="S167" s="228" t="s">
        <v>373</v>
      </c>
      <c r="T167" s="74"/>
      <c r="U167" s="73" t="s">
        <v>109</v>
      </c>
      <c r="V167" s="220">
        <v>46164</v>
      </c>
      <c r="W167" s="118" t="s">
        <v>1339</v>
      </c>
      <c r="X167" s="119" t="s">
        <v>40</v>
      </c>
      <c r="Y167" s="249">
        <v>46169</v>
      </c>
      <c r="Z167" s="249">
        <v>46170</v>
      </c>
      <c r="AA167" s="224">
        <v>146027</v>
      </c>
      <c r="AB167" s="74" t="s">
        <v>640</v>
      </c>
      <c r="AC167" s="74"/>
      <c r="AD167" s="256">
        <v>1</v>
      </c>
    </row>
    <row r="168" spans="1:30" s="251" customFormat="1" ht="18" customHeight="1">
      <c r="A168" s="246">
        <v>29882</v>
      </c>
      <c r="B168" s="105">
        <v>1</v>
      </c>
      <c r="C168" s="247">
        <v>46126</v>
      </c>
      <c r="D168" s="105">
        <f t="shared" ca="1" si="6"/>
        <v>101</v>
      </c>
      <c r="E168" s="138" t="str">
        <f t="shared" si="5"/>
        <v>ADMITIDO</v>
      </c>
      <c r="F168" s="138" t="s">
        <v>28</v>
      </c>
      <c r="G168" s="117" t="s">
        <v>43</v>
      </c>
      <c r="H168" s="117" t="str">
        <f t="shared" ref="H168:H170" si="7">X168</f>
        <v>ADMITIDO</v>
      </c>
      <c r="I168" s="117" t="str">
        <f>IF(X168="ADMITIDO","ADMITIDO",IF(X168="CANCELADA","CANCELADA",IF(H168="","",IFERROR(_xlfn.XLOOKUP(H168,Listas!I:I,Listas!J:J),"OUTROS"))))</f>
        <v>ADMITIDO</v>
      </c>
      <c r="J168" s="248" t="s">
        <v>268</v>
      </c>
      <c r="K168" s="73" t="s">
        <v>360</v>
      </c>
      <c r="L168" s="73" t="s">
        <v>336</v>
      </c>
      <c r="M168" s="73"/>
      <c r="N168" s="73" t="s">
        <v>337</v>
      </c>
      <c r="O168" s="73" t="s">
        <v>34</v>
      </c>
      <c r="P168" s="73" t="s">
        <v>35</v>
      </c>
      <c r="Q168" s="73" t="s">
        <v>641</v>
      </c>
      <c r="R168" s="74"/>
      <c r="S168" s="228"/>
      <c r="T168" s="252"/>
      <c r="U168" s="73" t="s">
        <v>67</v>
      </c>
      <c r="V168" s="220">
        <v>46128</v>
      </c>
      <c r="W168" s="203" t="s">
        <v>642</v>
      </c>
      <c r="X168" s="227" t="s">
        <v>40</v>
      </c>
      <c r="Y168" s="249">
        <v>46136</v>
      </c>
      <c r="Z168" s="249">
        <v>46136</v>
      </c>
      <c r="AA168" s="224">
        <v>914167</v>
      </c>
      <c r="AB168" s="74"/>
      <c r="AC168" s="74"/>
      <c r="AD168" s="256">
        <v>0</v>
      </c>
    </row>
    <row r="169" spans="1:30" s="251" customFormat="1" ht="18" customHeight="1">
      <c r="A169" s="246">
        <v>29891</v>
      </c>
      <c r="B169" s="105">
        <v>1</v>
      </c>
      <c r="C169" s="247">
        <v>46126</v>
      </c>
      <c r="D169" s="105">
        <f ca="1">TODAY()-C169</f>
        <v>101</v>
      </c>
      <c r="E169" s="138" t="str">
        <f t="shared" si="5"/>
        <v>ADMITIDO</v>
      </c>
      <c r="F169" s="274" t="s">
        <v>42</v>
      </c>
      <c r="G169" s="117" t="s">
        <v>69</v>
      </c>
      <c r="H169" s="117" t="str">
        <f t="shared" si="7"/>
        <v>ADMITIDO</v>
      </c>
      <c r="I169" s="117" t="str">
        <f>IF(X169="ADMITIDO","ADMITIDO",IF(X169="CANCELADA","CANCELADA",IF(H169="","",IFERROR(_xlfn.XLOOKUP(H169,Listas!I:I,Listas!J:J),"OUTROS"))))</f>
        <v>ADMITIDO</v>
      </c>
      <c r="J169" s="261" t="s">
        <v>53</v>
      </c>
      <c r="K169" s="261" t="s">
        <v>158</v>
      </c>
      <c r="L169" s="261" t="s">
        <v>618</v>
      </c>
      <c r="M169" s="261"/>
      <c r="N169" s="261" t="s">
        <v>63</v>
      </c>
      <c r="O169" s="73" t="s">
        <v>34</v>
      </c>
      <c r="P169" s="73" t="s">
        <v>72</v>
      </c>
      <c r="Q169" s="73" t="s">
        <v>619</v>
      </c>
      <c r="R169" s="74"/>
      <c r="S169" s="228" t="s">
        <v>65</v>
      </c>
      <c r="T169" s="252" t="s">
        <v>643</v>
      </c>
      <c r="U169" s="73" t="s">
        <v>67</v>
      </c>
      <c r="V169" s="220">
        <v>46132</v>
      </c>
      <c r="W169" s="203" t="s">
        <v>644</v>
      </c>
      <c r="X169" s="227" t="s">
        <v>40</v>
      </c>
      <c r="Y169" s="249">
        <v>46140</v>
      </c>
      <c r="Z169" s="249">
        <v>46141</v>
      </c>
      <c r="AA169" s="224">
        <v>145899</v>
      </c>
      <c r="AB169" s="74"/>
      <c r="AC169" s="74"/>
      <c r="AD169" s="256">
        <v>0</v>
      </c>
    </row>
    <row r="170" spans="1:30" s="251" customFormat="1" ht="18" customHeight="1">
      <c r="A170" s="97">
        <v>29916</v>
      </c>
      <c r="B170" s="105">
        <v>1</v>
      </c>
      <c r="C170" s="247">
        <v>46127</v>
      </c>
      <c r="D170" s="105">
        <f t="shared" ca="1" si="6"/>
        <v>100</v>
      </c>
      <c r="E170" s="138" t="str">
        <f t="shared" si="5"/>
        <v>ADMITIDO</v>
      </c>
      <c r="F170" s="138" t="s">
        <v>42</v>
      </c>
      <c r="G170" s="117" t="s">
        <v>29</v>
      </c>
      <c r="H170" s="117" t="str">
        <f t="shared" si="7"/>
        <v>ADMITIDO</v>
      </c>
      <c r="I170" s="117" t="str">
        <f>IF(X170="ADMITIDO","ADMITIDO",IF(X170="CANCELADA","CANCELADA",IF(H170="","",IFERROR(_xlfn.XLOOKUP(H170,Listas!I:I,Listas!J:J),"OUTROS"))))</f>
        <v>ADMITIDO</v>
      </c>
      <c r="J170" s="248" t="s">
        <v>227</v>
      </c>
      <c r="K170" s="73" t="s">
        <v>228</v>
      </c>
      <c r="L170" s="73" t="s">
        <v>229</v>
      </c>
      <c r="M170" s="73"/>
      <c r="N170" s="73" t="s">
        <v>88</v>
      </c>
      <c r="O170" s="73" t="s">
        <v>34</v>
      </c>
      <c r="P170" s="73" t="s">
        <v>35</v>
      </c>
      <c r="Q170" s="73" t="s">
        <v>266</v>
      </c>
      <c r="R170" s="74"/>
      <c r="S170" s="228"/>
      <c r="T170" s="74"/>
      <c r="U170" s="73" t="s">
        <v>38</v>
      </c>
      <c r="V170" s="220">
        <v>46149</v>
      </c>
      <c r="W170" s="118" t="s">
        <v>645</v>
      </c>
      <c r="X170" s="117" t="s">
        <v>40</v>
      </c>
      <c r="Y170" s="249">
        <v>46155</v>
      </c>
      <c r="Z170" s="249">
        <v>46156</v>
      </c>
      <c r="AA170" s="224">
        <v>14594</v>
      </c>
      <c r="AB170" s="74"/>
      <c r="AC170" s="74"/>
      <c r="AD170" s="256">
        <v>0</v>
      </c>
    </row>
    <row r="171" spans="1:30" s="251" customFormat="1" ht="18" customHeight="1">
      <c r="A171" s="97">
        <v>29914</v>
      </c>
      <c r="B171" s="105">
        <v>1</v>
      </c>
      <c r="C171" s="247">
        <v>46127</v>
      </c>
      <c r="D171" s="105">
        <f t="shared" ca="1" si="6"/>
        <v>100</v>
      </c>
      <c r="E171" s="138" t="str">
        <f t="shared" si="5"/>
        <v>ADMITIDO</v>
      </c>
      <c r="F171" s="138" t="s">
        <v>42</v>
      </c>
      <c r="G171" s="117" t="s">
        <v>29</v>
      </c>
      <c r="H171" s="117" t="str">
        <f>X171</f>
        <v>ADMITIDO</v>
      </c>
      <c r="I171" s="117" t="str">
        <f>IF(X171="ADMITIDO","ADMITIDO",IF(X171="CANCELADA","CANCELADA",IF(H171="","",IFERROR(_xlfn.XLOOKUP(H171,Listas!I:I,Listas!J:J),"OUTROS"))))</f>
        <v>ADMITIDO</v>
      </c>
      <c r="J171" s="248" t="s">
        <v>53</v>
      </c>
      <c r="K171" s="73" t="s">
        <v>347</v>
      </c>
      <c r="L171" s="73" t="s">
        <v>646</v>
      </c>
      <c r="M171" s="73"/>
      <c r="N171" s="73"/>
      <c r="O171" s="73" t="s">
        <v>34</v>
      </c>
      <c r="P171" s="73" t="s">
        <v>57</v>
      </c>
      <c r="Q171" s="73" t="s">
        <v>98</v>
      </c>
      <c r="R171" s="74"/>
      <c r="S171" s="228"/>
      <c r="T171" s="255" t="s">
        <v>647</v>
      </c>
      <c r="U171" s="73" t="s">
        <v>38</v>
      </c>
      <c r="V171" s="220">
        <v>46129</v>
      </c>
      <c r="W171" s="203" t="s">
        <v>648</v>
      </c>
      <c r="X171" s="227" t="s">
        <v>40</v>
      </c>
      <c r="Y171" s="249">
        <v>46134</v>
      </c>
      <c r="Z171" s="249">
        <v>46135</v>
      </c>
      <c r="AA171" s="224">
        <v>145874</v>
      </c>
      <c r="AB171" s="74"/>
      <c r="AC171" s="74"/>
      <c r="AD171" s="256">
        <v>0</v>
      </c>
    </row>
    <row r="172" spans="1:30" s="251" customFormat="1" ht="18" customHeight="1">
      <c r="A172" s="97">
        <v>29919</v>
      </c>
      <c r="B172" s="105">
        <v>1</v>
      </c>
      <c r="C172" s="247">
        <v>46127</v>
      </c>
      <c r="D172" s="105">
        <f t="shared" ca="1" si="6"/>
        <v>100</v>
      </c>
      <c r="E172" s="138" t="str">
        <f t="shared" si="5"/>
        <v>ADMITIDO</v>
      </c>
      <c r="F172" s="138" t="s">
        <v>119</v>
      </c>
      <c r="G172" s="117" t="s">
        <v>145</v>
      </c>
      <c r="H172" s="117" t="str">
        <f>X172</f>
        <v>ADMITIDO</v>
      </c>
      <c r="I172" s="117" t="str">
        <f>IF(X172="ADMITIDO","ADMITIDO",IF(X172="CANCELADA","CANCELADA",IF(H172="","",IFERROR(_xlfn.XLOOKUP(H172,Listas!I:I,Listas!J:J),"OUTROS"))))</f>
        <v>ADMITIDO</v>
      </c>
      <c r="J172" s="248" t="s">
        <v>649</v>
      </c>
      <c r="K172" s="73" t="s">
        <v>650</v>
      </c>
      <c r="L172" s="73" t="s">
        <v>651</v>
      </c>
      <c r="M172" s="73"/>
      <c r="N172" s="73" t="s">
        <v>119</v>
      </c>
      <c r="O172" s="73" t="s">
        <v>34</v>
      </c>
      <c r="P172" s="73" t="s">
        <v>48</v>
      </c>
      <c r="Q172" s="73" t="s">
        <v>441</v>
      </c>
      <c r="R172" s="74"/>
      <c r="S172" s="228"/>
      <c r="T172" s="74"/>
      <c r="U172" s="73" t="s">
        <v>132</v>
      </c>
      <c r="V172" s="220">
        <v>46147</v>
      </c>
      <c r="W172" s="203" t="s">
        <v>652</v>
      </c>
      <c r="X172" s="73" t="s">
        <v>40</v>
      </c>
      <c r="Y172" s="249">
        <v>46153</v>
      </c>
      <c r="Z172" s="249">
        <v>46153</v>
      </c>
      <c r="AA172" s="224">
        <v>145928</v>
      </c>
      <c r="AB172" s="74"/>
      <c r="AC172" s="74"/>
      <c r="AD172" s="256">
        <v>0</v>
      </c>
    </row>
    <row r="173" spans="1:30" s="251" customFormat="1" ht="18" customHeight="1">
      <c r="A173" s="97">
        <v>29915</v>
      </c>
      <c r="B173" s="105">
        <v>1</v>
      </c>
      <c r="C173" s="247">
        <v>46127</v>
      </c>
      <c r="D173" s="105">
        <f t="shared" ca="1" si="6"/>
        <v>100</v>
      </c>
      <c r="E173" s="138" t="str">
        <f t="shared" si="5"/>
        <v>ADMITIDO</v>
      </c>
      <c r="F173" s="138" t="s">
        <v>42</v>
      </c>
      <c r="G173" s="117" t="s">
        <v>29</v>
      </c>
      <c r="H173" s="117" t="str">
        <f>X173</f>
        <v>ADMITIDO</v>
      </c>
      <c r="I173" s="117" t="str">
        <f>IF(X173="ADMITIDO","ADMITIDO",IF(X173="CANCELADA","CANCELADA",IF(H173="","",IFERROR(_xlfn.XLOOKUP(H173,Listas!I:I,Listas!J:J),"OUTROS"))))</f>
        <v>ADMITIDO</v>
      </c>
      <c r="J173" s="248" t="s">
        <v>53</v>
      </c>
      <c r="K173" s="73" t="s">
        <v>347</v>
      </c>
      <c r="L173" s="73" t="s">
        <v>653</v>
      </c>
      <c r="M173" s="73"/>
      <c r="N173" s="73" t="s">
        <v>654</v>
      </c>
      <c r="O173" s="73" t="s">
        <v>34</v>
      </c>
      <c r="P173" s="73" t="s">
        <v>57</v>
      </c>
      <c r="Q173" s="73" t="s">
        <v>98</v>
      </c>
      <c r="R173" s="74"/>
      <c r="S173" s="228"/>
      <c r="T173" s="74" t="s">
        <v>655</v>
      </c>
      <c r="U173" s="73" t="s">
        <v>38</v>
      </c>
      <c r="V173" s="220">
        <v>46134</v>
      </c>
      <c r="W173" s="203" t="s">
        <v>656</v>
      </c>
      <c r="X173" s="227" t="s">
        <v>40</v>
      </c>
      <c r="Y173" s="249">
        <v>46141</v>
      </c>
      <c r="Z173" s="249">
        <v>46142</v>
      </c>
      <c r="AA173" s="224">
        <v>145903</v>
      </c>
      <c r="AB173" s="74"/>
      <c r="AC173" s="74"/>
      <c r="AD173" s="256">
        <v>0</v>
      </c>
    </row>
    <row r="174" spans="1:30" s="251" customFormat="1" ht="18" customHeight="1">
      <c r="A174" s="97">
        <v>29928</v>
      </c>
      <c r="B174" s="105">
        <v>1</v>
      </c>
      <c r="C174" s="247">
        <v>46127</v>
      </c>
      <c r="D174" s="105">
        <f t="shared" ca="1" si="6"/>
        <v>100</v>
      </c>
      <c r="E174" s="138" t="str">
        <f t="shared" si="5"/>
        <v>ADMITIDO</v>
      </c>
      <c r="F174" s="138" t="s">
        <v>42</v>
      </c>
      <c r="G174" s="117" t="s">
        <v>69</v>
      </c>
      <c r="H174" s="117" t="s">
        <v>40</v>
      </c>
      <c r="I174" s="117" t="str">
        <f>IF(X174="ADMITIDO","ADMITIDO",IF(X174="CANCELADA","CANCELADA",IF(H174="","",IFERROR(_xlfn.XLOOKUP(H174,Listas!I:I,Listas!J:J),"OUTROS"))))</f>
        <v>ADMITIDO</v>
      </c>
      <c r="J174" s="248" t="s">
        <v>53</v>
      </c>
      <c r="K174" s="73" t="s">
        <v>70</v>
      </c>
      <c r="L174" s="73" t="s">
        <v>71</v>
      </c>
      <c r="M174" s="73"/>
      <c r="N174" s="73" t="s">
        <v>33</v>
      </c>
      <c r="O174" s="73" t="s">
        <v>34</v>
      </c>
      <c r="P174" s="73" t="s">
        <v>57</v>
      </c>
      <c r="Q174" s="73" t="s">
        <v>98</v>
      </c>
      <c r="R174" s="74"/>
      <c r="S174" s="228" t="s">
        <v>65</v>
      </c>
      <c r="T174" s="74"/>
      <c r="U174" s="73" t="s">
        <v>67</v>
      </c>
      <c r="V174" s="220">
        <v>46190</v>
      </c>
      <c r="W174" s="203" t="s">
        <v>1340</v>
      </c>
      <c r="X174" s="227" t="s">
        <v>40</v>
      </c>
      <c r="Y174" s="249">
        <v>46191</v>
      </c>
      <c r="Z174" s="249">
        <v>46192</v>
      </c>
      <c r="AA174" s="224">
        <v>146119</v>
      </c>
      <c r="AB174" s="74" t="s">
        <v>1341</v>
      </c>
      <c r="AC174" s="74"/>
      <c r="AD174" s="256">
        <v>5</v>
      </c>
    </row>
    <row r="175" spans="1:30" s="251" customFormat="1" ht="18" customHeight="1">
      <c r="A175" s="97">
        <v>29913</v>
      </c>
      <c r="B175" s="105">
        <v>1</v>
      </c>
      <c r="C175" s="247">
        <v>46127</v>
      </c>
      <c r="D175" s="105">
        <f t="shared" ca="1" si="6"/>
        <v>100</v>
      </c>
      <c r="E175" s="138" t="str">
        <f t="shared" si="5"/>
        <v>ADMITIDO</v>
      </c>
      <c r="F175" s="138" t="s">
        <v>42</v>
      </c>
      <c r="G175" s="117" t="s">
        <v>69</v>
      </c>
      <c r="H175" s="117" t="str">
        <f>X175</f>
        <v>ADMITIDO</v>
      </c>
      <c r="I175" s="117" t="str">
        <f>IF(X175="ADMITIDO","ADMITIDO",IF(X175="CANCELADA","CANCELADA",IF(H175="","",IFERROR(_xlfn.XLOOKUP(H175,Listas!I:I,Listas!J:J),"OUTROS"))))</f>
        <v>ADMITIDO</v>
      </c>
      <c r="J175" s="248" t="s">
        <v>53</v>
      </c>
      <c r="K175" s="73" t="s">
        <v>158</v>
      </c>
      <c r="L175" s="73" t="s">
        <v>658</v>
      </c>
      <c r="M175" s="73"/>
      <c r="N175" s="73" t="s">
        <v>33</v>
      </c>
      <c r="O175" s="73" t="s">
        <v>34</v>
      </c>
      <c r="P175" s="73" t="s">
        <v>57</v>
      </c>
      <c r="Q175" s="73" t="s">
        <v>98</v>
      </c>
      <c r="R175" s="74"/>
      <c r="S175" s="228"/>
      <c r="T175" s="74" t="s">
        <v>659</v>
      </c>
      <c r="U175" s="73" t="s">
        <v>67</v>
      </c>
      <c r="V175" s="220">
        <v>46142</v>
      </c>
      <c r="W175" s="203" t="s">
        <v>660</v>
      </c>
      <c r="X175" s="227" t="s">
        <v>40</v>
      </c>
      <c r="Y175" s="249">
        <v>46147</v>
      </c>
      <c r="Z175" s="249">
        <v>46149</v>
      </c>
      <c r="AA175" s="224">
        <v>145919</v>
      </c>
      <c r="AB175" s="74"/>
      <c r="AC175" s="74"/>
      <c r="AD175" s="256">
        <v>0</v>
      </c>
    </row>
    <row r="176" spans="1:30" s="251" customFormat="1" ht="18" customHeight="1">
      <c r="A176" s="122">
        <v>29927</v>
      </c>
      <c r="B176" s="105">
        <v>1</v>
      </c>
      <c r="C176" s="247">
        <v>46127</v>
      </c>
      <c r="D176" s="105">
        <f ca="1">TODAY()-C176</f>
        <v>100</v>
      </c>
      <c r="E176" s="138" t="str">
        <f t="shared" si="5"/>
        <v>ADMITIDO</v>
      </c>
      <c r="F176" s="138" t="s">
        <v>42</v>
      </c>
      <c r="G176" s="117" t="s">
        <v>29</v>
      </c>
      <c r="H176" s="117" t="str">
        <f>X176</f>
        <v>ADMITIDO</v>
      </c>
      <c r="I176" s="117" t="str">
        <f>IF(X176="ADMITIDO","ADMITIDO",IF(X176="CANCELADA","CANCELADA",IF(H176="","",IFERROR(_xlfn.XLOOKUP(H176,Listas!I:I,Listas!J:J),"OUTROS"))))</f>
        <v>ADMITIDO</v>
      </c>
      <c r="J176" s="248" t="s">
        <v>53</v>
      </c>
      <c r="K176" s="73" t="s">
        <v>54</v>
      </c>
      <c r="L176" s="73" t="s">
        <v>164</v>
      </c>
      <c r="M176" s="73"/>
      <c r="N176" s="73" t="s">
        <v>88</v>
      </c>
      <c r="O176" s="73" t="s">
        <v>34</v>
      </c>
      <c r="P176" s="73" t="s">
        <v>57</v>
      </c>
      <c r="Q176" s="73" t="s">
        <v>231</v>
      </c>
      <c r="R176" s="74"/>
      <c r="S176" s="228"/>
      <c r="T176" s="74" t="s">
        <v>661</v>
      </c>
      <c r="U176" s="73" t="s">
        <v>38</v>
      </c>
      <c r="V176" s="220">
        <v>46132</v>
      </c>
      <c r="W176" s="203" t="s">
        <v>662</v>
      </c>
      <c r="X176" s="227" t="s">
        <v>40</v>
      </c>
      <c r="Y176" s="249">
        <v>46136</v>
      </c>
      <c r="Z176" s="249">
        <v>46137</v>
      </c>
      <c r="AA176" s="224">
        <v>145884</v>
      </c>
      <c r="AB176" s="74"/>
      <c r="AC176" s="74"/>
      <c r="AD176" s="256">
        <v>0</v>
      </c>
    </row>
    <row r="177" spans="1:30" s="251" customFormat="1" ht="18" customHeight="1">
      <c r="A177" s="97">
        <v>29910</v>
      </c>
      <c r="B177" s="105">
        <v>1</v>
      </c>
      <c r="C177" s="247">
        <v>46127</v>
      </c>
      <c r="D177" s="105">
        <f t="shared" ca="1" si="6"/>
        <v>100</v>
      </c>
      <c r="E177" s="138" t="str">
        <f t="shared" si="5"/>
        <v>ADMITIDO</v>
      </c>
      <c r="F177" s="138" t="s">
        <v>42</v>
      </c>
      <c r="G177" s="117" t="s">
        <v>663</v>
      </c>
      <c r="H177" s="117" t="s">
        <v>40</v>
      </c>
      <c r="I177" s="117" t="str">
        <f>IF(X177="ADMITIDO","ADMITIDO",IF(X177="CANCELADA","CANCELADA",IF(H177="","",IFERROR(_xlfn.XLOOKUP(H177,Listas!I:I,Listas!J:J),"OUTROS"))))</f>
        <v>ADMITIDO</v>
      </c>
      <c r="J177" s="248" t="s">
        <v>44</v>
      </c>
      <c r="K177" s="73" t="s">
        <v>54</v>
      </c>
      <c r="L177" s="73" t="s">
        <v>664</v>
      </c>
      <c r="M177" s="73"/>
      <c r="N177" s="73" t="s">
        <v>435</v>
      </c>
      <c r="O177" s="73" t="s">
        <v>34</v>
      </c>
      <c r="P177" s="73" t="s">
        <v>57</v>
      </c>
      <c r="Q177" s="73" t="s">
        <v>98</v>
      </c>
      <c r="R177" s="74" t="s">
        <v>1342</v>
      </c>
      <c r="S177" s="228"/>
      <c r="T177" s="229" t="s">
        <v>1343</v>
      </c>
      <c r="U177" s="73" t="s">
        <v>38</v>
      </c>
      <c r="V177" s="220">
        <v>46169</v>
      </c>
      <c r="W177" s="203" t="s">
        <v>1344</v>
      </c>
      <c r="X177" s="227" t="s">
        <v>40</v>
      </c>
      <c r="Y177" s="249">
        <v>46174</v>
      </c>
      <c r="Z177" s="249">
        <v>46175</v>
      </c>
      <c r="AA177" s="224">
        <v>146036</v>
      </c>
      <c r="AB177" s="271" t="s">
        <v>1345</v>
      </c>
      <c r="AC177" s="74" t="s">
        <v>1160</v>
      </c>
      <c r="AD177" s="256">
        <v>1</v>
      </c>
    </row>
    <row r="178" spans="1:30" s="251" customFormat="1" ht="18" customHeight="1">
      <c r="A178" s="246">
        <v>29909</v>
      </c>
      <c r="B178" s="105">
        <v>1</v>
      </c>
      <c r="C178" s="247">
        <v>46127</v>
      </c>
      <c r="D178" s="105">
        <f t="shared" ca="1" si="6"/>
        <v>100</v>
      </c>
      <c r="E178" s="138" t="str">
        <f t="shared" si="5"/>
        <v>ADMITIDO</v>
      </c>
      <c r="F178" s="138" t="s">
        <v>28</v>
      </c>
      <c r="G178" s="117" t="s">
        <v>145</v>
      </c>
      <c r="H178" s="117" t="str">
        <f>X178</f>
        <v>ADMITIDO</v>
      </c>
      <c r="I178" s="117" t="str">
        <f>IF(X178="ADMITIDO","ADMITIDO",IF(X178="CANCELADA","CANCELADA",IF(H178="","",IFERROR(_xlfn.XLOOKUP(H178,Listas!I:I,Listas!J:J),"OUTROS"))))</f>
        <v>ADMITIDO</v>
      </c>
      <c r="J178" s="248" t="s">
        <v>268</v>
      </c>
      <c r="K178" s="73" t="s">
        <v>330</v>
      </c>
      <c r="L178" s="73" t="s">
        <v>667</v>
      </c>
      <c r="M178" s="73"/>
      <c r="N178" s="73" t="s">
        <v>63</v>
      </c>
      <c r="O178" s="73" t="s">
        <v>34</v>
      </c>
      <c r="P178" s="73" t="s">
        <v>35</v>
      </c>
      <c r="Q178" s="73" t="s">
        <v>574</v>
      </c>
      <c r="R178" s="74"/>
      <c r="S178" s="228" t="s">
        <v>65</v>
      </c>
      <c r="T178" s="74"/>
      <c r="U178" s="73" t="s">
        <v>67</v>
      </c>
      <c r="V178" s="220">
        <v>46148</v>
      </c>
      <c r="W178" s="203" t="s">
        <v>668</v>
      </c>
      <c r="X178" s="117" t="s">
        <v>40</v>
      </c>
      <c r="Y178" s="249">
        <v>46154</v>
      </c>
      <c r="Z178" s="249">
        <v>46156</v>
      </c>
      <c r="AA178" s="224">
        <v>914267</v>
      </c>
      <c r="AB178" s="74" t="s">
        <v>669</v>
      </c>
      <c r="AC178" s="74"/>
      <c r="AD178" s="256">
        <v>0</v>
      </c>
    </row>
    <row r="179" spans="1:30" s="251" customFormat="1" ht="18" customHeight="1">
      <c r="A179" s="97">
        <v>29918</v>
      </c>
      <c r="B179" s="105">
        <v>1</v>
      </c>
      <c r="C179" s="247">
        <v>46127</v>
      </c>
      <c r="D179" s="105">
        <f t="shared" ca="1" si="6"/>
        <v>100</v>
      </c>
      <c r="E179" s="138" t="str">
        <f t="shared" si="5"/>
        <v>ADMITIDO</v>
      </c>
      <c r="F179" s="138" t="s">
        <v>28</v>
      </c>
      <c r="G179" s="117" t="s">
        <v>145</v>
      </c>
      <c r="H179" s="117" t="s">
        <v>40</v>
      </c>
      <c r="I179" s="117" t="str">
        <f>IF(X179="ADMITIDO","ADMITIDO",IF(X179="CANCELADA","CANCELADA",IF(H179="","",IFERROR(_xlfn.XLOOKUP(H179,Listas!I:I,Listas!J:J),"OUTROS"))))</f>
        <v>ADMITIDO</v>
      </c>
      <c r="J179" s="248" t="s">
        <v>670</v>
      </c>
      <c r="K179" s="73" t="s">
        <v>371</v>
      </c>
      <c r="L179" s="73" t="s">
        <v>671</v>
      </c>
      <c r="M179" s="73"/>
      <c r="N179" s="73" t="s">
        <v>672</v>
      </c>
      <c r="O179" s="73" t="s">
        <v>34</v>
      </c>
      <c r="P179" s="73" t="s">
        <v>35</v>
      </c>
      <c r="Q179" s="73" t="s">
        <v>36</v>
      </c>
      <c r="R179" s="74" t="s">
        <v>673</v>
      </c>
      <c r="S179" s="228" t="s">
        <v>1346</v>
      </c>
      <c r="T179" s="74"/>
      <c r="U179" s="73" t="s">
        <v>109</v>
      </c>
      <c r="V179" s="220">
        <v>46162</v>
      </c>
      <c r="W179" s="203" t="s">
        <v>1347</v>
      </c>
      <c r="X179" s="227" t="s">
        <v>40</v>
      </c>
      <c r="Y179" s="249">
        <v>46168</v>
      </c>
      <c r="Z179" s="249">
        <v>46170</v>
      </c>
      <c r="AA179" s="224">
        <v>914351</v>
      </c>
      <c r="AB179" s="74" t="s">
        <v>674</v>
      </c>
      <c r="AC179" s="74"/>
      <c r="AD179" s="256">
        <v>1</v>
      </c>
    </row>
    <row r="180" spans="1:30" s="251" customFormat="1" ht="18" customHeight="1">
      <c r="A180" s="97">
        <v>29908</v>
      </c>
      <c r="B180" s="105">
        <v>1</v>
      </c>
      <c r="C180" s="247">
        <v>46127</v>
      </c>
      <c r="D180" s="105">
        <f t="shared" ca="1" si="6"/>
        <v>100</v>
      </c>
      <c r="E180" s="138" t="str">
        <f t="shared" si="5"/>
        <v>ADMITIDO</v>
      </c>
      <c r="F180" s="138" t="s">
        <v>28</v>
      </c>
      <c r="G180" s="117" t="s">
        <v>145</v>
      </c>
      <c r="H180" s="117" t="str">
        <f>X180</f>
        <v>ADMITIDO</v>
      </c>
      <c r="I180" s="117" t="str">
        <f>IF(X180="ADMITIDO","ADMITIDO",IF(X180="CANCELADA","CANCELADA",IF(H180="","",IFERROR(_xlfn.XLOOKUP(H180,Listas!I:I,Listas!J:J),"OUTROS"))))</f>
        <v>ADMITIDO</v>
      </c>
      <c r="J180" s="248" t="s">
        <v>675</v>
      </c>
      <c r="K180" s="73" t="s">
        <v>676</v>
      </c>
      <c r="L180" s="73" t="s">
        <v>677</v>
      </c>
      <c r="M180" s="73"/>
      <c r="N180" s="73" t="s">
        <v>63</v>
      </c>
      <c r="O180" s="73" t="s">
        <v>56</v>
      </c>
      <c r="P180" s="73" t="s">
        <v>35</v>
      </c>
      <c r="Q180" s="73" t="s">
        <v>678</v>
      </c>
      <c r="R180" s="74"/>
      <c r="S180" s="228"/>
      <c r="T180" s="74"/>
      <c r="U180" s="73" t="s">
        <v>132</v>
      </c>
      <c r="V180" s="220">
        <v>46141</v>
      </c>
      <c r="W180" s="203" t="s">
        <v>679</v>
      </c>
      <c r="X180" s="73" t="s">
        <v>40</v>
      </c>
      <c r="Y180" s="249">
        <v>46147</v>
      </c>
      <c r="Z180" s="249">
        <v>46150</v>
      </c>
      <c r="AA180" s="224">
        <v>83280</v>
      </c>
      <c r="AB180" s="74"/>
      <c r="AC180" s="74"/>
      <c r="AD180" s="256">
        <v>0</v>
      </c>
    </row>
    <row r="181" spans="1:30" s="251" customFormat="1" ht="18" customHeight="1">
      <c r="A181" s="246">
        <v>29902</v>
      </c>
      <c r="B181" s="105">
        <v>1</v>
      </c>
      <c r="C181" s="247">
        <v>46127</v>
      </c>
      <c r="D181" s="105">
        <f t="shared" ca="1" si="6"/>
        <v>100</v>
      </c>
      <c r="E181" s="138" t="str">
        <f t="shared" si="5"/>
        <v>ADMITIDO</v>
      </c>
      <c r="F181" s="138" t="s">
        <v>28</v>
      </c>
      <c r="G181" s="117" t="s">
        <v>240</v>
      </c>
      <c r="H181" s="117" t="s">
        <v>40</v>
      </c>
      <c r="I181" s="117" t="str">
        <f>IF(X181="ADMITIDO","ADMITIDO",IF(X181="CANCELADA","CANCELADA",IF(H181="","",IFERROR(_xlfn.XLOOKUP(H181,Listas!I:I,Listas!J:J),"OUTROS"))))</f>
        <v>ADMITIDO</v>
      </c>
      <c r="J181" s="248" t="s">
        <v>268</v>
      </c>
      <c r="K181" s="73" t="s">
        <v>676</v>
      </c>
      <c r="L181" s="73" t="s">
        <v>424</v>
      </c>
      <c r="M181" s="73"/>
      <c r="N181" s="73" t="s">
        <v>243</v>
      </c>
      <c r="O181" s="73" t="s">
        <v>56</v>
      </c>
      <c r="P181" s="73" t="s">
        <v>35</v>
      </c>
      <c r="Q181" s="73" t="s">
        <v>176</v>
      </c>
      <c r="R181" s="74"/>
      <c r="S181" s="228"/>
      <c r="T181" s="74" t="s">
        <v>680</v>
      </c>
      <c r="U181" s="73" t="s">
        <v>132</v>
      </c>
      <c r="V181" s="220">
        <v>46141</v>
      </c>
      <c r="W181" s="203" t="s">
        <v>681</v>
      </c>
      <c r="X181" s="227" t="s">
        <v>40</v>
      </c>
      <c r="Y181" s="249">
        <v>46142</v>
      </c>
      <c r="Z181" s="249">
        <v>46147</v>
      </c>
      <c r="AA181" s="224">
        <v>914205</v>
      </c>
      <c r="AB181" s="74" t="s">
        <v>682</v>
      </c>
      <c r="AC181" s="74"/>
      <c r="AD181" s="256">
        <v>0</v>
      </c>
    </row>
    <row r="182" spans="1:30" s="251" customFormat="1" ht="18" customHeight="1">
      <c r="A182" s="246">
        <v>29907</v>
      </c>
      <c r="B182" s="105">
        <v>1</v>
      </c>
      <c r="C182" s="247">
        <v>46127</v>
      </c>
      <c r="D182" s="105">
        <f t="shared" ca="1" si="6"/>
        <v>100</v>
      </c>
      <c r="E182" s="138" t="str">
        <f t="shared" si="5"/>
        <v>ADMITIDO</v>
      </c>
      <c r="F182" s="138" t="s">
        <v>28</v>
      </c>
      <c r="G182" s="117" t="s">
        <v>145</v>
      </c>
      <c r="H182" s="117" t="s">
        <v>40</v>
      </c>
      <c r="I182" s="117" t="str">
        <f>IF(X182="ADMITIDO","ADMITIDO",IF(X182="CANCELADA","CANCELADA",IF(H182="","",IFERROR(_xlfn.XLOOKUP(H182,Listas!I:I,Listas!J:J),"OUTROS"))))</f>
        <v>ADMITIDO</v>
      </c>
      <c r="J182" s="248" t="s">
        <v>683</v>
      </c>
      <c r="K182" s="73" t="s">
        <v>423</v>
      </c>
      <c r="L182" s="73" t="s">
        <v>684</v>
      </c>
      <c r="M182" s="73"/>
      <c r="N182" s="73" t="s">
        <v>63</v>
      </c>
      <c r="O182" s="73" t="s">
        <v>34</v>
      </c>
      <c r="P182" s="73" t="s">
        <v>35</v>
      </c>
      <c r="Q182" s="73" t="s">
        <v>36</v>
      </c>
      <c r="R182" s="74" t="s">
        <v>685</v>
      </c>
      <c r="S182" s="228" t="s">
        <v>626</v>
      </c>
      <c r="T182" s="74" t="s">
        <v>686</v>
      </c>
      <c r="U182" s="73" t="s">
        <v>76</v>
      </c>
      <c r="V182" s="220">
        <v>46147</v>
      </c>
      <c r="W182" s="203" t="s">
        <v>687</v>
      </c>
      <c r="X182" s="73" t="s">
        <v>40</v>
      </c>
      <c r="Y182" s="249">
        <v>46149</v>
      </c>
      <c r="Z182" s="249">
        <v>46151</v>
      </c>
      <c r="AA182" s="224">
        <v>914239</v>
      </c>
      <c r="AB182" s="74" t="s">
        <v>688</v>
      </c>
      <c r="AC182" s="74"/>
      <c r="AD182" s="256">
        <v>0</v>
      </c>
    </row>
    <row r="183" spans="1:30" s="251" customFormat="1" ht="18" customHeight="1">
      <c r="A183" s="97">
        <v>29912</v>
      </c>
      <c r="B183" s="105">
        <v>1</v>
      </c>
      <c r="C183" s="247">
        <v>46127</v>
      </c>
      <c r="D183" s="105">
        <f t="shared" ca="1" si="6"/>
        <v>100</v>
      </c>
      <c r="E183" s="138" t="str">
        <f t="shared" si="5"/>
        <v>ADMITIDO</v>
      </c>
      <c r="F183" s="138" t="s">
        <v>42</v>
      </c>
      <c r="G183" s="117" t="s">
        <v>102</v>
      </c>
      <c r="H183" s="117" t="s">
        <v>40</v>
      </c>
      <c r="I183" s="117" t="str">
        <f>IF(X183="ADMITIDO","ADMITIDO",IF(X183="CANCELADA","CANCELADA",IF(H183="","",IFERROR(_xlfn.XLOOKUP(H183,Listas!I:I,Listas!J:J),"OUTROS"))))</f>
        <v>ADMITIDO</v>
      </c>
      <c r="J183" s="248" t="s">
        <v>44</v>
      </c>
      <c r="K183" s="73" t="s">
        <v>280</v>
      </c>
      <c r="L183" s="73" t="s">
        <v>281</v>
      </c>
      <c r="M183" s="73"/>
      <c r="N183" s="73" t="s">
        <v>63</v>
      </c>
      <c r="O183" s="73" t="s">
        <v>34</v>
      </c>
      <c r="P183" s="73" t="s">
        <v>57</v>
      </c>
      <c r="Q183" s="73" t="s">
        <v>98</v>
      </c>
      <c r="R183" s="74" t="s">
        <v>689</v>
      </c>
      <c r="S183" s="228" t="s">
        <v>107</v>
      </c>
      <c r="T183" s="74"/>
      <c r="U183" s="73" t="s">
        <v>76</v>
      </c>
      <c r="V183" s="220">
        <v>46148</v>
      </c>
      <c r="W183" s="203" t="s">
        <v>690</v>
      </c>
      <c r="X183" s="227" t="s">
        <v>40</v>
      </c>
      <c r="Y183" s="249">
        <v>46150</v>
      </c>
      <c r="Z183" s="249">
        <v>46153</v>
      </c>
      <c r="AA183" s="224">
        <v>145935</v>
      </c>
      <c r="AB183" s="74"/>
      <c r="AC183" s="74"/>
      <c r="AD183" s="256">
        <v>0</v>
      </c>
    </row>
    <row r="184" spans="1:30" s="251" customFormat="1" ht="18" customHeight="1">
      <c r="A184" s="97">
        <v>29901</v>
      </c>
      <c r="B184" s="105">
        <v>1</v>
      </c>
      <c r="C184" s="247">
        <v>46127</v>
      </c>
      <c r="D184" s="105">
        <f t="shared" ca="1" si="6"/>
        <v>100</v>
      </c>
      <c r="E184" s="138" t="str">
        <f t="shared" si="5"/>
        <v>ADMITIDO</v>
      </c>
      <c r="F184" s="138" t="s">
        <v>28</v>
      </c>
      <c r="G184" s="117" t="s">
        <v>29</v>
      </c>
      <c r="H184" s="117" t="s">
        <v>40</v>
      </c>
      <c r="I184" s="117" t="str">
        <f>IF(X184="ADMITIDO","ADMITIDO",IF(X184="CANCELADA","CANCELADA",IF(H184="","",IFERROR(_xlfn.XLOOKUP(H184,Listas!I:I,Listas!J:J),"OUTROS"))))</f>
        <v>ADMITIDO</v>
      </c>
      <c r="J184" s="248" t="s">
        <v>146</v>
      </c>
      <c r="K184" s="73" t="s">
        <v>335</v>
      </c>
      <c r="L184" s="73" t="s">
        <v>691</v>
      </c>
      <c r="M184" s="73"/>
      <c r="N184" s="73" t="s">
        <v>148</v>
      </c>
      <c r="O184" s="73" t="s">
        <v>56</v>
      </c>
      <c r="P184" s="73" t="s">
        <v>35</v>
      </c>
      <c r="Q184" s="73" t="s">
        <v>176</v>
      </c>
      <c r="R184" s="74" t="s">
        <v>1348</v>
      </c>
      <c r="S184" s="228"/>
      <c r="T184" s="252" t="s">
        <v>1349</v>
      </c>
      <c r="U184" s="73" t="s">
        <v>67</v>
      </c>
      <c r="V184" s="220">
        <v>46240</v>
      </c>
      <c r="W184" s="203" t="s">
        <v>1350</v>
      </c>
      <c r="X184" s="227" t="s">
        <v>40</v>
      </c>
      <c r="Y184" s="249">
        <v>46192</v>
      </c>
      <c r="Z184" s="249">
        <v>46192</v>
      </c>
      <c r="AA184" s="224">
        <v>914448</v>
      </c>
      <c r="AB184" s="74" t="s">
        <v>1351</v>
      </c>
      <c r="AC184" s="74"/>
      <c r="AD184" s="256">
        <v>2</v>
      </c>
    </row>
    <row r="185" spans="1:30" s="251" customFormat="1" ht="18" customHeight="1">
      <c r="A185" s="246">
        <v>29917</v>
      </c>
      <c r="B185" s="105">
        <v>1</v>
      </c>
      <c r="C185" s="247">
        <v>46127</v>
      </c>
      <c r="D185" s="105">
        <f t="shared" ca="1" si="6"/>
        <v>100</v>
      </c>
      <c r="E185" s="232" t="str">
        <f t="shared" si="5"/>
        <v>ADMITIDO</v>
      </c>
      <c r="F185" s="138" t="s">
        <v>42</v>
      </c>
      <c r="G185" s="117" t="s">
        <v>60</v>
      </c>
      <c r="H185" s="117" t="str">
        <f>X185</f>
        <v>ADMITIDO</v>
      </c>
      <c r="I185" s="117" t="str">
        <f>IF(X185="ADMITIDO","ADMITIDO",IF(X185="CANCELADA","CANCELADA",IF(H185="","",IFERROR(_xlfn.XLOOKUP(H185,Listas!I:I,Listas!J:J),"OUTROS"))))</f>
        <v>ADMITIDO</v>
      </c>
      <c r="J185" s="248" t="s">
        <v>461</v>
      </c>
      <c r="K185" s="73" t="s">
        <v>61</v>
      </c>
      <c r="L185" s="73" t="s">
        <v>112</v>
      </c>
      <c r="M185" s="73"/>
      <c r="N185" s="73" t="s">
        <v>63</v>
      </c>
      <c r="O185" s="73" t="s">
        <v>34</v>
      </c>
      <c r="P185" s="73" t="s">
        <v>57</v>
      </c>
      <c r="Q185" s="73" t="s">
        <v>151</v>
      </c>
      <c r="R185" s="74" t="s">
        <v>692</v>
      </c>
      <c r="S185" s="228" t="s">
        <v>65</v>
      </c>
      <c r="T185" s="74" t="s">
        <v>693</v>
      </c>
      <c r="U185" s="73" t="s">
        <v>76</v>
      </c>
      <c r="V185" s="220">
        <v>46132</v>
      </c>
      <c r="W185" s="203" t="s">
        <v>694</v>
      </c>
      <c r="X185" s="227" t="s">
        <v>40</v>
      </c>
      <c r="Y185" s="249">
        <v>46141</v>
      </c>
      <c r="Z185" s="249">
        <v>46146</v>
      </c>
      <c r="AA185" s="224">
        <v>145892</v>
      </c>
      <c r="AB185" s="74" t="s">
        <v>695</v>
      </c>
      <c r="AC185" s="74"/>
      <c r="AD185" s="256">
        <v>0</v>
      </c>
    </row>
    <row r="186" spans="1:30" s="251" customFormat="1" ht="18" customHeight="1">
      <c r="A186" s="97">
        <v>29898</v>
      </c>
      <c r="B186" s="105">
        <v>1</v>
      </c>
      <c r="C186" s="247">
        <v>46127</v>
      </c>
      <c r="D186" s="105">
        <f t="shared" ca="1" si="6"/>
        <v>100</v>
      </c>
      <c r="E186" s="138" t="str">
        <f t="shared" si="5"/>
        <v>CANCELADA</v>
      </c>
      <c r="F186" s="138" t="s">
        <v>42</v>
      </c>
      <c r="G186" s="117" t="s">
        <v>60</v>
      </c>
      <c r="H186" s="117" t="s">
        <v>52</v>
      </c>
      <c r="I186" s="117" t="str">
        <f>IF(X186="ADMITIDO","ADMITIDO",IF(X186="CANCELADA","CANCELADA",IF(H186="","",IFERROR(_xlfn.XLOOKUP(H186,Listas!I:I,Listas!J:J),"OUTROS"))))</f>
        <v>CANCELADA</v>
      </c>
      <c r="J186" s="248" t="s">
        <v>44</v>
      </c>
      <c r="K186" s="73" t="s">
        <v>61</v>
      </c>
      <c r="L186" s="73" t="s">
        <v>112</v>
      </c>
      <c r="M186" s="73"/>
      <c r="N186" s="73" t="s">
        <v>63</v>
      </c>
      <c r="O186" s="73" t="s">
        <v>34</v>
      </c>
      <c r="P186" s="73" t="s">
        <v>35</v>
      </c>
      <c r="Q186" s="73" t="s">
        <v>362</v>
      </c>
      <c r="R186" s="74"/>
      <c r="S186" s="228"/>
      <c r="T186" s="74"/>
      <c r="U186" s="73"/>
      <c r="V186" s="220"/>
      <c r="W186" s="203"/>
      <c r="X186" s="227" t="s">
        <v>52</v>
      </c>
      <c r="Y186" s="249"/>
      <c r="Z186" s="249"/>
      <c r="AA186" s="224"/>
      <c r="AB186" s="74"/>
      <c r="AC186" s="74"/>
      <c r="AD186" s="256">
        <v>0</v>
      </c>
    </row>
    <row r="187" spans="1:30" s="251" customFormat="1" ht="18" customHeight="1">
      <c r="A187" s="246">
        <v>29903</v>
      </c>
      <c r="B187" s="105">
        <v>1</v>
      </c>
      <c r="C187" s="247">
        <v>46127</v>
      </c>
      <c r="D187" s="105">
        <f t="shared" ca="1" si="6"/>
        <v>100</v>
      </c>
      <c r="E187" s="138" t="str">
        <f t="shared" si="5"/>
        <v>ADMITIDO</v>
      </c>
      <c r="F187" s="138" t="s">
        <v>171</v>
      </c>
      <c r="G187" s="117" t="s">
        <v>43</v>
      </c>
      <c r="H187" s="117" t="str">
        <f>X187</f>
        <v>ADMITIDO</v>
      </c>
      <c r="I187" s="117" t="str">
        <f>IF(X187="ADMITIDO","ADMITIDO",IF(X187="CANCELADA","CANCELADA",IF(H187="","",IFERROR(_xlfn.XLOOKUP(H187,Listas!I:I,Listas!J:J),"OUTROS"))))</f>
        <v>ADMITIDO</v>
      </c>
      <c r="J187" s="248" t="s">
        <v>172</v>
      </c>
      <c r="K187" s="73" t="s">
        <v>335</v>
      </c>
      <c r="L187" s="73" t="s">
        <v>696</v>
      </c>
      <c r="M187" s="73"/>
      <c r="N187" s="73" t="s">
        <v>337</v>
      </c>
      <c r="O187" s="73" t="s">
        <v>56</v>
      </c>
      <c r="P187" s="73" t="s">
        <v>35</v>
      </c>
      <c r="Q187" s="73" t="s">
        <v>176</v>
      </c>
      <c r="R187" s="74"/>
      <c r="S187" s="228"/>
      <c r="T187" s="252" t="s">
        <v>697</v>
      </c>
      <c r="U187" s="73" t="s">
        <v>67</v>
      </c>
      <c r="V187" s="220">
        <v>46132</v>
      </c>
      <c r="W187" s="203" t="s">
        <v>698</v>
      </c>
      <c r="X187" s="227" t="s">
        <v>40</v>
      </c>
      <c r="Y187" s="249">
        <v>46142</v>
      </c>
      <c r="Z187" s="249">
        <v>46142</v>
      </c>
      <c r="AA187" s="224">
        <v>83277</v>
      </c>
      <c r="AB187" s="74"/>
      <c r="AC187" s="74"/>
      <c r="AD187" s="256">
        <v>0</v>
      </c>
    </row>
    <row r="188" spans="1:30" s="251" customFormat="1" ht="18" customHeight="1">
      <c r="A188" s="97">
        <v>29828</v>
      </c>
      <c r="B188" s="105">
        <v>1</v>
      </c>
      <c r="C188" s="247">
        <v>46127</v>
      </c>
      <c r="D188" s="105">
        <f t="shared" ca="1" si="6"/>
        <v>100</v>
      </c>
      <c r="E188" s="138" t="str">
        <f t="shared" si="5"/>
        <v>ADMITIDO</v>
      </c>
      <c r="F188" s="138" t="s">
        <v>42</v>
      </c>
      <c r="G188" s="117" t="s">
        <v>167</v>
      </c>
      <c r="H188" s="117" t="s">
        <v>40</v>
      </c>
      <c r="I188" s="117" t="str">
        <f>IF(X188="ADMITIDO","ADMITIDO",IF(X188="CANCELADA","CANCELADA",IF(H188="","",IFERROR(_xlfn.XLOOKUP(H188,Listas!I:I,Listas!J:J),"OUTROS"))))</f>
        <v>ADMITIDO</v>
      </c>
      <c r="J188" s="248" t="s">
        <v>53</v>
      </c>
      <c r="K188" s="73" t="s">
        <v>699</v>
      </c>
      <c r="L188" s="73" t="s">
        <v>700</v>
      </c>
      <c r="M188" s="73"/>
      <c r="N188" s="73" t="s">
        <v>47</v>
      </c>
      <c r="O188" s="73" t="s">
        <v>34</v>
      </c>
      <c r="P188" s="73" t="s">
        <v>48</v>
      </c>
      <c r="Q188" s="73" t="s">
        <v>290</v>
      </c>
      <c r="R188" s="74"/>
      <c r="S188" s="228" t="s">
        <v>373</v>
      </c>
      <c r="T188" s="74" t="s">
        <v>701</v>
      </c>
      <c r="U188" s="73" t="s">
        <v>132</v>
      </c>
      <c r="V188" s="220">
        <v>46129</v>
      </c>
      <c r="W188" s="203" t="s">
        <v>702</v>
      </c>
      <c r="X188" s="227" t="s">
        <v>40</v>
      </c>
      <c r="Y188" s="249">
        <v>46135</v>
      </c>
      <c r="Z188" s="249">
        <v>46136</v>
      </c>
      <c r="AA188" s="224">
        <v>914173</v>
      </c>
      <c r="AB188" s="203" t="s">
        <v>445</v>
      </c>
      <c r="AC188" s="203"/>
      <c r="AD188" s="256">
        <v>0</v>
      </c>
    </row>
    <row r="189" spans="1:30" s="251" customFormat="1" ht="18" customHeight="1">
      <c r="A189" s="97">
        <v>29929</v>
      </c>
      <c r="B189" s="105">
        <v>1</v>
      </c>
      <c r="C189" s="247">
        <v>46127</v>
      </c>
      <c r="D189" s="105">
        <f t="shared" ca="1" si="6"/>
        <v>100</v>
      </c>
      <c r="E189" s="138" t="str">
        <f t="shared" si="5"/>
        <v>ADMITIDO</v>
      </c>
      <c r="F189" s="138" t="s">
        <v>28</v>
      </c>
      <c r="G189" s="117" t="s">
        <v>167</v>
      </c>
      <c r="H189" s="117" t="s">
        <v>40</v>
      </c>
      <c r="I189" s="117" t="str">
        <f>IF(X189="ADMITIDO","ADMITIDO",IF(X189="CANCELADA","CANCELADA",IF(H189="","",IFERROR(_xlfn.XLOOKUP(H189,Listas!I:I,Listas!J:J),"OUTROS"))))</f>
        <v>ADMITIDO</v>
      </c>
      <c r="J189" s="248" t="s">
        <v>268</v>
      </c>
      <c r="K189" s="73" t="s">
        <v>699</v>
      </c>
      <c r="L189" s="73" t="s">
        <v>700</v>
      </c>
      <c r="M189" s="73"/>
      <c r="N189" s="73" t="s">
        <v>47</v>
      </c>
      <c r="O189" s="73" t="s">
        <v>34</v>
      </c>
      <c r="P189" s="73" t="s">
        <v>703</v>
      </c>
      <c r="Q189" s="73" t="s">
        <v>36</v>
      </c>
      <c r="R189" s="74"/>
      <c r="S189" s="228" t="s">
        <v>704</v>
      </c>
      <c r="T189" s="74" t="s">
        <v>705</v>
      </c>
      <c r="U189" s="73" t="s">
        <v>132</v>
      </c>
      <c r="V189" s="220">
        <v>46129</v>
      </c>
      <c r="W189" s="203" t="s">
        <v>706</v>
      </c>
      <c r="X189" s="227" t="s">
        <v>40</v>
      </c>
      <c r="Y189" s="249">
        <v>46135</v>
      </c>
      <c r="Z189" s="249">
        <v>46136</v>
      </c>
      <c r="AA189" s="224">
        <v>914163</v>
      </c>
      <c r="AB189" s="203" t="s">
        <v>445</v>
      </c>
      <c r="AC189" s="203"/>
      <c r="AD189" s="256">
        <v>0</v>
      </c>
    </row>
    <row r="190" spans="1:30" s="251" customFormat="1" ht="18" customHeight="1">
      <c r="A190" s="609">
        <v>29930</v>
      </c>
      <c r="B190" s="105">
        <v>1</v>
      </c>
      <c r="C190" s="247">
        <v>46127</v>
      </c>
      <c r="D190" s="105">
        <f t="shared" ca="1" si="6"/>
        <v>100</v>
      </c>
      <c r="E190" s="138" t="str">
        <f t="shared" si="5"/>
        <v>ADMITIDO</v>
      </c>
      <c r="F190" s="138" t="s">
        <v>28</v>
      </c>
      <c r="G190" s="117" t="s">
        <v>167</v>
      </c>
      <c r="H190" s="117" t="s">
        <v>40</v>
      </c>
      <c r="I190" s="117" t="str">
        <f>IF(X190="ADMITIDO","ADMITIDO",IF(X190="CANCELADA","CANCELADA",IF(H190="","",IFERROR(_xlfn.XLOOKUP(H190,Listas!I:I,Listas!J:J),"OUTROS"))))</f>
        <v>ADMITIDO</v>
      </c>
      <c r="J190" s="248" t="s">
        <v>268</v>
      </c>
      <c r="K190" s="73" t="s">
        <v>699</v>
      </c>
      <c r="L190" s="73" t="s">
        <v>700</v>
      </c>
      <c r="M190" s="73"/>
      <c r="N190" s="73" t="s">
        <v>47</v>
      </c>
      <c r="O190" s="73" t="s">
        <v>34</v>
      </c>
      <c r="P190" s="73" t="s">
        <v>703</v>
      </c>
      <c r="Q190" s="73" t="s">
        <v>36</v>
      </c>
      <c r="R190" s="74"/>
      <c r="S190" s="228" t="s">
        <v>704</v>
      </c>
      <c r="T190" s="74" t="s">
        <v>707</v>
      </c>
      <c r="U190" s="73" t="s">
        <v>132</v>
      </c>
      <c r="V190" s="220">
        <v>46129</v>
      </c>
      <c r="W190" s="203" t="s">
        <v>708</v>
      </c>
      <c r="X190" s="227" t="s">
        <v>40</v>
      </c>
      <c r="Y190" s="249">
        <v>46135</v>
      </c>
      <c r="Z190" s="249">
        <v>46136</v>
      </c>
      <c r="AA190" s="224">
        <v>914169</v>
      </c>
      <c r="AB190" s="203" t="s">
        <v>445</v>
      </c>
      <c r="AC190" s="203"/>
      <c r="AD190" s="256">
        <v>0</v>
      </c>
    </row>
    <row r="191" spans="1:30" s="251" customFormat="1" ht="18" customHeight="1">
      <c r="A191" s="611"/>
      <c r="B191" s="105">
        <v>1</v>
      </c>
      <c r="C191" s="247">
        <v>46127</v>
      </c>
      <c r="D191" s="105">
        <f t="shared" ca="1" si="6"/>
        <v>100</v>
      </c>
      <c r="E191" s="138" t="str">
        <f t="shared" si="5"/>
        <v>ADMITIDO</v>
      </c>
      <c r="F191" s="138" t="s">
        <v>28</v>
      </c>
      <c r="G191" s="117" t="s">
        <v>167</v>
      </c>
      <c r="H191" s="117" t="s">
        <v>40</v>
      </c>
      <c r="I191" s="117" t="str">
        <f>IF(X191="ADMITIDO","ADMITIDO",IF(X191="CANCELADA","CANCELADA",IF(H191="","",IFERROR(_xlfn.XLOOKUP(H191,Listas!I:I,Listas!J:J),"OUTROS"))))</f>
        <v>ADMITIDO</v>
      </c>
      <c r="J191" s="248" t="s">
        <v>268</v>
      </c>
      <c r="K191" s="73" t="s">
        <v>699</v>
      </c>
      <c r="L191" s="73" t="s">
        <v>700</v>
      </c>
      <c r="M191" s="73"/>
      <c r="N191" s="73" t="s">
        <v>47</v>
      </c>
      <c r="O191" s="73" t="s">
        <v>34</v>
      </c>
      <c r="P191" s="73" t="s">
        <v>703</v>
      </c>
      <c r="Q191" s="73" t="s">
        <v>36</v>
      </c>
      <c r="R191" s="74"/>
      <c r="S191" s="228" t="s">
        <v>704</v>
      </c>
      <c r="T191" s="74" t="s">
        <v>709</v>
      </c>
      <c r="U191" s="73" t="s">
        <v>132</v>
      </c>
      <c r="V191" s="220">
        <v>46129</v>
      </c>
      <c r="W191" s="203" t="s">
        <v>710</v>
      </c>
      <c r="X191" s="227" t="s">
        <v>40</v>
      </c>
      <c r="Y191" s="249">
        <v>46135</v>
      </c>
      <c r="Z191" s="249">
        <v>46136</v>
      </c>
      <c r="AA191" s="224"/>
      <c r="AB191" s="203" t="s">
        <v>445</v>
      </c>
      <c r="AC191" s="203"/>
      <c r="AD191" s="256">
        <v>0</v>
      </c>
    </row>
    <row r="192" spans="1:30" s="251" customFormat="1" ht="18" customHeight="1">
      <c r="A192" s="609">
        <v>29852</v>
      </c>
      <c r="B192" s="105">
        <v>1</v>
      </c>
      <c r="C192" s="247">
        <v>46127</v>
      </c>
      <c r="D192" s="105">
        <f t="shared" ca="1" si="6"/>
        <v>100</v>
      </c>
      <c r="E192" s="138" t="str">
        <f t="shared" si="5"/>
        <v>ADMITIDO</v>
      </c>
      <c r="F192" s="138" t="s">
        <v>28</v>
      </c>
      <c r="G192" s="117" t="s">
        <v>167</v>
      </c>
      <c r="H192" s="117" t="s">
        <v>40</v>
      </c>
      <c r="I192" s="117" t="str">
        <f>IF(X192="ADMITIDO","ADMITIDO",IF(X192="CANCELADA","CANCELADA",IF(H192="","",IFERROR(_xlfn.XLOOKUP(H192,Listas!I:I,Listas!J:J),"OUTROS"))))</f>
        <v>ADMITIDO</v>
      </c>
      <c r="J192" s="248" t="s">
        <v>616</v>
      </c>
      <c r="K192" s="73" t="s">
        <v>699</v>
      </c>
      <c r="L192" s="73" t="s">
        <v>700</v>
      </c>
      <c r="M192" s="73"/>
      <c r="N192" s="73" t="s">
        <v>47</v>
      </c>
      <c r="O192" s="73" t="s">
        <v>34</v>
      </c>
      <c r="P192" s="73" t="s">
        <v>35</v>
      </c>
      <c r="Q192" s="73" t="s">
        <v>711</v>
      </c>
      <c r="R192" s="74"/>
      <c r="S192" s="228" t="s">
        <v>373</v>
      </c>
      <c r="T192" s="74" t="s">
        <v>712</v>
      </c>
      <c r="U192" s="73" t="s">
        <v>132</v>
      </c>
      <c r="V192" s="220">
        <v>46129</v>
      </c>
      <c r="W192" s="203" t="s">
        <v>713</v>
      </c>
      <c r="X192" s="227" t="s">
        <v>40</v>
      </c>
      <c r="Y192" s="249">
        <v>46135</v>
      </c>
      <c r="Z192" s="249">
        <v>46136</v>
      </c>
      <c r="AA192" s="224">
        <v>914165</v>
      </c>
      <c r="AB192" s="203" t="s">
        <v>445</v>
      </c>
      <c r="AC192" s="203"/>
      <c r="AD192" s="256">
        <v>0</v>
      </c>
    </row>
    <row r="193" spans="1:30" s="251" customFormat="1" ht="18" customHeight="1">
      <c r="A193" s="609"/>
      <c r="B193" s="105">
        <v>1</v>
      </c>
      <c r="C193" s="247">
        <v>46127</v>
      </c>
      <c r="D193" s="105">
        <f t="shared" ca="1" si="6"/>
        <v>100</v>
      </c>
      <c r="E193" s="138" t="str">
        <f t="shared" si="5"/>
        <v>ADMITIDO</v>
      </c>
      <c r="F193" s="138" t="s">
        <v>28</v>
      </c>
      <c r="G193" s="117" t="s">
        <v>167</v>
      </c>
      <c r="H193" s="117" t="s">
        <v>40</v>
      </c>
      <c r="I193" s="117" t="str">
        <f>IF(X193="ADMITIDO","ADMITIDO",IF(X193="CANCELADA","CANCELADA",IF(H193="","",IFERROR(_xlfn.XLOOKUP(H193,Listas!I:I,Listas!J:J),"OUTROS"))))</f>
        <v>ADMITIDO</v>
      </c>
      <c r="J193" s="248" t="s">
        <v>616</v>
      </c>
      <c r="K193" s="73" t="s">
        <v>699</v>
      </c>
      <c r="L193" s="73" t="s">
        <v>700</v>
      </c>
      <c r="M193" s="73"/>
      <c r="N193" s="73" t="s">
        <v>47</v>
      </c>
      <c r="O193" s="73" t="s">
        <v>34</v>
      </c>
      <c r="P193" s="73" t="s">
        <v>35</v>
      </c>
      <c r="Q193" s="73" t="s">
        <v>711</v>
      </c>
      <c r="R193" s="74"/>
      <c r="S193" s="228" t="s">
        <v>373</v>
      </c>
      <c r="T193" s="74" t="s">
        <v>715</v>
      </c>
      <c r="U193" s="73" t="s">
        <v>132</v>
      </c>
      <c r="V193" s="220">
        <v>46129</v>
      </c>
      <c r="W193" s="203" t="s">
        <v>716</v>
      </c>
      <c r="X193" s="227" t="s">
        <v>40</v>
      </c>
      <c r="Y193" s="249">
        <v>46135</v>
      </c>
      <c r="Z193" s="249">
        <v>46136</v>
      </c>
      <c r="AA193" s="224">
        <v>914161</v>
      </c>
      <c r="AB193" s="203" t="s">
        <v>445</v>
      </c>
      <c r="AC193" s="203"/>
      <c r="AD193" s="256">
        <v>0</v>
      </c>
    </row>
    <row r="194" spans="1:30" s="251" customFormat="1" ht="18" customHeight="1">
      <c r="A194" s="609">
        <v>29853</v>
      </c>
      <c r="B194" s="105">
        <v>1</v>
      </c>
      <c r="C194" s="247">
        <v>46127</v>
      </c>
      <c r="D194" s="105">
        <f t="shared" ca="1" si="6"/>
        <v>100</v>
      </c>
      <c r="E194" s="138" t="str">
        <f t="shared" ref="E194:E257" si="8">IF(X194="ADMITIDO","ADMITIDO",IF(X194="CANCELADA","CANCELADA",IF(H194="","",IF(H194="ADMITIDO","ADMITIDO",IF(H194="CANCELADA","CANCELADA",IF(OR(H194="ANALISE CANCELAMENTO",H194="ANÁLISE CANCELAMENTO"),"EM ANÁLISE",IF(D194="","",IF(D194&lt;=7,"NO PRAZO",IF(D194&lt;=14,"ATENÇÃO","CRÍTICO")))))))))</f>
        <v>ADMITIDO</v>
      </c>
      <c r="F194" s="138" t="s">
        <v>28</v>
      </c>
      <c r="G194" s="117" t="s">
        <v>167</v>
      </c>
      <c r="H194" s="117" t="s">
        <v>40</v>
      </c>
      <c r="I194" s="117" t="str">
        <f>IF(X194="ADMITIDO","ADMITIDO",IF(X194="CANCELADA","CANCELADA",IF(H194="","",IFERROR(_xlfn.XLOOKUP(H194,Listas!I:I,Listas!J:J),"OUTROS"))))</f>
        <v>ADMITIDO</v>
      </c>
      <c r="J194" s="248" t="s">
        <v>616</v>
      </c>
      <c r="K194" s="73" t="s">
        <v>699</v>
      </c>
      <c r="L194" s="73" t="s">
        <v>700</v>
      </c>
      <c r="M194" s="73"/>
      <c r="N194" s="73" t="s">
        <v>47</v>
      </c>
      <c r="O194" s="73" t="s">
        <v>56</v>
      </c>
      <c r="P194" s="73" t="s">
        <v>35</v>
      </c>
      <c r="Q194" s="73" t="s">
        <v>176</v>
      </c>
      <c r="R194" s="74"/>
      <c r="S194" s="228" t="s">
        <v>373</v>
      </c>
      <c r="T194" s="74" t="s">
        <v>717</v>
      </c>
      <c r="U194" s="73" t="s">
        <v>132</v>
      </c>
      <c r="V194" s="220">
        <v>46129</v>
      </c>
      <c r="W194" s="203" t="s">
        <v>718</v>
      </c>
      <c r="X194" s="227" t="s">
        <v>40</v>
      </c>
      <c r="Y194" s="249">
        <v>46135</v>
      </c>
      <c r="Z194" s="249">
        <v>46136</v>
      </c>
      <c r="AA194" s="224">
        <v>914164</v>
      </c>
      <c r="AB194" s="203" t="s">
        <v>445</v>
      </c>
      <c r="AC194" s="203"/>
      <c r="AD194" s="256">
        <v>0</v>
      </c>
    </row>
    <row r="195" spans="1:30" s="251" customFormat="1" ht="18" customHeight="1">
      <c r="A195" s="609"/>
      <c r="B195" s="105">
        <v>1</v>
      </c>
      <c r="C195" s="247">
        <v>46127</v>
      </c>
      <c r="D195" s="105">
        <f t="shared" ca="1" si="6"/>
        <v>100</v>
      </c>
      <c r="E195" s="232" t="str">
        <f t="shared" si="8"/>
        <v>ADMITIDO</v>
      </c>
      <c r="F195" s="138" t="s">
        <v>28</v>
      </c>
      <c r="G195" s="117" t="s">
        <v>167</v>
      </c>
      <c r="H195" s="117" t="s">
        <v>40</v>
      </c>
      <c r="I195" s="117" t="str">
        <f>IF(X195="ADMITIDO","ADMITIDO",IF(X195="CANCELADA","CANCELADA",IF(H195="","",IFERROR(_xlfn.XLOOKUP(H195,Listas!I:I,Listas!J:J),"OUTROS"))))</f>
        <v>ADMITIDO</v>
      </c>
      <c r="J195" s="248" t="s">
        <v>616</v>
      </c>
      <c r="K195" s="73" t="s">
        <v>699</v>
      </c>
      <c r="L195" s="73" t="s">
        <v>700</v>
      </c>
      <c r="M195" s="73"/>
      <c r="N195" s="73" t="s">
        <v>47</v>
      </c>
      <c r="O195" s="73" t="s">
        <v>56</v>
      </c>
      <c r="P195" s="73" t="s">
        <v>35</v>
      </c>
      <c r="Q195" s="73" t="s">
        <v>176</v>
      </c>
      <c r="R195" s="74"/>
      <c r="S195" s="228" t="s">
        <v>373</v>
      </c>
      <c r="T195" s="74" t="s">
        <v>719</v>
      </c>
      <c r="U195" s="73" t="s">
        <v>132</v>
      </c>
      <c r="V195" s="220">
        <v>46129</v>
      </c>
      <c r="W195" s="203" t="s">
        <v>720</v>
      </c>
      <c r="X195" s="227" t="s">
        <v>40</v>
      </c>
      <c r="Y195" s="249">
        <v>46135</v>
      </c>
      <c r="Z195" s="249">
        <v>46136</v>
      </c>
      <c r="AA195" s="224">
        <v>914162</v>
      </c>
      <c r="AB195" s="203" t="s">
        <v>445</v>
      </c>
      <c r="AC195" s="203"/>
      <c r="AD195" s="256">
        <v>0</v>
      </c>
    </row>
    <row r="196" spans="1:30" s="251" customFormat="1" ht="18" customHeight="1">
      <c r="A196" s="609">
        <v>29855</v>
      </c>
      <c r="B196" s="105">
        <v>1</v>
      </c>
      <c r="C196" s="247">
        <v>46127</v>
      </c>
      <c r="D196" s="105">
        <f t="shared" ca="1" si="6"/>
        <v>100</v>
      </c>
      <c r="E196" s="138" t="str">
        <f t="shared" si="8"/>
        <v>ADMITIDO</v>
      </c>
      <c r="F196" s="138" t="s">
        <v>171</v>
      </c>
      <c r="G196" s="117" t="s">
        <v>167</v>
      </c>
      <c r="H196" s="117" t="s">
        <v>40</v>
      </c>
      <c r="I196" s="117" t="str">
        <f>IF(X196="ADMITIDO","ADMITIDO",IF(X196="CANCELADA","CANCELADA",IF(H196="","",IFERROR(_xlfn.XLOOKUP(H196,Listas!I:I,Listas!J:J),"OUTROS"))))</f>
        <v>ADMITIDO</v>
      </c>
      <c r="J196" s="248" t="s">
        <v>514</v>
      </c>
      <c r="K196" s="73" t="s">
        <v>699</v>
      </c>
      <c r="L196" s="73" t="s">
        <v>700</v>
      </c>
      <c r="M196" s="73"/>
      <c r="N196" s="73" t="s">
        <v>47</v>
      </c>
      <c r="O196" s="73" t="s">
        <v>34</v>
      </c>
      <c r="P196" s="73" t="s">
        <v>35</v>
      </c>
      <c r="Q196" s="73" t="s">
        <v>36</v>
      </c>
      <c r="R196" s="74"/>
      <c r="S196" s="228" t="s">
        <v>373</v>
      </c>
      <c r="T196" s="74" t="s">
        <v>721</v>
      </c>
      <c r="U196" s="73" t="s">
        <v>132</v>
      </c>
      <c r="V196" s="220">
        <v>46129</v>
      </c>
      <c r="W196" s="203" t="s">
        <v>722</v>
      </c>
      <c r="X196" s="227" t="s">
        <v>40</v>
      </c>
      <c r="Y196" s="249">
        <v>46135</v>
      </c>
      <c r="Z196" s="249">
        <v>46136</v>
      </c>
      <c r="AA196" s="224">
        <v>83274</v>
      </c>
      <c r="AB196" s="203" t="s">
        <v>445</v>
      </c>
      <c r="AC196" s="203"/>
      <c r="AD196" s="256">
        <v>0</v>
      </c>
    </row>
    <row r="197" spans="1:30" s="251" customFormat="1" ht="18" customHeight="1">
      <c r="A197" s="609"/>
      <c r="B197" s="105">
        <v>1</v>
      </c>
      <c r="C197" s="247">
        <v>46127</v>
      </c>
      <c r="D197" s="105">
        <f t="shared" ref="D197:D260" ca="1" si="9">TODAY()-C197</f>
        <v>100</v>
      </c>
      <c r="E197" s="138" t="str">
        <f t="shared" si="8"/>
        <v>ADMITIDO</v>
      </c>
      <c r="F197" s="138" t="s">
        <v>171</v>
      </c>
      <c r="G197" s="117" t="s">
        <v>167</v>
      </c>
      <c r="H197" s="117" t="s">
        <v>40</v>
      </c>
      <c r="I197" s="117" t="str">
        <f>IF(X197="ADMITIDO","ADMITIDO",IF(X197="CANCELADA","CANCELADA",IF(H197="","",IFERROR(_xlfn.XLOOKUP(H197,Listas!I:I,Listas!J:J),"OUTROS"))))</f>
        <v>ADMITIDO</v>
      </c>
      <c r="J197" s="248" t="s">
        <v>514</v>
      </c>
      <c r="K197" s="73" t="s">
        <v>699</v>
      </c>
      <c r="L197" s="73" t="s">
        <v>700</v>
      </c>
      <c r="M197" s="73"/>
      <c r="N197" s="73" t="s">
        <v>47</v>
      </c>
      <c r="O197" s="73" t="s">
        <v>34</v>
      </c>
      <c r="P197" s="73" t="s">
        <v>35</v>
      </c>
      <c r="Q197" s="73" t="s">
        <v>36</v>
      </c>
      <c r="R197" s="74"/>
      <c r="S197" s="228" t="s">
        <v>373</v>
      </c>
      <c r="T197" s="74" t="s">
        <v>723</v>
      </c>
      <c r="U197" s="73" t="s">
        <v>132</v>
      </c>
      <c r="V197" s="220">
        <v>46129</v>
      </c>
      <c r="W197" s="203" t="s">
        <v>724</v>
      </c>
      <c r="X197" s="227" t="s">
        <v>40</v>
      </c>
      <c r="Y197" s="249">
        <v>46135</v>
      </c>
      <c r="Z197" s="249">
        <v>46136</v>
      </c>
      <c r="AA197" s="224">
        <v>83273</v>
      </c>
      <c r="AB197" s="203" t="s">
        <v>445</v>
      </c>
      <c r="AC197" s="203"/>
      <c r="AD197" s="256">
        <v>0</v>
      </c>
    </row>
    <row r="198" spans="1:30" s="251" customFormat="1" ht="18" customHeight="1">
      <c r="A198" s="97">
        <v>29856</v>
      </c>
      <c r="B198" s="105">
        <v>1</v>
      </c>
      <c r="C198" s="247">
        <v>46127</v>
      </c>
      <c r="D198" s="105">
        <f ca="1">TODAY()-C198</f>
        <v>100</v>
      </c>
      <c r="E198" s="138" t="str">
        <f t="shared" si="8"/>
        <v>ADMITIDO</v>
      </c>
      <c r="F198" s="138" t="s">
        <v>171</v>
      </c>
      <c r="G198" s="117" t="s">
        <v>167</v>
      </c>
      <c r="H198" s="117" t="s">
        <v>40</v>
      </c>
      <c r="I198" s="117" t="str">
        <f>IF(X198="ADMITIDO","ADMITIDO",IF(X198="CANCELADA","CANCELADA",IF(H198="","",IFERROR(_xlfn.XLOOKUP(H198,Listas!I:I,Listas!J:J),"OUTROS"))))</f>
        <v>ADMITIDO</v>
      </c>
      <c r="J198" s="248" t="s">
        <v>514</v>
      </c>
      <c r="K198" s="73" t="s">
        <v>699</v>
      </c>
      <c r="L198" s="73" t="s">
        <v>700</v>
      </c>
      <c r="M198" s="73"/>
      <c r="N198" s="73" t="s">
        <v>47</v>
      </c>
      <c r="O198" s="73" t="s">
        <v>56</v>
      </c>
      <c r="P198" s="73" t="s">
        <v>35</v>
      </c>
      <c r="Q198" s="73" t="s">
        <v>176</v>
      </c>
      <c r="R198" s="74"/>
      <c r="S198" s="228"/>
      <c r="T198" s="74"/>
      <c r="U198" s="73" t="s">
        <v>132</v>
      </c>
      <c r="V198" s="220">
        <v>46129</v>
      </c>
      <c r="W198" s="203" t="s">
        <v>725</v>
      </c>
      <c r="X198" s="227" t="s">
        <v>40</v>
      </c>
      <c r="Y198" s="249">
        <v>46135</v>
      </c>
      <c r="Z198" s="249">
        <v>46136</v>
      </c>
      <c r="AA198" s="224">
        <v>83270</v>
      </c>
      <c r="AB198" s="203"/>
      <c r="AC198" s="203"/>
      <c r="AD198" s="256">
        <v>0</v>
      </c>
    </row>
    <row r="199" spans="1:30" s="251" customFormat="1" ht="18" customHeight="1">
      <c r="A199" s="97">
        <v>29856</v>
      </c>
      <c r="B199" s="105">
        <v>1</v>
      </c>
      <c r="C199" s="247">
        <v>46127</v>
      </c>
      <c r="D199" s="105">
        <f t="shared" ca="1" si="9"/>
        <v>100</v>
      </c>
      <c r="E199" s="138" t="str">
        <f t="shared" si="8"/>
        <v>ADMITIDO</v>
      </c>
      <c r="F199" s="138" t="s">
        <v>171</v>
      </c>
      <c r="G199" s="117" t="s">
        <v>167</v>
      </c>
      <c r="H199" s="117" t="s">
        <v>40</v>
      </c>
      <c r="I199" s="117" t="str">
        <f>IF(X199="ADMITIDO","ADMITIDO",IF(X199="CANCELADA","CANCELADA",IF(H199="","",IFERROR(_xlfn.XLOOKUP(H199,Listas!I:I,Listas!J:J),"OUTROS"))))</f>
        <v>ADMITIDO</v>
      </c>
      <c r="J199" s="248" t="s">
        <v>514</v>
      </c>
      <c r="K199" s="73" t="s">
        <v>699</v>
      </c>
      <c r="L199" s="73" t="s">
        <v>700</v>
      </c>
      <c r="M199" s="73"/>
      <c r="N199" s="73" t="s">
        <v>47</v>
      </c>
      <c r="O199" s="73" t="s">
        <v>56</v>
      </c>
      <c r="P199" s="73" t="s">
        <v>35</v>
      </c>
      <c r="Q199" s="73" t="s">
        <v>176</v>
      </c>
      <c r="R199" s="74"/>
      <c r="S199" s="228" t="s">
        <v>373</v>
      </c>
      <c r="T199" s="74" t="s">
        <v>726</v>
      </c>
      <c r="U199" s="73" t="s">
        <v>132</v>
      </c>
      <c r="V199" s="220">
        <v>46129</v>
      </c>
      <c r="W199" s="203" t="s">
        <v>727</v>
      </c>
      <c r="X199" s="227" t="s">
        <v>40</v>
      </c>
      <c r="Y199" s="249">
        <v>46135</v>
      </c>
      <c r="Z199" s="249">
        <v>46136</v>
      </c>
      <c r="AA199" s="224">
        <v>83271</v>
      </c>
      <c r="AB199" s="203" t="s">
        <v>445</v>
      </c>
      <c r="AC199" s="203"/>
      <c r="AD199" s="256">
        <v>0</v>
      </c>
    </row>
    <row r="200" spans="1:30" s="251" customFormat="1" ht="18" customHeight="1">
      <c r="A200" s="97">
        <v>29876</v>
      </c>
      <c r="B200" s="105">
        <v>1</v>
      </c>
      <c r="C200" s="247">
        <v>46127</v>
      </c>
      <c r="D200" s="105">
        <f t="shared" ca="1" si="9"/>
        <v>100</v>
      </c>
      <c r="E200" s="138" t="str">
        <f t="shared" si="8"/>
        <v>ADMITIDO</v>
      </c>
      <c r="F200" s="138" t="s">
        <v>28</v>
      </c>
      <c r="G200" s="117" t="s">
        <v>145</v>
      </c>
      <c r="H200" s="117" t="s">
        <v>40</v>
      </c>
      <c r="I200" s="117" t="str">
        <f>IF(X200="ADMITIDO","ADMITIDO",IF(X200="CANCELADA","CANCELADA",IF(H200="","",IFERROR(_xlfn.XLOOKUP(H200,Listas!I:I,Listas!J:J),"OUTROS"))))</f>
        <v>ADMITIDO</v>
      </c>
      <c r="J200" s="248" t="s">
        <v>268</v>
      </c>
      <c r="K200" s="73" t="s">
        <v>371</v>
      </c>
      <c r="L200" s="73" t="s">
        <v>728</v>
      </c>
      <c r="M200" s="73"/>
      <c r="N200" s="73" t="s">
        <v>63</v>
      </c>
      <c r="O200" s="73" t="s">
        <v>34</v>
      </c>
      <c r="P200" s="73" t="s">
        <v>35</v>
      </c>
      <c r="Q200" s="73" t="s">
        <v>36</v>
      </c>
      <c r="R200" s="74"/>
      <c r="S200" s="228"/>
      <c r="T200" s="74"/>
      <c r="U200" s="73" t="s">
        <v>132</v>
      </c>
      <c r="V200" s="220">
        <v>46142</v>
      </c>
      <c r="W200" s="203" t="s">
        <v>729</v>
      </c>
      <c r="X200" s="73" t="s">
        <v>40</v>
      </c>
      <c r="Y200" s="249">
        <v>46147</v>
      </c>
      <c r="Z200" s="249">
        <v>46150</v>
      </c>
      <c r="AA200" s="224">
        <v>914221</v>
      </c>
      <c r="AB200" s="203"/>
      <c r="AC200" s="203"/>
      <c r="AD200" s="256">
        <v>0</v>
      </c>
    </row>
    <row r="201" spans="1:30" s="251" customFormat="1" ht="18" customHeight="1">
      <c r="A201" s="97">
        <v>29904</v>
      </c>
      <c r="B201" s="105">
        <v>1</v>
      </c>
      <c r="C201" s="247">
        <v>46127</v>
      </c>
      <c r="D201" s="105">
        <f t="shared" ca="1" si="9"/>
        <v>100</v>
      </c>
      <c r="E201" s="138" t="str">
        <f t="shared" si="8"/>
        <v>ADMITIDO</v>
      </c>
      <c r="F201" s="138" t="s">
        <v>171</v>
      </c>
      <c r="G201" s="117" t="s">
        <v>69</v>
      </c>
      <c r="H201" s="117" t="s">
        <v>40</v>
      </c>
      <c r="I201" s="117" t="str">
        <f>IF(X201="ADMITIDO","ADMITIDO",IF(X201="CANCELADA","CANCELADA",IF(H201="","",IFERROR(_xlfn.XLOOKUP(H201,Listas!I:I,Listas!J:J),"OUTROS"))))</f>
        <v>ADMITIDO</v>
      </c>
      <c r="J201" s="248" t="s">
        <v>172</v>
      </c>
      <c r="K201" s="73" t="s">
        <v>173</v>
      </c>
      <c r="L201" s="73" t="s">
        <v>728</v>
      </c>
      <c r="M201" s="73"/>
      <c r="N201" s="73" t="s">
        <v>63</v>
      </c>
      <c r="O201" s="73" t="s">
        <v>56</v>
      </c>
      <c r="P201" s="73" t="s">
        <v>35</v>
      </c>
      <c r="Q201" s="73" t="s">
        <v>176</v>
      </c>
      <c r="R201" s="74"/>
      <c r="S201" s="228" t="s">
        <v>730</v>
      </c>
      <c r="T201" s="74" t="s">
        <v>731</v>
      </c>
      <c r="U201" s="73" t="s">
        <v>132</v>
      </c>
      <c r="V201" s="220">
        <v>46129</v>
      </c>
      <c r="W201" s="203" t="s">
        <v>732</v>
      </c>
      <c r="X201" s="227" t="s">
        <v>40</v>
      </c>
      <c r="Y201" s="249">
        <v>46135</v>
      </c>
      <c r="Z201" s="249">
        <v>46139</v>
      </c>
      <c r="AA201" s="224">
        <v>83269</v>
      </c>
      <c r="AB201" s="74"/>
      <c r="AC201" s="74"/>
      <c r="AD201" s="256">
        <v>0</v>
      </c>
    </row>
    <row r="202" spans="1:30" s="251" customFormat="1" ht="18" customHeight="1">
      <c r="A202" s="246">
        <v>29926</v>
      </c>
      <c r="B202" s="105">
        <v>1</v>
      </c>
      <c r="C202" s="247">
        <v>46127</v>
      </c>
      <c r="D202" s="105">
        <f t="shared" ca="1" si="9"/>
        <v>100</v>
      </c>
      <c r="E202" s="138" t="str">
        <f t="shared" si="8"/>
        <v>ADMITIDO</v>
      </c>
      <c r="F202" s="138" t="s">
        <v>42</v>
      </c>
      <c r="G202" s="117" t="s">
        <v>240</v>
      </c>
      <c r="H202" s="117" t="s">
        <v>40</v>
      </c>
      <c r="I202" s="117" t="str">
        <f>IF(X202="ADMITIDO","ADMITIDO",IF(X202="CANCELADA","CANCELADA",IF(H202="","",IFERROR(_xlfn.XLOOKUP(H202,Listas!I:I,Listas!J:J),"OUTROS"))))</f>
        <v>ADMITIDO</v>
      </c>
      <c r="J202" s="248" t="s">
        <v>53</v>
      </c>
      <c r="K202" s="73" t="s">
        <v>241</v>
      </c>
      <c r="L202" s="73" t="s">
        <v>494</v>
      </c>
      <c r="M202" s="73"/>
      <c r="N202" s="73" t="s">
        <v>175</v>
      </c>
      <c r="O202" s="73" t="s">
        <v>34</v>
      </c>
      <c r="P202" s="73" t="s">
        <v>35</v>
      </c>
      <c r="Q202" s="73" t="s">
        <v>36</v>
      </c>
      <c r="R202" s="74" t="s">
        <v>733</v>
      </c>
      <c r="S202" s="228" t="s">
        <v>409</v>
      </c>
      <c r="T202" s="74" t="s">
        <v>734</v>
      </c>
      <c r="U202" s="73" t="s">
        <v>132</v>
      </c>
      <c r="V202" s="220">
        <v>46135</v>
      </c>
      <c r="W202" s="203" t="s">
        <v>735</v>
      </c>
      <c r="X202" s="73" t="s">
        <v>40</v>
      </c>
      <c r="Y202" s="249">
        <v>46146</v>
      </c>
      <c r="Z202" s="249">
        <v>46148</v>
      </c>
      <c r="AA202" s="224">
        <v>914214</v>
      </c>
      <c r="AB202" s="74" t="s">
        <v>736</v>
      </c>
      <c r="AC202" s="74"/>
      <c r="AD202" s="256">
        <v>0</v>
      </c>
    </row>
    <row r="203" spans="1:30" s="251" customFormat="1" ht="18" customHeight="1">
      <c r="A203" s="246">
        <v>29906</v>
      </c>
      <c r="B203" s="105">
        <v>1</v>
      </c>
      <c r="C203" s="247">
        <v>46127</v>
      </c>
      <c r="D203" s="105">
        <f t="shared" ca="1" si="9"/>
        <v>100</v>
      </c>
      <c r="E203" s="138" t="str">
        <f t="shared" si="8"/>
        <v>ADMITIDO</v>
      </c>
      <c r="F203" s="138" t="s">
        <v>28</v>
      </c>
      <c r="G203" s="117" t="s">
        <v>43</v>
      </c>
      <c r="H203" s="117" t="s">
        <v>40</v>
      </c>
      <c r="I203" s="117" t="str">
        <f>IF(X203="ADMITIDO","ADMITIDO",IF(X203="CANCELADA","CANCELADA",IF(H203="","",IFERROR(_xlfn.XLOOKUP(H203,Listas!I:I,Listas!J:J),"OUTROS"))))</f>
        <v>ADMITIDO</v>
      </c>
      <c r="J203" s="248" t="s">
        <v>737</v>
      </c>
      <c r="K203" s="73" t="s">
        <v>285</v>
      </c>
      <c r="L203" s="73" t="s">
        <v>738</v>
      </c>
      <c r="M203" s="73"/>
      <c r="N203" s="73" t="s">
        <v>97</v>
      </c>
      <c r="O203" s="73" t="s">
        <v>34</v>
      </c>
      <c r="P203" s="73" t="s">
        <v>35</v>
      </c>
      <c r="Q203" s="73" t="s">
        <v>739</v>
      </c>
      <c r="R203" s="74"/>
      <c r="S203" s="228"/>
      <c r="T203" s="252">
        <v>11979716662</v>
      </c>
      <c r="U203" s="73" t="s">
        <v>50</v>
      </c>
      <c r="V203" s="220">
        <v>46134</v>
      </c>
      <c r="W203" s="203" t="s">
        <v>740</v>
      </c>
      <c r="X203" s="227" t="s">
        <v>40</v>
      </c>
      <c r="Y203" s="249">
        <v>46141</v>
      </c>
      <c r="Z203" s="249">
        <v>46142</v>
      </c>
      <c r="AA203" s="224">
        <v>914191</v>
      </c>
      <c r="AB203" s="74"/>
      <c r="AC203" s="74"/>
      <c r="AD203" s="256">
        <v>0</v>
      </c>
    </row>
    <row r="204" spans="1:30" s="251" customFormat="1" ht="18" customHeight="1">
      <c r="A204" s="97">
        <v>29905</v>
      </c>
      <c r="B204" s="105">
        <v>1</v>
      </c>
      <c r="C204" s="247">
        <v>46127</v>
      </c>
      <c r="D204" s="105">
        <f t="shared" ca="1" si="9"/>
        <v>100</v>
      </c>
      <c r="E204" s="138" t="str">
        <f t="shared" si="8"/>
        <v>ADMITIDO</v>
      </c>
      <c r="F204" s="138" t="s">
        <v>171</v>
      </c>
      <c r="G204" s="117" t="s">
        <v>29</v>
      </c>
      <c r="H204" s="117" t="s">
        <v>40</v>
      </c>
      <c r="I204" s="117" t="str">
        <f>IF(X204="ADMITIDO","ADMITIDO",IF(X204="CANCELADA","CANCELADA",IF(H204="","",IFERROR(_xlfn.XLOOKUP(H204,Listas!I:I,Listas!J:J),"OUTROS"))))</f>
        <v>ADMITIDO</v>
      </c>
      <c r="J204" s="248" t="s">
        <v>172</v>
      </c>
      <c r="K204" s="73" t="s">
        <v>614</v>
      </c>
      <c r="L204" s="73" t="s">
        <v>741</v>
      </c>
      <c r="M204" s="73"/>
      <c r="N204" s="73" t="s">
        <v>88</v>
      </c>
      <c r="O204" s="73" t="s">
        <v>34</v>
      </c>
      <c r="P204" s="73" t="s">
        <v>35</v>
      </c>
      <c r="Q204" s="73" t="s">
        <v>287</v>
      </c>
      <c r="R204" s="74"/>
      <c r="S204" s="228"/>
      <c r="T204" s="74"/>
      <c r="U204" s="73" t="s">
        <v>38</v>
      </c>
      <c r="V204" s="220">
        <v>46134</v>
      </c>
      <c r="W204" s="203" t="s">
        <v>742</v>
      </c>
      <c r="X204" s="227" t="s">
        <v>40</v>
      </c>
      <c r="Y204" s="249">
        <v>46136</v>
      </c>
      <c r="Z204" s="249">
        <v>46137</v>
      </c>
      <c r="AA204" s="224">
        <v>83275</v>
      </c>
      <c r="AB204" s="74"/>
      <c r="AC204" s="74"/>
      <c r="AD204" s="256">
        <v>0</v>
      </c>
    </row>
    <row r="205" spans="1:30" s="251" customFormat="1" ht="18" customHeight="1">
      <c r="A205" s="246">
        <v>29945</v>
      </c>
      <c r="B205" s="105">
        <v>1</v>
      </c>
      <c r="C205" s="247">
        <v>46128</v>
      </c>
      <c r="D205" s="105">
        <f t="shared" ca="1" si="9"/>
        <v>99</v>
      </c>
      <c r="E205" s="138" t="str">
        <f t="shared" si="8"/>
        <v>ADMITIDO</v>
      </c>
      <c r="F205" s="138" t="s">
        <v>42</v>
      </c>
      <c r="G205" s="117" t="s">
        <v>43</v>
      </c>
      <c r="H205" s="117" t="s">
        <v>40</v>
      </c>
      <c r="I205" s="117" t="str">
        <f>IF(X205="ADMITIDO","ADMITIDO",IF(X205="CANCELADA","CANCELADA",IF(H205="","",IFERROR(_xlfn.XLOOKUP(H205,Listas!I:I,Listas!J:J),"OUTROS"))))</f>
        <v>ADMITIDO</v>
      </c>
      <c r="J205" s="248" t="s">
        <v>53</v>
      </c>
      <c r="K205" s="73" t="s">
        <v>45</v>
      </c>
      <c r="L205" s="73" t="s">
        <v>377</v>
      </c>
      <c r="M205" s="73"/>
      <c r="N205" s="73" t="s">
        <v>378</v>
      </c>
      <c r="O205" s="73" t="s">
        <v>34</v>
      </c>
      <c r="P205" s="73" t="s">
        <v>35</v>
      </c>
      <c r="Q205" s="73" t="s">
        <v>362</v>
      </c>
      <c r="R205" s="74"/>
      <c r="S205" s="228"/>
      <c r="T205" s="252"/>
      <c r="U205" s="73" t="s">
        <v>67</v>
      </c>
      <c r="V205" s="220">
        <v>46129</v>
      </c>
      <c r="W205" s="203" t="s">
        <v>743</v>
      </c>
      <c r="X205" s="73" t="s">
        <v>40</v>
      </c>
      <c r="Y205" s="249">
        <v>46146</v>
      </c>
      <c r="Z205" s="249">
        <v>46147</v>
      </c>
      <c r="AA205" s="224">
        <v>145912</v>
      </c>
      <c r="AB205" s="74"/>
      <c r="AC205" s="74"/>
      <c r="AD205" s="256">
        <v>0</v>
      </c>
    </row>
    <row r="206" spans="1:30" s="251" customFormat="1" ht="18" customHeight="1">
      <c r="A206" s="97">
        <v>29943</v>
      </c>
      <c r="B206" s="105">
        <v>1</v>
      </c>
      <c r="C206" s="247">
        <v>46128</v>
      </c>
      <c r="D206" s="105">
        <f t="shared" ca="1" si="9"/>
        <v>99</v>
      </c>
      <c r="E206" s="138" t="str">
        <f t="shared" si="8"/>
        <v>ADMITIDO</v>
      </c>
      <c r="F206" s="138" t="s">
        <v>28</v>
      </c>
      <c r="G206" s="117" t="s">
        <v>663</v>
      </c>
      <c r="H206" s="117" t="s">
        <v>40</v>
      </c>
      <c r="I206" s="117" t="str">
        <f>IF(X206="ADMITIDO","ADMITIDO",IF(X206="CANCELADA","CANCELADA",IF(H206="","",IFERROR(_xlfn.XLOOKUP(H206,Listas!I:I,Listas!J:J),"OUTROS"))))</f>
        <v>ADMITIDO</v>
      </c>
      <c r="J206" s="248" t="s">
        <v>30</v>
      </c>
      <c r="K206" s="73" t="s">
        <v>31</v>
      </c>
      <c r="L206" s="73" t="s">
        <v>32</v>
      </c>
      <c r="M206" s="73"/>
      <c r="N206" s="73" t="s">
        <v>33</v>
      </c>
      <c r="O206" s="73" t="s">
        <v>34</v>
      </c>
      <c r="P206" s="73" t="s">
        <v>35</v>
      </c>
      <c r="Q206" s="73" t="s">
        <v>36</v>
      </c>
      <c r="R206" s="74"/>
      <c r="S206" s="228"/>
      <c r="T206" s="74" t="s">
        <v>1352</v>
      </c>
      <c r="U206" s="73" t="s">
        <v>38</v>
      </c>
      <c r="V206" s="220">
        <v>46161</v>
      </c>
      <c r="W206" s="234" t="s">
        <v>1353</v>
      </c>
      <c r="X206" s="227" t="s">
        <v>40</v>
      </c>
      <c r="Y206" s="249">
        <v>46167</v>
      </c>
      <c r="Z206" s="249">
        <v>46168</v>
      </c>
      <c r="AA206" s="224">
        <v>914336</v>
      </c>
      <c r="AB206" s="74"/>
      <c r="AC206" s="74"/>
      <c r="AD206" s="256">
        <v>0</v>
      </c>
    </row>
    <row r="207" spans="1:30" s="251" customFormat="1" ht="18" customHeight="1">
      <c r="A207" s="246">
        <v>29944</v>
      </c>
      <c r="B207" s="105">
        <v>1</v>
      </c>
      <c r="C207" s="247">
        <v>46128</v>
      </c>
      <c r="D207" s="105">
        <f t="shared" ca="1" si="9"/>
        <v>99</v>
      </c>
      <c r="E207" s="138" t="str">
        <f t="shared" si="8"/>
        <v>ADMITIDO</v>
      </c>
      <c r="F207" s="138" t="s">
        <v>42</v>
      </c>
      <c r="G207" s="117" t="s">
        <v>240</v>
      </c>
      <c r="H207" s="117" t="s">
        <v>40</v>
      </c>
      <c r="I207" s="117" t="str">
        <f>IF(X207="ADMITIDO","ADMITIDO",IF(X207="CANCELADA","CANCELADA",IF(H207="","",IFERROR(_xlfn.XLOOKUP(H207,Listas!I:I,Listas!J:J),"OUTROS"))))</f>
        <v>ADMITIDO</v>
      </c>
      <c r="J207" s="248" t="s">
        <v>53</v>
      </c>
      <c r="K207" s="73" t="s">
        <v>241</v>
      </c>
      <c r="L207" s="73" t="s">
        <v>300</v>
      </c>
      <c r="M207" s="73"/>
      <c r="N207" s="73" t="s">
        <v>33</v>
      </c>
      <c r="O207" s="73" t="s">
        <v>34</v>
      </c>
      <c r="P207" s="73" t="s">
        <v>57</v>
      </c>
      <c r="Q207" s="73" t="s">
        <v>366</v>
      </c>
      <c r="R207" s="74"/>
      <c r="S207" s="228"/>
      <c r="T207" s="74"/>
      <c r="U207" s="73" t="s">
        <v>67</v>
      </c>
      <c r="V207" s="220">
        <v>46134</v>
      </c>
      <c r="W207" s="203" t="s">
        <v>744</v>
      </c>
      <c r="X207" s="227" t="s">
        <v>40</v>
      </c>
      <c r="Y207" s="249">
        <v>46139</v>
      </c>
      <c r="Z207" s="249">
        <v>46141</v>
      </c>
      <c r="AA207" s="224">
        <v>145896</v>
      </c>
      <c r="AB207" s="74"/>
      <c r="AC207" s="74"/>
      <c r="AD207" s="256">
        <v>0</v>
      </c>
    </row>
    <row r="208" spans="1:30" s="251" customFormat="1" ht="18" customHeight="1">
      <c r="A208" s="97">
        <v>29947</v>
      </c>
      <c r="B208" s="105">
        <v>1</v>
      </c>
      <c r="C208" s="247">
        <v>46128</v>
      </c>
      <c r="D208" s="105">
        <f t="shared" ca="1" si="9"/>
        <v>99</v>
      </c>
      <c r="E208" s="138" t="str">
        <f t="shared" si="8"/>
        <v>ADMITIDO</v>
      </c>
      <c r="F208" s="138" t="s">
        <v>42</v>
      </c>
      <c r="G208" s="117" t="s">
        <v>29</v>
      </c>
      <c r="H208" s="117" t="s">
        <v>40</v>
      </c>
      <c r="I208" s="117" t="str">
        <f>IF(X208="ADMITIDO","ADMITIDO",IF(X208="CANCELADA","CANCELADA",IF(H208="","",IFERROR(_xlfn.XLOOKUP(H208,Listas!I:I,Listas!J:J),"OUTROS"))))</f>
        <v>ADMITIDO</v>
      </c>
      <c r="J208" s="248" t="s">
        <v>53</v>
      </c>
      <c r="K208" s="73" t="s">
        <v>228</v>
      </c>
      <c r="L208" s="73" t="s">
        <v>164</v>
      </c>
      <c r="M208" s="73"/>
      <c r="N208" s="73" t="s">
        <v>88</v>
      </c>
      <c r="O208" s="73" t="s">
        <v>34</v>
      </c>
      <c r="P208" s="73" t="s">
        <v>57</v>
      </c>
      <c r="Q208" s="73" t="s">
        <v>231</v>
      </c>
      <c r="R208" s="74"/>
      <c r="S208" s="228"/>
      <c r="T208" s="74"/>
      <c r="U208" s="117" t="s">
        <v>38</v>
      </c>
      <c r="V208" s="216">
        <v>46134</v>
      </c>
      <c r="W208" s="118" t="s">
        <v>745</v>
      </c>
      <c r="X208" s="119" t="s">
        <v>40</v>
      </c>
      <c r="Y208" s="120">
        <v>46141</v>
      </c>
      <c r="Z208" s="120">
        <v>46142</v>
      </c>
      <c r="AA208" s="121">
        <v>145989</v>
      </c>
      <c r="AB208" s="74"/>
      <c r="AC208" s="74"/>
      <c r="AD208" s="256">
        <v>0</v>
      </c>
    </row>
    <row r="209" spans="1:30" s="251" customFormat="1" ht="18" customHeight="1">
      <c r="A209" s="97">
        <v>29937</v>
      </c>
      <c r="B209" s="105">
        <v>1</v>
      </c>
      <c r="C209" s="247">
        <v>46128</v>
      </c>
      <c r="D209" s="105">
        <f t="shared" ca="1" si="9"/>
        <v>99</v>
      </c>
      <c r="E209" s="138" t="str">
        <f t="shared" si="8"/>
        <v>CANCELADA</v>
      </c>
      <c r="F209" s="138" t="s">
        <v>42</v>
      </c>
      <c r="G209" s="117" t="s">
        <v>29</v>
      </c>
      <c r="H209" s="117" t="s">
        <v>52</v>
      </c>
      <c r="I209" s="117" t="str">
        <f>IF(X209="ADMITIDO","ADMITIDO",IF(X209="CANCELADA","CANCELADA",IF(H209="","",IFERROR(_xlfn.XLOOKUP(H209,Listas!I:I,Listas!J:J),"OUTROS"))))</f>
        <v>CANCELADA</v>
      </c>
      <c r="J209" s="248" t="s">
        <v>746</v>
      </c>
      <c r="K209" s="73" t="s">
        <v>228</v>
      </c>
      <c r="L209" s="73" t="s">
        <v>164</v>
      </c>
      <c r="M209" s="73"/>
      <c r="N209" s="73" t="s">
        <v>88</v>
      </c>
      <c r="O209" s="73" t="s">
        <v>34</v>
      </c>
      <c r="P209" s="73" t="s">
        <v>48</v>
      </c>
      <c r="Q209" s="73" t="s">
        <v>120</v>
      </c>
      <c r="R209" s="74"/>
      <c r="S209" s="228"/>
      <c r="T209" s="74"/>
      <c r="U209" s="73"/>
      <c r="V209" s="220"/>
      <c r="W209" s="203"/>
      <c r="X209" s="227" t="s">
        <v>52</v>
      </c>
      <c r="Y209" s="249"/>
      <c r="Z209" s="249"/>
      <c r="AA209" s="224"/>
      <c r="AB209" s="74"/>
      <c r="AC209" s="74"/>
      <c r="AD209" s="256">
        <v>0</v>
      </c>
    </row>
    <row r="210" spans="1:30" s="251" customFormat="1" ht="18" customHeight="1">
      <c r="A210" s="97">
        <v>29939</v>
      </c>
      <c r="B210" s="105">
        <v>1</v>
      </c>
      <c r="C210" s="247">
        <v>46128</v>
      </c>
      <c r="D210" s="105">
        <f t="shared" ca="1" si="9"/>
        <v>99</v>
      </c>
      <c r="E210" s="138" t="str">
        <f t="shared" si="8"/>
        <v>ADMITIDO</v>
      </c>
      <c r="F210" s="138" t="s">
        <v>42</v>
      </c>
      <c r="G210" s="117" t="s">
        <v>69</v>
      </c>
      <c r="H210" s="117" t="s">
        <v>40</v>
      </c>
      <c r="I210" s="117" t="str">
        <f>IF(X210="ADMITIDO","ADMITIDO",IF(X210="CANCELADA","CANCELADA",IF(H210="","",IFERROR(_xlfn.XLOOKUP(H210,Listas!I:I,Listas!J:J),"OUTROS"))))</f>
        <v>ADMITIDO</v>
      </c>
      <c r="J210" s="248" t="s">
        <v>53</v>
      </c>
      <c r="K210" s="73" t="s">
        <v>70</v>
      </c>
      <c r="L210" s="73" t="s">
        <v>747</v>
      </c>
      <c r="M210" s="73"/>
      <c r="N210" s="73" t="s">
        <v>63</v>
      </c>
      <c r="O210" s="73" t="s">
        <v>34</v>
      </c>
      <c r="P210" s="73" t="s">
        <v>57</v>
      </c>
      <c r="Q210" s="73" t="s">
        <v>349</v>
      </c>
      <c r="R210" s="74" t="s">
        <v>748</v>
      </c>
      <c r="S210" s="228"/>
      <c r="T210" s="74"/>
      <c r="U210" s="73" t="s">
        <v>132</v>
      </c>
      <c r="V210" s="220">
        <v>46160</v>
      </c>
      <c r="W210" s="203" t="s">
        <v>1354</v>
      </c>
      <c r="X210" s="227" t="s">
        <v>40</v>
      </c>
      <c r="Y210" s="249">
        <v>46162</v>
      </c>
      <c r="Z210" s="249">
        <v>46168</v>
      </c>
      <c r="AA210" s="224">
        <v>914313</v>
      </c>
      <c r="AB210" s="74" t="s">
        <v>749</v>
      </c>
      <c r="AC210" s="74"/>
      <c r="AD210" s="256">
        <v>2</v>
      </c>
    </row>
    <row r="211" spans="1:30" s="251" customFormat="1" ht="18" customHeight="1">
      <c r="A211" s="246">
        <v>29934</v>
      </c>
      <c r="B211" s="105">
        <v>1</v>
      </c>
      <c r="C211" s="247">
        <v>46128</v>
      </c>
      <c r="D211" s="105">
        <f t="shared" ca="1" si="9"/>
        <v>99</v>
      </c>
      <c r="E211" s="138" t="str">
        <f t="shared" si="8"/>
        <v>ADMITIDO</v>
      </c>
      <c r="F211" s="138" t="s">
        <v>42</v>
      </c>
      <c r="G211" s="117" t="s">
        <v>60</v>
      </c>
      <c r="H211" s="117" t="s">
        <v>40</v>
      </c>
      <c r="I211" s="117" t="str">
        <f>IF(X211="ADMITIDO","ADMITIDO",IF(X211="CANCELADA","CANCELADA",IF(H211="","",IFERROR(_xlfn.XLOOKUP(H211,Listas!I:I,Listas!J:J),"OUTROS"))))</f>
        <v>ADMITIDO</v>
      </c>
      <c r="J211" s="248" t="s">
        <v>53</v>
      </c>
      <c r="K211" s="73" t="s">
        <v>61</v>
      </c>
      <c r="L211" s="73" t="s">
        <v>750</v>
      </c>
      <c r="M211" s="73"/>
      <c r="N211" s="73" t="s">
        <v>63</v>
      </c>
      <c r="O211" s="73" t="s">
        <v>34</v>
      </c>
      <c r="P211" s="73" t="s">
        <v>57</v>
      </c>
      <c r="Q211" s="73" t="s">
        <v>751</v>
      </c>
      <c r="R211" s="74" t="s">
        <v>752</v>
      </c>
      <c r="S211" s="228" t="s">
        <v>626</v>
      </c>
      <c r="T211" s="74" t="s">
        <v>753</v>
      </c>
      <c r="U211" s="73" t="s">
        <v>76</v>
      </c>
      <c r="V211" s="220">
        <v>46149</v>
      </c>
      <c r="W211" s="203" t="s">
        <v>754</v>
      </c>
      <c r="X211" s="117" t="s">
        <v>40</v>
      </c>
      <c r="Y211" s="249">
        <v>46153</v>
      </c>
      <c r="Z211" s="249">
        <v>46154</v>
      </c>
      <c r="AA211" s="224">
        <v>145941</v>
      </c>
      <c r="AB211" s="74" t="s">
        <v>755</v>
      </c>
      <c r="AC211" s="74"/>
      <c r="AD211" s="256">
        <v>0</v>
      </c>
    </row>
    <row r="212" spans="1:30" s="251" customFormat="1" ht="18" customHeight="1">
      <c r="A212" s="97">
        <v>29933</v>
      </c>
      <c r="B212" s="105">
        <v>1</v>
      </c>
      <c r="C212" s="247">
        <v>46128</v>
      </c>
      <c r="D212" s="105">
        <f t="shared" ca="1" si="9"/>
        <v>99</v>
      </c>
      <c r="E212" s="138" t="str">
        <f t="shared" si="8"/>
        <v>CANCELADA</v>
      </c>
      <c r="F212" s="138" t="s">
        <v>42</v>
      </c>
      <c r="G212" s="117" t="s">
        <v>60</v>
      </c>
      <c r="H212" s="117" t="s">
        <v>52</v>
      </c>
      <c r="I212" s="117" t="str">
        <f>IF(X212="ADMITIDO","ADMITIDO",IF(X212="CANCELADA","CANCELADA",IF(H212="","",IFERROR(_xlfn.XLOOKUP(H212,Listas!I:I,Listas!J:J),"OUTROS"))))</f>
        <v>CANCELADA</v>
      </c>
      <c r="J212" s="248" t="s">
        <v>44</v>
      </c>
      <c r="K212" s="73" t="s">
        <v>61</v>
      </c>
      <c r="L212" s="73" t="s">
        <v>750</v>
      </c>
      <c r="M212" s="73"/>
      <c r="N212" s="73" t="s">
        <v>63</v>
      </c>
      <c r="O212" s="73" t="s">
        <v>34</v>
      </c>
      <c r="P212" s="73" t="s">
        <v>57</v>
      </c>
      <c r="Q212" s="73" t="s">
        <v>432</v>
      </c>
      <c r="R212" s="74" t="s">
        <v>756</v>
      </c>
      <c r="S212" s="228"/>
      <c r="T212" s="74"/>
      <c r="U212" s="73"/>
      <c r="V212" s="220"/>
      <c r="W212" s="203"/>
      <c r="X212" s="227" t="s">
        <v>52</v>
      </c>
      <c r="Y212" s="249"/>
      <c r="Z212" s="249"/>
      <c r="AA212" s="224"/>
      <c r="AB212" s="74" t="s">
        <v>757</v>
      </c>
      <c r="AC212" s="74"/>
      <c r="AD212" s="256">
        <v>1</v>
      </c>
    </row>
    <row r="213" spans="1:30" s="251" customFormat="1" ht="18" customHeight="1">
      <c r="A213" s="97">
        <v>29932</v>
      </c>
      <c r="B213" s="105">
        <v>1</v>
      </c>
      <c r="C213" s="247">
        <v>46128</v>
      </c>
      <c r="D213" s="105">
        <f t="shared" ca="1" si="9"/>
        <v>99</v>
      </c>
      <c r="E213" s="138" t="str">
        <f t="shared" si="8"/>
        <v>ADMITIDO</v>
      </c>
      <c r="F213" s="138" t="s">
        <v>42</v>
      </c>
      <c r="G213" s="117" t="s">
        <v>60</v>
      </c>
      <c r="H213" s="117" t="s">
        <v>40</v>
      </c>
      <c r="I213" s="117" t="str">
        <f>IF(X213="ADMITIDO","ADMITIDO",IF(X213="CANCELADA","CANCELADA",IF(H213="","",IFERROR(_xlfn.XLOOKUP(H213,Listas!I:I,Listas!J:J),"OUTROS"))))</f>
        <v>ADMITIDO</v>
      </c>
      <c r="J213" s="248" t="s">
        <v>163</v>
      </c>
      <c r="K213" s="73" t="s">
        <v>61</v>
      </c>
      <c r="L213" s="73" t="s">
        <v>750</v>
      </c>
      <c r="M213" s="73"/>
      <c r="N213" s="73" t="s">
        <v>63</v>
      </c>
      <c r="O213" s="73" t="s">
        <v>34</v>
      </c>
      <c r="P213" s="73" t="s">
        <v>57</v>
      </c>
      <c r="Q213" s="73" t="s">
        <v>98</v>
      </c>
      <c r="R213" s="74"/>
      <c r="S213" s="250" t="s">
        <v>65</v>
      </c>
      <c r="T213" s="236" t="s">
        <v>758</v>
      </c>
      <c r="U213" s="73" t="s">
        <v>76</v>
      </c>
      <c r="V213" s="220">
        <v>46140</v>
      </c>
      <c r="W213" s="203" t="s">
        <v>759</v>
      </c>
      <c r="X213" s="227" t="s">
        <v>40</v>
      </c>
      <c r="Y213" s="249">
        <v>46142</v>
      </c>
      <c r="Z213" s="249">
        <v>46146</v>
      </c>
      <c r="AA213" s="224">
        <v>145908</v>
      </c>
      <c r="AB213" s="74"/>
      <c r="AC213" s="74"/>
      <c r="AD213" s="256">
        <v>0</v>
      </c>
    </row>
    <row r="214" spans="1:30" s="251" customFormat="1" ht="18" customHeight="1">
      <c r="A214" s="246">
        <v>29936</v>
      </c>
      <c r="B214" s="105">
        <v>1</v>
      </c>
      <c r="C214" s="247">
        <v>46128</v>
      </c>
      <c r="D214" s="105">
        <f t="shared" ca="1" si="9"/>
        <v>99</v>
      </c>
      <c r="E214" s="138" t="str">
        <f t="shared" si="8"/>
        <v>ADMITIDO</v>
      </c>
      <c r="F214" s="138" t="s">
        <v>28</v>
      </c>
      <c r="G214" s="117" t="s">
        <v>69</v>
      </c>
      <c r="H214" s="117" t="s">
        <v>40</v>
      </c>
      <c r="I214" s="117" t="str">
        <f>IF(X214="ADMITIDO","ADMITIDO",IF(X214="CANCELADA","CANCELADA",IF(H214="","",IFERROR(_xlfn.XLOOKUP(H214,Listas!I:I,Listas!J:J),"OUTROS"))))</f>
        <v>ADMITIDO</v>
      </c>
      <c r="J214" s="248" t="s">
        <v>146</v>
      </c>
      <c r="K214" s="73" t="s">
        <v>173</v>
      </c>
      <c r="L214" s="73" t="s">
        <v>434</v>
      </c>
      <c r="M214" s="73"/>
      <c r="N214" s="73" t="s">
        <v>435</v>
      </c>
      <c r="O214" s="73" t="s">
        <v>56</v>
      </c>
      <c r="P214" s="73" t="s">
        <v>35</v>
      </c>
      <c r="Q214" s="73" t="s">
        <v>760</v>
      </c>
      <c r="R214" s="74"/>
      <c r="S214" s="228" t="s">
        <v>373</v>
      </c>
      <c r="T214" s="74" t="s">
        <v>761</v>
      </c>
      <c r="U214" s="73" t="s">
        <v>132</v>
      </c>
      <c r="V214" s="220">
        <v>46135</v>
      </c>
      <c r="W214" s="203" t="s">
        <v>762</v>
      </c>
      <c r="X214" s="227" t="s">
        <v>40</v>
      </c>
      <c r="Y214" s="249">
        <v>46139</v>
      </c>
      <c r="Z214" s="249">
        <v>46141</v>
      </c>
      <c r="AA214" s="224">
        <v>914179</v>
      </c>
      <c r="AB214" s="74"/>
      <c r="AC214" s="74"/>
      <c r="AD214" s="256">
        <v>0</v>
      </c>
    </row>
    <row r="215" spans="1:30" s="251" customFormat="1" ht="18" customHeight="1">
      <c r="A215" s="97">
        <v>29931</v>
      </c>
      <c r="B215" s="105">
        <v>1</v>
      </c>
      <c r="C215" s="247">
        <v>46128</v>
      </c>
      <c r="D215" s="105">
        <f t="shared" ca="1" si="9"/>
        <v>99</v>
      </c>
      <c r="E215" s="138" t="str">
        <f t="shared" si="8"/>
        <v>ADMITIDO</v>
      </c>
      <c r="F215" s="138" t="s">
        <v>42</v>
      </c>
      <c r="G215" s="117" t="s">
        <v>60</v>
      </c>
      <c r="H215" s="117" t="s">
        <v>40</v>
      </c>
      <c r="I215" s="117" t="str">
        <f>IF(X215="ADMITIDO","ADMITIDO",IF(X215="CANCELADA","CANCELADA",IF(H215="","",IFERROR(_xlfn.XLOOKUP(H215,Listas!I:I,Listas!J:J),"OUTROS"))))</f>
        <v>ADMITIDO</v>
      </c>
      <c r="J215" s="248" t="s">
        <v>53</v>
      </c>
      <c r="K215" s="73" t="s">
        <v>61</v>
      </c>
      <c r="L215" s="73" t="s">
        <v>600</v>
      </c>
      <c r="M215" s="73"/>
      <c r="N215" s="73" t="s">
        <v>63</v>
      </c>
      <c r="O215" s="73" t="s">
        <v>34</v>
      </c>
      <c r="P215" s="73" t="s">
        <v>72</v>
      </c>
      <c r="Q215" s="73" t="s">
        <v>73</v>
      </c>
      <c r="R215" s="74"/>
      <c r="S215" s="228" t="s">
        <v>65</v>
      </c>
      <c r="T215" s="228" t="s">
        <v>1355</v>
      </c>
      <c r="U215" s="73" t="s">
        <v>109</v>
      </c>
      <c r="V215" s="220">
        <v>46175</v>
      </c>
      <c r="W215" s="203" t="s">
        <v>1356</v>
      </c>
      <c r="X215" s="227" t="s">
        <v>40</v>
      </c>
      <c r="Y215" s="249">
        <v>46182</v>
      </c>
      <c r="Z215" s="249">
        <v>46184</v>
      </c>
      <c r="AA215" s="224">
        <v>146063</v>
      </c>
      <c r="AB215" s="74"/>
      <c r="AC215" s="74"/>
      <c r="AD215" s="256">
        <v>0</v>
      </c>
    </row>
    <row r="216" spans="1:30" s="251" customFormat="1" ht="18" customHeight="1">
      <c r="A216" s="246">
        <v>29942</v>
      </c>
      <c r="B216" s="105">
        <v>1</v>
      </c>
      <c r="C216" s="247">
        <v>46128</v>
      </c>
      <c r="D216" s="105">
        <f t="shared" ca="1" si="9"/>
        <v>99</v>
      </c>
      <c r="E216" s="138" t="str">
        <f t="shared" si="8"/>
        <v>ADMITIDO</v>
      </c>
      <c r="F216" s="138" t="s">
        <v>28</v>
      </c>
      <c r="G216" s="117" t="s">
        <v>29</v>
      </c>
      <c r="H216" s="117" t="s">
        <v>40</v>
      </c>
      <c r="I216" s="117" t="str">
        <f>IF(X216="ADMITIDO","ADMITIDO",IF(X216="CANCELADA","CANCELADA",IF(H216="","",IFERROR(_xlfn.XLOOKUP(H216,Listas!I:I,Listas!J:J),"OUTROS"))))</f>
        <v>ADMITIDO</v>
      </c>
      <c r="J216" s="248" t="s">
        <v>609</v>
      </c>
      <c r="K216" s="73" t="s">
        <v>31</v>
      </c>
      <c r="L216" s="73" t="s">
        <v>92</v>
      </c>
      <c r="M216" s="73"/>
      <c r="N216" s="73" t="s">
        <v>93</v>
      </c>
      <c r="O216" s="73" t="s">
        <v>34</v>
      </c>
      <c r="P216" s="73" t="s">
        <v>35</v>
      </c>
      <c r="Q216" s="73" t="s">
        <v>36</v>
      </c>
      <c r="R216" s="74"/>
      <c r="S216" s="228"/>
      <c r="T216" s="74" t="s">
        <v>763</v>
      </c>
      <c r="U216" s="73" t="s">
        <v>38</v>
      </c>
      <c r="V216" s="220">
        <v>46135</v>
      </c>
      <c r="W216" s="203" t="s">
        <v>764</v>
      </c>
      <c r="X216" s="227" t="s">
        <v>40</v>
      </c>
      <c r="Y216" s="249">
        <v>46141</v>
      </c>
      <c r="Z216" s="249">
        <v>46142</v>
      </c>
      <c r="AA216" s="224">
        <v>914189</v>
      </c>
      <c r="AB216" s="74"/>
      <c r="AC216" s="74"/>
      <c r="AD216" s="256">
        <v>0</v>
      </c>
    </row>
    <row r="217" spans="1:30" s="251" customFormat="1" ht="18" customHeight="1">
      <c r="A217" s="97">
        <v>29946</v>
      </c>
      <c r="B217" s="105">
        <v>1</v>
      </c>
      <c r="C217" s="247">
        <v>46128</v>
      </c>
      <c r="D217" s="105">
        <f t="shared" ca="1" si="9"/>
        <v>99</v>
      </c>
      <c r="E217" s="138" t="str">
        <f t="shared" si="8"/>
        <v>ADMITIDO</v>
      </c>
      <c r="F217" s="138" t="s">
        <v>28</v>
      </c>
      <c r="G217" s="117" t="s">
        <v>240</v>
      </c>
      <c r="H217" s="117" t="s">
        <v>40</v>
      </c>
      <c r="I217" s="117" t="str">
        <f>IF(X217="ADMITIDO","ADMITIDO",IF(X217="CANCELADA","CANCELADA",IF(H217="","",IFERROR(_xlfn.XLOOKUP(H217,Listas!I:I,Listas!J:J),"OUTROS"))))</f>
        <v>ADMITIDO</v>
      </c>
      <c r="J217" s="248" t="s">
        <v>448</v>
      </c>
      <c r="K217" s="73" t="s">
        <v>423</v>
      </c>
      <c r="L217" s="73" t="s">
        <v>449</v>
      </c>
      <c r="M217" s="73"/>
      <c r="N217" s="73" t="s">
        <v>63</v>
      </c>
      <c r="O217" s="73" t="s">
        <v>34</v>
      </c>
      <c r="P217" s="73" t="s">
        <v>48</v>
      </c>
      <c r="Q217" s="73" t="s">
        <v>450</v>
      </c>
      <c r="R217" s="74"/>
      <c r="S217" s="228"/>
      <c r="T217" s="74" t="s">
        <v>765</v>
      </c>
      <c r="U217" s="73" t="s">
        <v>132</v>
      </c>
      <c r="V217" s="220">
        <v>46129</v>
      </c>
      <c r="W217" s="203" t="s">
        <v>766</v>
      </c>
      <c r="X217" s="227" t="s">
        <v>40</v>
      </c>
      <c r="Y217" s="249">
        <v>46134</v>
      </c>
      <c r="Z217" s="249">
        <v>46135</v>
      </c>
      <c r="AA217" s="224">
        <v>914154</v>
      </c>
      <c r="AB217" s="74"/>
      <c r="AC217" s="74"/>
      <c r="AD217" s="256">
        <v>0</v>
      </c>
    </row>
    <row r="218" spans="1:30" s="251" customFormat="1" ht="18" customHeight="1">
      <c r="A218" s="97">
        <v>29948</v>
      </c>
      <c r="B218" s="105">
        <v>1</v>
      </c>
      <c r="C218" s="247">
        <v>46128</v>
      </c>
      <c r="D218" s="105">
        <f t="shared" ca="1" si="9"/>
        <v>99</v>
      </c>
      <c r="E218" s="138" t="str">
        <f t="shared" si="8"/>
        <v>CANCELADA</v>
      </c>
      <c r="F218" s="138" t="s">
        <v>28</v>
      </c>
      <c r="G218" s="117" t="s">
        <v>767</v>
      </c>
      <c r="H218" s="117" t="s">
        <v>52</v>
      </c>
      <c r="I218" s="117" t="str">
        <f>IF(X218="ADMITIDO","ADMITIDO",IF(X218="CANCELADA","CANCELADA",IF(H218="","",IFERROR(_xlfn.XLOOKUP(H218,Listas!I:I,Listas!J:J),"OUTROS"))))</f>
        <v>CANCELADA</v>
      </c>
      <c r="J218" s="248" t="s">
        <v>146</v>
      </c>
      <c r="K218" s="73" t="s">
        <v>439</v>
      </c>
      <c r="L218" s="73" t="s">
        <v>768</v>
      </c>
      <c r="M218" s="73"/>
      <c r="N218" s="73" t="s">
        <v>63</v>
      </c>
      <c r="O218" s="73" t="s">
        <v>56</v>
      </c>
      <c r="P218" s="73" t="s">
        <v>35</v>
      </c>
      <c r="Q218" s="73" t="s">
        <v>176</v>
      </c>
      <c r="R218" s="74"/>
      <c r="S218" s="228"/>
      <c r="T218" s="74"/>
      <c r="U218" s="73"/>
      <c r="V218" s="220"/>
      <c r="W218" s="203"/>
      <c r="X218" s="227" t="s">
        <v>52</v>
      </c>
      <c r="Y218" s="249"/>
      <c r="Z218" s="249"/>
      <c r="AA218" s="224"/>
      <c r="AB218" s="74"/>
      <c r="AC218" s="74"/>
      <c r="AD218" s="256">
        <v>0</v>
      </c>
    </row>
    <row r="219" spans="1:30" s="251" customFormat="1" ht="18" customHeight="1">
      <c r="A219" s="97">
        <v>29940</v>
      </c>
      <c r="B219" s="105">
        <v>1</v>
      </c>
      <c r="C219" s="247">
        <v>46128</v>
      </c>
      <c r="D219" s="105">
        <f t="shared" ca="1" si="9"/>
        <v>99</v>
      </c>
      <c r="E219" s="138" t="str">
        <f t="shared" si="8"/>
        <v>CANCELADA</v>
      </c>
      <c r="F219" s="138" t="s">
        <v>42</v>
      </c>
      <c r="G219" s="117" t="s">
        <v>69</v>
      </c>
      <c r="H219" s="117" t="s">
        <v>52</v>
      </c>
      <c r="I219" s="117" t="str">
        <f>IF(X219="ADMITIDO","ADMITIDO",IF(X219="CANCELADA","CANCELADA",IF(H219="","",IFERROR(_xlfn.XLOOKUP(H219,Listas!I:I,Listas!J:J),"OUTROS"))))</f>
        <v>CANCELADA</v>
      </c>
      <c r="J219" s="248" t="s">
        <v>53</v>
      </c>
      <c r="K219" s="73" t="s">
        <v>70</v>
      </c>
      <c r="L219" s="73" t="s">
        <v>769</v>
      </c>
      <c r="M219" s="73"/>
      <c r="N219" s="73" t="s">
        <v>63</v>
      </c>
      <c r="O219" s="73" t="s">
        <v>34</v>
      </c>
      <c r="P219" s="73" t="s">
        <v>48</v>
      </c>
      <c r="Q219" s="73" t="s">
        <v>49</v>
      </c>
      <c r="R219" s="74"/>
      <c r="S219" s="228" t="s">
        <v>65</v>
      </c>
      <c r="T219" s="74"/>
      <c r="U219" s="73"/>
      <c r="V219" s="220"/>
      <c r="W219" s="203"/>
      <c r="X219" s="119" t="s">
        <v>52</v>
      </c>
      <c r="Y219" s="249"/>
      <c r="Z219" s="249"/>
      <c r="AA219" s="224"/>
      <c r="AB219" s="74" t="s">
        <v>1357</v>
      </c>
      <c r="AC219" s="74" t="s">
        <v>1358</v>
      </c>
      <c r="AD219" s="256">
        <v>2</v>
      </c>
    </row>
    <row r="220" spans="1:30" s="251" customFormat="1" ht="18" customHeight="1">
      <c r="A220" s="97">
        <v>29956</v>
      </c>
      <c r="B220" s="105">
        <v>1</v>
      </c>
      <c r="C220" s="247">
        <v>46129</v>
      </c>
      <c r="D220" s="105">
        <f t="shared" ca="1" si="9"/>
        <v>98</v>
      </c>
      <c r="E220" s="138" t="str">
        <f t="shared" si="8"/>
        <v>CANCELADA</v>
      </c>
      <c r="F220" s="138" t="s">
        <v>42</v>
      </c>
      <c r="G220" s="117" t="s">
        <v>43</v>
      </c>
      <c r="H220" s="117" t="s">
        <v>52</v>
      </c>
      <c r="I220" s="117" t="str">
        <f>IF(X220="ADMITIDO","ADMITIDO",IF(X220="CANCELADA","CANCELADA",IF(H220="","",IFERROR(_xlfn.XLOOKUP(H220,Listas!I:I,Listas!J:J),"OUTROS"))))</f>
        <v>CANCELADA</v>
      </c>
      <c r="J220" s="248" t="s">
        <v>44</v>
      </c>
      <c r="K220" s="73" t="s">
        <v>45</v>
      </c>
      <c r="L220" s="73" t="s">
        <v>771</v>
      </c>
      <c r="M220" s="73"/>
      <c r="N220" s="73" t="s">
        <v>97</v>
      </c>
      <c r="O220" s="73" t="s">
        <v>34</v>
      </c>
      <c r="P220" s="73" t="s">
        <v>48</v>
      </c>
      <c r="Q220" s="73" t="s">
        <v>49</v>
      </c>
      <c r="R220" s="74" t="s">
        <v>1359</v>
      </c>
      <c r="S220" s="228" t="s">
        <v>772</v>
      </c>
      <c r="T220" s="252">
        <v>11945639837</v>
      </c>
      <c r="U220" s="73" t="s">
        <v>50</v>
      </c>
      <c r="V220" s="220">
        <v>46157</v>
      </c>
      <c r="W220" s="203" t="s">
        <v>774</v>
      </c>
      <c r="X220" s="227" t="s">
        <v>284</v>
      </c>
      <c r="Y220" s="249"/>
      <c r="Z220" s="249"/>
      <c r="AA220" s="224"/>
      <c r="AB220" s="74" t="s">
        <v>1360</v>
      </c>
      <c r="AC220" s="74"/>
      <c r="AD220" s="256">
        <v>0</v>
      </c>
    </row>
    <row r="221" spans="1:30" s="251" customFormat="1" ht="18" customHeight="1">
      <c r="A221" s="97">
        <v>29954</v>
      </c>
      <c r="B221" s="105">
        <v>1</v>
      </c>
      <c r="C221" s="247">
        <v>46129</v>
      </c>
      <c r="D221" s="105">
        <f t="shared" ca="1" si="9"/>
        <v>98</v>
      </c>
      <c r="E221" s="138" t="str">
        <f t="shared" si="8"/>
        <v>CANCELADA</v>
      </c>
      <c r="F221" s="138" t="s">
        <v>42</v>
      </c>
      <c r="G221" s="117" t="s">
        <v>240</v>
      </c>
      <c r="H221" s="117" t="s">
        <v>52</v>
      </c>
      <c r="I221" s="117" t="str">
        <f>IF(X221="ADMITIDO","ADMITIDO",IF(X221="CANCELADA","CANCELADA",IF(H221="","",IFERROR(_xlfn.XLOOKUP(H221,Listas!I:I,Listas!J:J),"OUTROS"))))</f>
        <v>CANCELADA</v>
      </c>
      <c r="J221" s="248" t="s">
        <v>53</v>
      </c>
      <c r="K221" s="73" t="s">
        <v>241</v>
      </c>
      <c r="L221" s="73" t="s">
        <v>775</v>
      </c>
      <c r="M221" s="73"/>
      <c r="N221" s="73" t="s">
        <v>63</v>
      </c>
      <c r="O221" s="73" t="s">
        <v>34</v>
      </c>
      <c r="P221" s="73" t="s">
        <v>48</v>
      </c>
      <c r="Q221" s="73" t="s">
        <v>131</v>
      </c>
      <c r="R221" s="74" t="s">
        <v>365</v>
      </c>
      <c r="S221" s="228"/>
      <c r="T221" s="74"/>
      <c r="U221" s="73"/>
      <c r="V221" s="220"/>
      <c r="W221" s="203"/>
      <c r="X221" s="227" t="s">
        <v>52</v>
      </c>
      <c r="Y221" s="249"/>
      <c r="Z221" s="249"/>
      <c r="AA221" s="224"/>
      <c r="AB221" s="74"/>
      <c r="AC221" s="74"/>
      <c r="AD221" s="256">
        <v>0</v>
      </c>
    </row>
    <row r="222" spans="1:30" s="251" customFormat="1" ht="18" customHeight="1">
      <c r="A222" s="246">
        <v>29950</v>
      </c>
      <c r="B222" s="105">
        <v>1</v>
      </c>
      <c r="C222" s="247">
        <v>46129</v>
      </c>
      <c r="D222" s="105">
        <f t="shared" ca="1" si="9"/>
        <v>98</v>
      </c>
      <c r="E222" s="138" t="str">
        <f t="shared" si="8"/>
        <v>ADMITIDO</v>
      </c>
      <c r="F222" s="138" t="s">
        <v>28</v>
      </c>
      <c r="G222" s="117" t="s">
        <v>102</v>
      </c>
      <c r="H222" s="117" t="s">
        <v>40</v>
      </c>
      <c r="I222" s="117" t="str">
        <f>IF(X222="ADMITIDO","ADMITIDO",IF(X222="CANCELADA","CANCELADA",IF(H222="","",IFERROR(_xlfn.XLOOKUP(H222,Listas!I:I,Listas!J:J),"OUTROS"))))</f>
        <v>ADMITIDO</v>
      </c>
      <c r="J222" s="248" t="s">
        <v>683</v>
      </c>
      <c r="K222" s="73" t="s">
        <v>371</v>
      </c>
      <c r="L222" s="73" t="s">
        <v>776</v>
      </c>
      <c r="M222" s="73"/>
      <c r="N222" s="73" t="s">
        <v>391</v>
      </c>
      <c r="O222" s="73" t="s">
        <v>34</v>
      </c>
      <c r="P222" s="73" t="s">
        <v>35</v>
      </c>
      <c r="Q222" s="73" t="s">
        <v>36</v>
      </c>
      <c r="R222" s="74" t="s">
        <v>777</v>
      </c>
      <c r="S222" s="228" t="s">
        <v>107</v>
      </c>
      <c r="T222" s="74"/>
      <c r="U222" s="73" t="s">
        <v>67</v>
      </c>
      <c r="V222" s="220">
        <v>46135</v>
      </c>
      <c r="W222" s="203" t="s">
        <v>778</v>
      </c>
      <c r="X222" s="227" t="s">
        <v>40</v>
      </c>
      <c r="Y222" s="249">
        <v>46139</v>
      </c>
      <c r="Z222" s="249">
        <v>46140</v>
      </c>
      <c r="AA222" s="224">
        <v>914184</v>
      </c>
      <c r="AB222" s="74"/>
      <c r="AC222" s="74"/>
      <c r="AD222" s="256">
        <v>0</v>
      </c>
    </row>
    <row r="223" spans="1:30" s="251" customFormat="1" ht="18" customHeight="1">
      <c r="A223" s="246">
        <v>29887</v>
      </c>
      <c r="B223" s="105">
        <v>1</v>
      </c>
      <c r="C223" s="247">
        <v>46129</v>
      </c>
      <c r="D223" s="105">
        <f t="shared" ca="1" si="9"/>
        <v>98</v>
      </c>
      <c r="E223" s="138" t="str">
        <f t="shared" si="8"/>
        <v>ADMITIDO</v>
      </c>
      <c r="F223" s="138" t="s">
        <v>28</v>
      </c>
      <c r="G223" s="117" t="s">
        <v>145</v>
      </c>
      <c r="H223" s="117" t="s">
        <v>40</v>
      </c>
      <c r="I223" s="117" t="str">
        <f>IF(X223="ADMITIDO","ADMITIDO",IF(X223="CANCELADA","CANCELADA",IF(H223="","",IFERROR(_xlfn.XLOOKUP(H223,Listas!I:I,Listas!J:J),"OUTROS"))))</f>
        <v>ADMITIDO</v>
      </c>
      <c r="J223" s="248" t="s">
        <v>586</v>
      </c>
      <c r="K223" s="73" t="s">
        <v>86</v>
      </c>
      <c r="L223" s="73" t="s">
        <v>741</v>
      </c>
      <c r="M223" s="73"/>
      <c r="N223" s="73" t="s">
        <v>88</v>
      </c>
      <c r="O223" s="73" t="s">
        <v>34</v>
      </c>
      <c r="P223" s="73" t="s">
        <v>35</v>
      </c>
      <c r="Q223" s="73" t="s">
        <v>287</v>
      </c>
      <c r="R223" s="281"/>
      <c r="S223" s="228"/>
      <c r="T223" s="252" t="s">
        <v>779</v>
      </c>
      <c r="U223" s="73" t="s">
        <v>38</v>
      </c>
      <c r="V223" s="220">
        <v>46134</v>
      </c>
      <c r="W223" s="203" t="s">
        <v>780</v>
      </c>
      <c r="X223" s="227" t="s">
        <v>40</v>
      </c>
      <c r="Y223" s="249">
        <v>46136</v>
      </c>
      <c r="Z223" s="249">
        <v>46137</v>
      </c>
      <c r="AA223" s="224">
        <v>914182</v>
      </c>
      <c r="AB223" s="74"/>
      <c r="AC223" s="74"/>
      <c r="AD223" s="256">
        <v>0</v>
      </c>
    </row>
    <row r="224" spans="1:30" s="251" customFormat="1" ht="18" customHeight="1">
      <c r="A224" s="102">
        <v>29976</v>
      </c>
      <c r="B224" s="256">
        <v>1</v>
      </c>
      <c r="C224" s="201">
        <v>46132</v>
      </c>
      <c r="D224" s="105">
        <f t="shared" ca="1" si="9"/>
        <v>95</v>
      </c>
      <c r="E224" s="138" t="str">
        <f t="shared" si="8"/>
        <v>CANCELADA</v>
      </c>
      <c r="F224" s="117" t="s">
        <v>42</v>
      </c>
      <c r="G224" s="117" t="s">
        <v>60</v>
      </c>
      <c r="H224" s="117" t="s">
        <v>52</v>
      </c>
      <c r="I224" s="117" t="str">
        <f>IF(X224="ADMITIDO","ADMITIDO",IF(X224="CANCELADA","CANCELADA",IF(H224="","",IFERROR(_xlfn.XLOOKUP(H224,Listas!I:I,Listas!J:J),"OUTROS"))))</f>
        <v>CANCELADA</v>
      </c>
      <c r="J224" s="248" t="s">
        <v>782</v>
      </c>
      <c r="K224" s="73" t="s">
        <v>61</v>
      </c>
      <c r="L224" s="73" t="s">
        <v>556</v>
      </c>
      <c r="M224" s="73"/>
      <c r="N224" s="73" t="s">
        <v>63</v>
      </c>
      <c r="O224" s="73" t="s">
        <v>34</v>
      </c>
      <c r="P224" s="73" t="s">
        <v>57</v>
      </c>
      <c r="Q224" s="73" t="s">
        <v>783</v>
      </c>
      <c r="R224" s="74" t="s">
        <v>784</v>
      </c>
      <c r="S224" s="228"/>
      <c r="T224" s="229"/>
      <c r="U224" s="73"/>
      <c r="V224" s="220"/>
      <c r="W224" s="203"/>
      <c r="X224" s="227" t="s">
        <v>52</v>
      </c>
      <c r="Y224" s="249"/>
      <c r="Z224" s="249"/>
      <c r="AA224" s="224"/>
      <c r="AB224" s="74"/>
      <c r="AC224" s="74"/>
      <c r="AD224" s="256">
        <v>0</v>
      </c>
    </row>
    <row r="225" spans="1:30" s="251" customFormat="1" ht="18" customHeight="1">
      <c r="A225" s="122">
        <v>29973</v>
      </c>
      <c r="B225" s="256">
        <v>1</v>
      </c>
      <c r="C225" s="201">
        <v>46132</v>
      </c>
      <c r="D225" s="105">
        <f t="shared" ca="1" si="9"/>
        <v>95</v>
      </c>
      <c r="E225" s="138" t="str">
        <f t="shared" si="8"/>
        <v>ADMITIDO</v>
      </c>
      <c r="F225" s="117" t="s">
        <v>42</v>
      </c>
      <c r="G225" s="147" t="s">
        <v>43</v>
      </c>
      <c r="H225" s="117" t="s">
        <v>40</v>
      </c>
      <c r="I225" s="117" t="str">
        <f>IF(X225="ADMITIDO","ADMITIDO",IF(X225="CANCELADA","CANCELADA",IF(H225="","",IFERROR(_xlfn.XLOOKUP(H225,Listas!I:I,Listas!J:J),"OUTROS"))))</f>
        <v>ADMITIDO</v>
      </c>
      <c r="J225" s="248" t="s">
        <v>53</v>
      </c>
      <c r="K225" s="73" t="s">
        <v>45</v>
      </c>
      <c r="L225" s="73" t="s">
        <v>377</v>
      </c>
      <c r="M225" s="73"/>
      <c r="N225" s="73" t="s">
        <v>378</v>
      </c>
      <c r="O225" s="73" t="s">
        <v>56</v>
      </c>
      <c r="P225" s="73" t="s">
        <v>35</v>
      </c>
      <c r="Q225" s="73" t="s">
        <v>357</v>
      </c>
      <c r="R225" s="74"/>
      <c r="S225" s="228"/>
      <c r="T225" s="229">
        <v>11948411061</v>
      </c>
      <c r="U225" s="73" t="s">
        <v>67</v>
      </c>
      <c r="V225" s="220">
        <v>46148</v>
      </c>
      <c r="W225" s="203" t="s">
        <v>785</v>
      </c>
      <c r="X225" s="119" t="s">
        <v>40</v>
      </c>
      <c r="Y225" s="249">
        <v>46157</v>
      </c>
      <c r="Z225" s="249">
        <v>46159</v>
      </c>
      <c r="AA225" s="224">
        <v>145970</v>
      </c>
      <c r="AB225" s="74" t="s">
        <v>786</v>
      </c>
      <c r="AC225" s="74"/>
      <c r="AD225" s="256">
        <v>0</v>
      </c>
    </row>
    <row r="226" spans="1:30" s="251" customFormat="1" ht="18" customHeight="1">
      <c r="A226" s="122">
        <v>29978</v>
      </c>
      <c r="B226" s="256">
        <v>1</v>
      </c>
      <c r="C226" s="201">
        <v>46132</v>
      </c>
      <c r="D226" s="105">
        <f t="shared" ca="1" si="9"/>
        <v>95</v>
      </c>
      <c r="E226" s="138" t="str">
        <f t="shared" si="8"/>
        <v>ADMITIDO</v>
      </c>
      <c r="F226" s="117" t="s">
        <v>171</v>
      </c>
      <c r="G226" s="147" t="s">
        <v>43</v>
      </c>
      <c r="H226" s="117" t="s">
        <v>40</v>
      </c>
      <c r="I226" s="117" t="str">
        <f>IF(X226="ADMITIDO","ADMITIDO",IF(X226="CANCELADA","CANCELADA",IF(H226="","",IFERROR(_xlfn.XLOOKUP(H226,Listas!I:I,Listas!J:J),"OUTROS"))))</f>
        <v>ADMITIDO</v>
      </c>
      <c r="J226" s="248" t="s">
        <v>787</v>
      </c>
      <c r="K226" s="73" t="s">
        <v>360</v>
      </c>
      <c r="L226" s="73" t="s">
        <v>788</v>
      </c>
      <c r="M226" s="73"/>
      <c r="N226" s="73" t="s">
        <v>337</v>
      </c>
      <c r="O226" s="73" t="s">
        <v>34</v>
      </c>
      <c r="P226" s="73" t="s">
        <v>35</v>
      </c>
      <c r="Q226" s="73" t="s">
        <v>36</v>
      </c>
      <c r="R226" s="74"/>
      <c r="S226" s="228"/>
      <c r="T226" s="252">
        <v>15996946020</v>
      </c>
      <c r="U226" s="73" t="s">
        <v>67</v>
      </c>
      <c r="V226" s="220">
        <v>46135</v>
      </c>
      <c r="W226" s="203" t="s">
        <v>789</v>
      </c>
      <c r="X226" s="227" t="s">
        <v>40</v>
      </c>
      <c r="Y226" s="249">
        <v>46142</v>
      </c>
      <c r="Z226" s="249">
        <v>46144</v>
      </c>
      <c r="AA226" s="224">
        <v>83276</v>
      </c>
      <c r="AB226" s="74"/>
      <c r="AC226" s="74"/>
      <c r="AD226" s="256">
        <v>0</v>
      </c>
    </row>
    <row r="227" spans="1:30" s="251" customFormat="1" ht="18" customHeight="1">
      <c r="A227" s="122">
        <v>29982</v>
      </c>
      <c r="B227" s="256">
        <v>1</v>
      </c>
      <c r="C227" s="201">
        <v>46132</v>
      </c>
      <c r="D227" s="105">
        <f t="shared" ca="1" si="9"/>
        <v>95</v>
      </c>
      <c r="E227" s="138" t="str">
        <f t="shared" si="8"/>
        <v>ADMITIDO</v>
      </c>
      <c r="F227" s="117" t="s">
        <v>42</v>
      </c>
      <c r="G227" s="117" t="s">
        <v>29</v>
      </c>
      <c r="H227" s="117" t="s">
        <v>40</v>
      </c>
      <c r="I227" s="117" t="str">
        <f>IF(X227="ADMITIDO","ADMITIDO",IF(X227="CANCELADA","CANCELADA",IF(H227="","",IFERROR(_xlfn.XLOOKUP(H227,Listas!I:I,Listas!J:J),"OUTROS"))))</f>
        <v>ADMITIDO</v>
      </c>
      <c r="J227" s="248" t="s">
        <v>53</v>
      </c>
      <c r="K227" s="73" t="s">
        <v>347</v>
      </c>
      <c r="L227" s="73" t="s">
        <v>653</v>
      </c>
      <c r="M227" s="73"/>
      <c r="N227" s="73" t="s">
        <v>654</v>
      </c>
      <c r="O227" s="73" t="s">
        <v>34</v>
      </c>
      <c r="P227" s="73" t="s">
        <v>57</v>
      </c>
      <c r="Q227" s="73" t="s">
        <v>98</v>
      </c>
      <c r="R227" s="74"/>
      <c r="S227" s="228"/>
      <c r="T227" s="252" t="s">
        <v>790</v>
      </c>
      <c r="U227" s="73" t="s">
        <v>38</v>
      </c>
      <c r="V227" s="220">
        <v>46137</v>
      </c>
      <c r="W227" s="203" t="s">
        <v>791</v>
      </c>
      <c r="X227" s="227" t="s">
        <v>40</v>
      </c>
      <c r="Y227" s="249">
        <v>46139</v>
      </c>
      <c r="Z227" s="249">
        <v>46140</v>
      </c>
      <c r="AA227" s="224">
        <v>145891</v>
      </c>
      <c r="AB227" s="74"/>
      <c r="AC227" s="74"/>
      <c r="AD227" s="256">
        <v>0</v>
      </c>
    </row>
    <row r="228" spans="1:30" s="251" customFormat="1" ht="18" customHeight="1">
      <c r="A228" s="102">
        <v>29970</v>
      </c>
      <c r="B228" s="256">
        <v>1</v>
      </c>
      <c r="C228" s="201">
        <v>46132</v>
      </c>
      <c r="D228" s="105">
        <f t="shared" ca="1" si="9"/>
        <v>95</v>
      </c>
      <c r="E228" s="138" t="str">
        <f t="shared" si="8"/>
        <v>ADMITIDO</v>
      </c>
      <c r="F228" s="117" t="s">
        <v>42</v>
      </c>
      <c r="G228" s="147" t="s">
        <v>69</v>
      </c>
      <c r="H228" s="117" t="s">
        <v>40</v>
      </c>
      <c r="I228" s="117" t="str">
        <f>IF(X228="ADMITIDO","ADMITIDO",IF(X228="CANCELADA","CANCELADA",IF(H228="","",IFERROR(_xlfn.XLOOKUP(H228,Listas!I:I,Listas!J:J),"OUTROS"))))</f>
        <v>ADMITIDO</v>
      </c>
      <c r="J228" s="248" t="s">
        <v>53</v>
      </c>
      <c r="K228" s="73" t="s">
        <v>158</v>
      </c>
      <c r="L228" s="73" t="s">
        <v>658</v>
      </c>
      <c r="M228" s="73"/>
      <c r="N228" s="73" t="s">
        <v>33</v>
      </c>
      <c r="O228" s="73" t="s">
        <v>34</v>
      </c>
      <c r="P228" s="73" t="s">
        <v>57</v>
      </c>
      <c r="Q228" s="73" t="s">
        <v>98</v>
      </c>
      <c r="R228" s="74"/>
      <c r="S228" s="228"/>
      <c r="T228" s="229" t="s">
        <v>792</v>
      </c>
      <c r="U228" s="73" t="s">
        <v>67</v>
      </c>
      <c r="V228" s="220">
        <v>46146</v>
      </c>
      <c r="W228" s="203" t="s">
        <v>793</v>
      </c>
      <c r="X228" s="227" t="s">
        <v>40</v>
      </c>
      <c r="Y228" s="249">
        <v>46148</v>
      </c>
      <c r="Z228" s="249">
        <v>46150</v>
      </c>
      <c r="AA228" s="224">
        <v>145921</v>
      </c>
      <c r="AB228" s="74"/>
      <c r="AC228" s="74"/>
      <c r="AD228" s="256">
        <v>0</v>
      </c>
    </row>
    <row r="229" spans="1:30" s="251" customFormat="1" ht="18" customHeight="1">
      <c r="A229" s="102">
        <v>29958</v>
      </c>
      <c r="B229" s="256">
        <v>1</v>
      </c>
      <c r="C229" s="201">
        <v>46132</v>
      </c>
      <c r="D229" s="105">
        <f t="shared" ca="1" si="9"/>
        <v>95</v>
      </c>
      <c r="E229" s="138" t="str">
        <f t="shared" si="8"/>
        <v>ADMITIDO</v>
      </c>
      <c r="F229" s="117" t="s">
        <v>42</v>
      </c>
      <c r="G229" s="147" t="s">
        <v>240</v>
      </c>
      <c r="H229" s="117" t="s">
        <v>40</v>
      </c>
      <c r="I229" s="117" t="str">
        <f>IF(X229="ADMITIDO","ADMITIDO",IF(X229="CANCELADA","CANCELADA",IF(H229="","",IFERROR(_xlfn.XLOOKUP(H229,Listas!I:I,Listas!J:J),"OUTROS"))))</f>
        <v>ADMITIDO</v>
      </c>
      <c r="J229" s="248" t="s">
        <v>44</v>
      </c>
      <c r="K229" s="73" t="s">
        <v>241</v>
      </c>
      <c r="L229" s="73" t="s">
        <v>307</v>
      </c>
      <c r="M229" s="73"/>
      <c r="N229" s="73" t="s">
        <v>243</v>
      </c>
      <c r="O229" s="73" t="s">
        <v>34</v>
      </c>
      <c r="P229" s="73" t="s">
        <v>57</v>
      </c>
      <c r="Q229" s="73" t="s">
        <v>309</v>
      </c>
      <c r="R229" s="74" t="s">
        <v>794</v>
      </c>
      <c r="S229" s="228"/>
      <c r="T229" s="252" t="s">
        <v>795</v>
      </c>
      <c r="U229" s="73" t="s">
        <v>76</v>
      </c>
      <c r="V229" s="220">
        <v>46153</v>
      </c>
      <c r="W229" s="118" t="s">
        <v>796</v>
      </c>
      <c r="X229" s="117" t="s">
        <v>40</v>
      </c>
      <c r="Y229" s="249">
        <v>46155</v>
      </c>
      <c r="Z229" s="249">
        <v>46160</v>
      </c>
      <c r="AA229" s="224">
        <v>145955</v>
      </c>
      <c r="AB229" s="203" t="s">
        <v>797</v>
      </c>
      <c r="AC229" s="203"/>
      <c r="AD229" s="256">
        <v>0</v>
      </c>
    </row>
    <row r="230" spans="1:30" s="251" customFormat="1" ht="18" customHeight="1">
      <c r="A230" s="102">
        <v>29981</v>
      </c>
      <c r="B230" s="256">
        <v>1</v>
      </c>
      <c r="C230" s="201">
        <v>46132</v>
      </c>
      <c r="D230" s="105">
        <f t="shared" ca="1" si="9"/>
        <v>95</v>
      </c>
      <c r="E230" s="138" t="str">
        <f t="shared" si="8"/>
        <v>ADMITIDO</v>
      </c>
      <c r="F230" s="117" t="s">
        <v>28</v>
      </c>
      <c r="G230" s="147" t="s">
        <v>145</v>
      </c>
      <c r="H230" s="117" t="s">
        <v>40</v>
      </c>
      <c r="I230" s="117" t="str">
        <f>IF(X230="ADMITIDO","ADMITIDO",IF(X230="CANCELADA","CANCELADA",IF(H230="","",IFERROR(_xlfn.XLOOKUP(H230,Listas!I:I,Listas!J:J),"OUTROS"))))</f>
        <v>ADMITIDO</v>
      </c>
      <c r="J230" s="248" t="s">
        <v>268</v>
      </c>
      <c r="K230" s="73" t="s">
        <v>173</v>
      </c>
      <c r="L230" s="73" t="s">
        <v>798</v>
      </c>
      <c r="M230" s="73"/>
      <c r="N230" s="73" t="s">
        <v>175</v>
      </c>
      <c r="O230" s="73" t="s">
        <v>56</v>
      </c>
      <c r="P230" s="73" t="s">
        <v>35</v>
      </c>
      <c r="Q230" s="73" t="s">
        <v>176</v>
      </c>
      <c r="R230" s="74"/>
      <c r="S230" s="228"/>
      <c r="T230" s="229" t="s">
        <v>799</v>
      </c>
      <c r="U230" s="73" t="s">
        <v>67</v>
      </c>
      <c r="V230" s="220">
        <v>46140</v>
      </c>
      <c r="W230" s="203" t="s">
        <v>800</v>
      </c>
      <c r="X230" s="227" t="s">
        <v>40</v>
      </c>
      <c r="Y230" s="249">
        <v>46147</v>
      </c>
      <c r="Z230" s="249">
        <v>46149</v>
      </c>
      <c r="AA230" s="224">
        <v>914216</v>
      </c>
      <c r="AB230" s="74"/>
      <c r="AC230" s="74"/>
      <c r="AD230" s="256">
        <v>0</v>
      </c>
    </row>
    <row r="231" spans="1:30" s="251" customFormat="1" ht="18" customHeight="1">
      <c r="A231" s="122">
        <v>29975</v>
      </c>
      <c r="B231" s="256">
        <v>1</v>
      </c>
      <c r="C231" s="201">
        <v>46132</v>
      </c>
      <c r="D231" s="105">
        <f t="shared" ca="1" si="9"/>
        <v>95</v>
      </c>
      <c r="E231" s="138" t="str">
        <f t="shared" si="8"/>
        <v>ADMITIDO</v>
      </c>
      <c r="F231" s="117" t="s">
        <v>28</v>
      </c>
      <c r="G231" s="147" t="s">
        <v>60</v>
      </c>
      <c r="H231" s="117" t="s">
        <v>40</v>
      </c>
      <c r="I231" s="117" t="str">
        <f>IF(X231="ADMITIDO","ADMITIDO",IF(X231="CANCELADA","CANCELADA",IF(H231="","",IFERROR(_xlfn.XLOOKUP(H231,Listas!I:I,Listas!J:J),"OUTROS"))))</f>
        <v>ADMITIDO</v>
      </c>
      <c r="J231" s="248" t="s">
        <v>586</v>
      </c>
      <c r="K231" s="73" t="s">
        <v>360</v>
      </c>
      <c r="L231" s="73" t="s">
        <v>801</v>
      </c>
      <c r="M231" s="73"/>
      <c r="N231" s="73" t="s">
        <v>802</v>
      </c>
      <c r="O231" s="73" t="s">
        <v>34</v>
      </c>
      <c r="P231" s="73" t="s">
        <v>35</v>
      </c>
      <c r="Q231" s="73" t="s">
        <v>36</v>
      </c>
      <c r="R231" s="74" t="s">
        <v>803</v>
      </c>
      <c r="S231" s="228"/>
      <c r="T231" s="229" t="s">
        <v>804</v>
      </c>
      <c r="U231" s="73" t="s">
        <v>67</v>
      </c>
      <c r="V231" s="220">
        <v>46148</v>
      </c>
      <c r="W231" s="118" t="s">
        <v>805</v>
      </c>
      <c r="X231" s="117" t="s">
        <v>40</v>
      </c>
      <c r="Y231" s="249">
        <v>46153</v>
      </c>
      <c r="Z231" s="249">
        <v>46155</v>
      </c>
      <c r="AA231" s="224">
        <v>914263</v>
      </c>
      <c r="AB231" s="74"/>
      <c r="AC231" s="74"/>
      <c r="AD231" s="256">
        <v>0</v>
      </c>
    </row>
    <row r="232" spans="1:30" s="251" customFormat="1" ht="18" customHeight="1">
      <c r="A232" s="102">
        <v>29967</v>
      </c>
      <c r="B232" s="256">
        <v>1</v>
      </c>
      <c r="C232" s="201">
        <v>46132</v>
      </c>
      <c r="D232" s="105">
        <f t="shared" ca="1" si="9"/>
        <v>95</v>
      </c>
      <c r="E232" s="138" t="str">
        <f t="shared" si="8"/>
        <v>ADMITIDO</v>
      </c>
      <c r="F232" s="117" t="s">
        <v>28</v>
      </c>
      <c r="G232" s="147" t="s">
        <v>145</v>
      </c>
      <c r="H232" s="117" t="s">
        <v>40</v>
      </c>
      <c r="I232" s="117" t="str">
        <f>IF(X232="ADMITIDO","ADMITIDO",IF(X232="CANCELADA","CANCELADA",IF(H232="","",IFERROR(_xlfn.XLOOKUP(H232,Listas!I:I,Listas!J:J),"OUTROS"))))</f>
        <v>ADMITIDO</v>
      </c>
      <c r="J232" s="248" t="s">
        <v>268</v>
      </c>
      <c r="K232" s="73" t="s">
        <v>423</v>
      </c>
      <c r="L232" s="73" t="s">
        <v>424</v>
      </c>
      <c r="M232" s="73"/>
      <c r="N232" s="73" t="s">
        <v>243</v>
      </c>
      <c r="O232" s="73" t="s">
        <v>34</v>
      </c>
      <c r="P232" s="73" t="s">
        <v>35</v>
      </c>
      <c r="Q232" s="73" t="s">
        <v>36</v>
      </c>
      <c r="R232" s="74"/>
      <c r="S232" s="228"/>
      <c r="T232" s="229"/>
      <c r="U232" s="73" t="s">
        <v>76</v>
      </c>
      <c r="V232" s="220">
        <v>46147</v>
      </c>
      <c r="W232" s="203" t="s">
        <v>806</v>
      </c>
      <c r="X232" s="117" t="s">
        <v>40</v>
      </c>
      <c r="Y232" s="249">
        <v>46153</v>
      </c>
      <c r="Z232" s="249">
        <v>46155</v>
      </c>
      <c r="AA232" s="224">
        <v>914248</v>
      </c>
      <c r="AB232" s="74"/>
      <c r="AC232" s="74"/>
      <c r="AD232" s="256">
        <v>0</v>
      </c>
    </row>
    <row r="233" spans="1:30" s="251" customFormat="1" ht="18" customHeight="1">
      <c r="A233" s="122">
        <v>29960</v>
      </c>
      <c r="B233" s="256">
        <v>1</v>
      </c>
      <c r="C233" s="201">
        <v>46132</v>
      </c>
      <c r="D233" s="105">
        <f ca="1">TODAY()-C233</f>
        <v>95</v>
      </c>
      <c r="E233" s="138" t="str">
        <f t="shared" si="8"/>
        <v>CANCELADA</v>
      </c>
      <c r="F233" s="117" t="s">
        <v>42</v>
      </c>
      <c r="G233" s="117" t="s">
        <v>29</v>
      </c>
      <c r="H233" s="117" t="s">
        <v>52</v>
      </c>
      <c r="I233" s="117" t="str">
        <f>IF(X233="ADMITIDO","ADMITIDO",IF(X233="CANCELADA","CANCELADA",IF(H233="","",IFERROR(_xlfn.XLOOKUP(H233,Listas!I:I,Listas!J:J),"OUTROS"))))</f>
        <v>CANCELADA</v>
      </c>
      <c r="J233" s="248" t="s">
        <v>44</v>
      </c>
      <c r="K233" s="73" t="s">
        <v>228</v>
      </c>
      <c r="L233" s="73" t="s">
        <v>807</v>
      </c>
      <c r="M233" s="73"/>
      <c r="N233" s="73" t="s">
        <v>88</v>
      </c>
      <c r="O233" s="73" t="s">
        <v>34</v>
      </c>
      <c r="P233" s="73" t="s">
        <v>57</v>
      </c>
      <c r="Q233" s="73" t="s">
        <v>94</v>
      </c>
      <c r="R233" s="74"/>
      <c r="S233" s="228"/>
      <c r="T233" s="229" t="s">
        <v>808</v>
      </c>
      <c r="U233" s="73"/>
      <c r="V233" s="220"/>
      <c r="W233" s="203"/>
      <c r="X233" s="227" t="s">
        <v>52</v>
      </c>
      <c r="Y233" s="249"/>
      <c r="Z233" s="249"/>
      <c r="AA233" s="224"/>
      <c r="AB233" s="74" t="s">
        <v>1361</v>
      </c>
      <c r="AC233" s="74" t="s">
        <v>1362</v>
      </c>
      <c r="AD233" s="256">
        <v>0</v>
      </c>
    </row>
    <row r="234" spans="1:30" s="251" customFormat="1" ht="18" customHeight="1">
      <c r="A234" s="102">
        <v>29966</v>
      </c>
      <c r="B234" s="256">
        <v>1</v>
      </c>
      <c r="C234" s="201">
        <v>46132</v>
      </c>
      <c r="D234" s="105">
        <f t="shared" ca="1" si="9"/>
        <v>95</v>
      </c>
      <c r="E234" s="138" t="str">
        <f t="shared" si="8"/>
        <v>CANCELADA</v>
      </c>
      <c r="F234" s="117" t="s">
        <v>42</v>
      </c>
      <c r="G234" s="117" t="s">
        <v>60</v>
      </c>
      <c r="H234" s="117" t="s">
        <v>52</v>
      </c>
      <c r="I234" s="117" t="str">
        <f>IF(X234="ADMITIDO","ADMITIDO",IF(X234="CANCELADA","CANCELADA",IF(H234="","",IFERROR(_xlfn.XLOOKUP(H234,Listas!I:I,Listas!J:J),"OUTROS"))))</f>
        <v>CANCELADA</v>
      </c>
      <c r="J234" s="248" t="s">
        <v>163</v>
      </c>
      <c r="K234" s="73" t="s">
        <v>61</v>
      </c>
      <c r="L234" s="73" t="s">
        <v>600</v>
      </c>
      <c r="M234" s="73"/>
      <c r="N234" s="73" t="s">
        <v>63</v>
      </c>
      <c r="O234" s="73" t="s">
        <v>34</v>
      </c>
      <c r="P234" s="73" t="s">
        <v>57</v>
      </c>
      <c r="Q234" s="73" t="s">
        <v>98</v>
      </c>
      <c r="R234" s="74"/>
      <c r="S234" s="228"/>
      <c r="T234" s="229"/>
      <c r="U234" s="73"/>
      <c r="V234" s="220"/>
      <c r="W234" s="203"/>
      <c r="X234" s="227" t="s">
        <v>52</v>
      </c>
      <c r="Y234" s="249"/>
      <c r="Z234" s="249"/>
      <c r="AA234" s="224"/>
      <c r="AB234" s="74"/>
      <c r="AC234" s="74"/>
      <c r="AD234" s="256">
        <v>0</v>
      </c>
    </row>
    <row r="235" spans="1:30" s="251" customFormat="1" ht="18" customHeight="1">
      <c r="A235" s="122">
        <v>29977</v>
      </c>
      <c r="B235" s="256">
        <v>1</v>
      </c>
      <c r="C235" s="201">
        <v>46132</v>
      </c>
      <c r="D235" s="105">
        <f t="shared" ca="1" si="9"/>
        <v>95</v>
      </c>
      <c r="E235" s="138" t="str">
        <f t="shared" si="8"/>
        <v>ADMITIDO</v>
      </c>
      <c r="F235" s="117" t="s">
        <v>171</v>
      </c>
      <c r="G235" s="147" t="s">
        <v>43</v>
      </c>
      <c r="H235" s="117" t="s">
        <v>40</v>
      </c>
      <c r="I235" s="117" t="str">
        <f>IF(X235="ADMITIDO","ADMITIDO",IF(X235="CANCELADA","CANCELADA",IF(H235="","",IFERROR(_xlfn.XLOOKUP(H235,Listas!I:I,Listas!J:J),"OUTROS"))))</f>
        <v>ADMITIDO</v>
      </c>
      <c r="J235" s="248" t="s">
        <v>172</v>
      </c>
      <c r="K235" s="73" t="s">
        <v>360</v>
      </c>
      <c r="L235" s="73" t="s">
        <v>696</v>
      </c>
      <c r="M235" s="73"/>
      <c r="N235" s="73" t="s">
        <v>337</v>
      </c>
      <c r="O235" s="73" t="s">
        <v>34</v>
      </c>
      <c r="P235" s="73" t="s">
        <v>35</v>
      </c>
      <c r="Q235" s="73" t="s">
        <v>36</v>
      </c>
      <c r="R235" s="262" t="s">
        <v>811</v>
      </c>
      <c r="S235" s="228"/>
      <c r="T235" s="252" t="s">
        <v>1363</v>
      </c>
      <c r="U235" s="73" t="s">
        <v>50</v>
      </c>
      <c r="V235" s="220">
        <v>46171</v>
      </c>
      <c r="W235" s="203" t="s">
        <v>1364</v>
      </c>
      <c r="X235" s="119" t="s">
        <v>40</v>
      </c>
      <c r="Y235" s="249">
        <v>46192</v>
      </c>
      <c r="Z235" s="249">
        <v>46192</v>
      </c>
      <c r="AA235" s="224"/>
      <c r="AB235" s="74" t="s">
        <v>1365</v>
      </c>
      <c r="AC235" s="74"/>
      <c r="AD235" s="256">
        <v>0</v>
      </c>
    </row>
    <row r="236" spans="1:30" s="251" customFormat="1" ht="18" customHeight="1">
      <c r="A236" s="102">
        <v>29963</v>
      </c>
      <c r="B236" s="256">
        <v>1</v>
      </c>
      <c r="C236" s="201">
        <v>46132</v>
      </c>
      <c r="D236" s="105">
        <f t="shared" ca="1" si="9"/>
        <v>95</v>
      </c>
      <c r="E236" s="138" t="str">
        <f t="shared" si="8"/>
        <v>CANCELADA</v>
      </c>
      <c r="F236" s="117" t="s">
        <v>42</v>
      </c>
      <c r="G236" s="117" t="s">
        <v>60</v>
      </c>
      <c r="H236" s="117" t="s">
        <v>52</v>
      </c>
      <c r="I236" s="117" t="str">
        <f>IF(X236="ADMITIDO","ADMITIDO",IF(X236="CANCELADA","CANCELADA",IF(H236="","",IFERROR(_xlfn.XLOOKUP(H236,Listas!I:I,Listas!J:J),"OUTROS"))))</f>
        <v>CANCELADA</v>
      </c>
      <c r="J236" s="248" t="s">
        <v>163</v>
      </c>
      <c r="K236" s="73" t="s">
        <v>61</v>
      </c>
      <c r="L236" s="73" t="s">
        <v>255</v>
      </c>
      <c r="M236" s="73"/>
      <c r="N236" s="73" t="s">
        <v>63</v>
      </c>
      <c r="O236" s="73" t="s">
        <v>34</v>
      </c>
      <c r="P236" s="73" t="s">
        <v>219</v>
      </c>
      <c r="Q236" s="73" t="s">
        <v>73</v>
      </c>
      <c r="R236" s="74"/>
      <c r="S236" s="228"/>
      <c r="T236" s="229"/>
      <c r="U236" s="73"/>
      <c r="V236" s="220"/>
      <c r="W236" s="203"/>
      <c r="X236" s="227" t="s">
        <v>52</v>
      </c>
      <c r="Y236" s="249"/>
      <c r="Z236" s="249"/>
      <c r="AA236" s="224"/>
      <c r="AB236" s="74"/>
      <c r="AC236" s="74"/>
      <c r="AD236" s="256">
        <v>0</v>
      </c>
    </row>
    <row r="237" spans="1:30" s="251" customFormat="1" ht="18" customHeight="1">
      <c r="A237" s="102">
        <v>29980</v>
      </c>
      <c r="B237" s="256">
        <v>1</v>
      </c>
      <c r="C237" s="201">
        <v>46132</v>
      </c>
      <c r="D237" s="105">
        <f t="shared" ca="1" si="9"/>
        <v>95</v>
      </c>
      <c r="E237" s="138" t="str">
        <f t="shared" si="8"/>
        <v>ADMITIDO</v>
      </c>
      <c r="F237" s="117" t="s">
        <v>28</v>
      </c>
      <c r="G237" s="147" t="s">
        <v>145</v>
      </c>
      <c r="H237" s="117" t="s">
        <v>40</v>
      </c>
      <c r="I237" s="117" t="str">
        <f>IF(X237="ADMITIDO","ADMITIDO",IF(X237="CANCELADA","CANCELADA",IF(H237="","",IFERROR(_xlfn.XLOOKUP(H237,Listas!I:I,Listas!J:J),"OUTROS"))))</f>
        <v>ADMITIDO</v>
      </c>
      <c r="J237" s="248" t="s">
        <v>268</v>
      </c>
      <c r="K237" s="73" t="s">
        <v>360</v>
      </c>
      <c r="L237" s="73" t="s">
        <v>812</v>
      </c>
      <c r="M237" s="73"/>
      <c r="N237" s="73" t="s">
        <v>529</v>
      </c>
      <c r="O237" s="73" t="s">
        <v>34</v>
      </c>
      <c r="P237" s="73" t="s">
        <v>35</v>
      </c>
      <c r="Q237" s="73" t="s">
        <v>813</v>
      </c>
      <c r="R237" s="74"/>
      <c r="S237" s="228"/>
      <c r="T237" s="229" t="s">
        <v>1366</v>
      </c>
      <c r="U237" s="73" t="s">
        <v>67</v>
      </c>
      <c r="V237" s="220">
        <v>46171</v>
      </c>
      <c r="W237" s="203" t="s">
        <v>1367</v>
      </c>
      <c r="X237" s="227" t="s">
        <v>40</v>
      </c>
      <c r="Y237" s="249">
        <v>46184</v>
      </c>
      <c r="Z237" s="249">
        <v>46184</v>
      </c>
      <c r="AA237" s="224">
        <v>914405</v>
      </c>
      <c r="AB237" s="74" t="s">
        <v>1368</v>
      </c>
      <c r="AC237" s="74"/>
      <c r="AD237" s="256">
        <v>0</v>
      </c>
    </row>
    <row r="238" spans="1:30" s="251" customFormat="1" ht="18" customHeight="1">
      <c r="A238" s="102">
        <v>29965</v>
      </c>
      <c r="B238" s="256">
        <v>1</v>
      </c>
      <c r="C238" s="201">
        <v>46132</v>
      </c>
      <c r="D238" s="105">
        <f t="shared" ca="1" si="9"/>
        <v>95</v>
      </c>
      <c r="E238" s="138" t="str">
        <f t="shared" si="8"/>
        <v>ADMITIDO</v>
      </c>
      <c r="F238" s="117" t="s">
        <v>28</v>
      </c>
      <c r="G238" s="117" t="s">
        <v>145</v>
      </c>
      <c r="H238" s="117" t="s">
        <v>40</v>
      </c>
      <c r="I238" s="117" t="str">
        <f>IF(X238="ADMITIDO","ADMITIDO",IF(X238="CANCELADA","CANCELADA",IF(H238="","",IFERROR(_xlfn.XLOOKUP(H238,Listas!I:I,Listas!J:J),"OUTROS"))))</f>
        <v>ADMITIDO</v>
      </c>
      <c r="J238" s="248" t="s">
        <v>268</v>
      </c>
      <c r="K238" s="73" t="s">
        <v>285</v>
      </c>
      <c r="L238" s="73" t="s">
        <v>814</v>
      </c>
      <c r="M238" s="73"/>
      <c r="N238" s="73" t="s">
        <v>33</v>
      </c>
      <c r="O238" s="73" t="s">
        <v>34</v>
      </c>
      <c r="P238" s="73" t="s">
        <v>35</v>
      </c>
      <c r="Q238" s="73" t="s">
        <v>287</v>
      </c>
      <c r="R238" s="74"/>
      <c r="S238" s="228"/>
      <c r="T238" s="229"/>
      <c r="U238" s="73" t="s">
        <v>132</v>
      </c>
      <c r="V238" s="220">
        <v>46129</v>
      </c>
      <c r="W238" s="203" t="s">
        <v>815</v>
      </c>
      <c r="X238" s="119" t="s">
        <v>40</v>
      </c>
      <c r="Y238" s="249">
        <v>46135</v>
      </c>
      <c r="Z238" s="249">
        <v>46136</v>
      </c>
      <c r="AA238" s="224">
        <v>914171</v>
      </c>
      <c r="AB238" s="74"/>
      <c r="AC238" s="74"/>
      <c r="AD238" s="256">
        <v>0</v>
      </c>
    </row>
    <row r="239" spans="1:30" s="251" customFormat="1" ht="18" customHeight="1">
      <c r="A239" s="102">
        <v>29962</v>
      </c>
      <c r="B239" s="256">
        <v>1</v>
      </c>
      <c r="C239" s="201">
        <v>46132</v>
      </c>
      <c r="D239" s="105">
        <f t="shared" ca="1" si="9"/>
        <v>95</v>
      </c>
      <c r="E239" s="138" t="str">
        <f t="shared" si="8"/>
        <v>ADMITIDO</v>
      </c>
      <c r="F239" s="117" t="s">
        <v>28</v>
      </c>
      <c r="G239" s="117" t="s">
        <v>145</v>
      </c>
      <c r="H239" s="117" t="s">
        <v>40</v>
      </c>
      <c r="I239" s="117" t="str">
        <f>IF(X239="ADMITIDO","ADMITIDO",IF(X239="CANCELADA","CANCELADA",IF(H239="","",IFERROR(_xlfn.XLOOKUP(H239,Listas!I:I,Listas!J:J),"OUTROS"))))</f>
        <v>ADMITIDO</v>
      </c>
      <c r="J239" s="248" t="s">
        <v>268</v>
      </c>
      <c r="K239" s="73" t="s">
        <v>383</v>
      </c>
      <c r="L239" s="73" t="s">
        <v>814</v>
      </c>
      <c r="M239" s="73"/>
      <c r="N239" s="73" t="s">
        <v>33</v>
      </c>
      <c r="O239" s="73" t="s">
        <v>56</v>
      </c>
      <c r="P239" s="73" t="s">
        <v>35</v>
      </c>
      <c r="Q239" s="73" t="s">
        <v>176</v>
      </c>
      <c r="R239" s="74"/>
      <c r="S239" s="228"/>
      <c r="T239" s="229"/>
      <c r="U239" s="73" t="s">
        <v>132</v>
      </c>
      <c r="V239" s="220">
        <v>46129</v>
      </c>
      <c r="W239" s="203" t="s">
        <v>816</v>
      </c>
      <c r="X239" s="119" t="s">
        <v>40</v>
      </c>
      <c r="Y239" s="249">
        <v>46135</v>
      </c>
      <c r="Z239" s="249">
        <v>46136</v>
      </c>
      <c r="AA239" s="224">
        <v>914170</v>
      </c>
      <c r="AB239" s="74"/>
      <c r="AC239" s="74"/>
      <c r="AD239" s="256">
        <v>0</v>
      </c>
    </row>
    <row r="240" spans="1:30" s="251" customFormat="1" ht="18" customHeight="1">
      <c r="A240" s="122">
        <v>29974</v>
      </c>
      <c r="B240" s="256">
        <v>1</v>
      </c>
      <c r="C240" s="201">
        <v>46132</v>
      </c>
      <c r="D240" s="105">
        <f t="shared" ca="1" si="9"/>
        <v>95</v>
      </c>
      <c r="E240" s="138" t="str">
        <f t="shared" si="8"/>
        <v>ADMITIDO</v>
      </c>
      <c r="F240" s="117" t="s">
        <v>42</v>
      </c>
      <c r="G240" s="147" t="s">
        <v>43</v>
      </c>
      <c r="H240" s="117" t="s">
        <v>40</v>
      </c>
      <c r="I240" s="117" t="str">
        <f>IF(X240="ADMITIDO","ADMITIDO",IF(X240="CANCELADA","CANCELADA",IF(H240="","",IFERROR(_xlfn.XLOOKUP(H240,Listas!I:I,Listas!J:J),"OUTROS"))))</f>
        <v>ADMITIDO</v>
      </c>
      <c r="J240" s="248" t="s">
        <v>53</v>
      </c>
      <c r="K240" s="73" t="s">
        <v>45</v>
      </c>
      <c r="L240" s="73" t="s">
        <v>402</v>
      </c>
      <c r="M240" s="73"/>
      <c r="N240" s="73" t="s">
        <v>33</v>
      </c>
      <c r="O240" s="73" t="s">
        <v>34</v>
      </c>
      <c r="P240" s="73" t="s">
        <v>57</v>
      </c>
      <c r="Q240" s="73" t="s">
        <v>98</v>
      </c>
      <c r="R240" s="74"/>
      <c r="S240" s="228" t="s">
        <v>817</v>
      </c>
      <c r="T240" s="252">
        <v>11940541302</v>
      </c>
      <c r="U240" s="73" t="s">
        <v>50</v>
      </c>
      <c r="V240" s="220">
        <v>46134</v>
      </c>
      <c r="W240" s="203" t="s">
        <v>818</v>
      </c>
      <c r="X240" s="119" t="s">
        <v>40</v>
      </c>
      <c r="Y240" s="249">
        <v>46141</v>
      </c>
      <c r="Z240" s="249">
        <v>46142</v>
      </c>
      <c r="AA240" s="224">
        <v>145900</v>
      </c>
      <c r="AB240" s="74"/>
      <c r="AC240" s="74"/>
      <c r="AD240" s="256">
        <v>0</v>
      </c>
    </row>
    <row r="241" spans="1:30" s="251" customFormat="1" ht="18" customHeight="1">
      <c r="A241" s="102">
        <v>29968</v>
      </c>
      <c r="B241" s="256">
        <v>1</v>
      </c>
      <c r="C241" s="201">
        <v>46132</v>
      </c>
      <c r="D241" s="105">
        <f t="shared" ca="1" si="9"/>
        <v>95</v>
      </c>
      <c r="E241" s="138" t="str">
        <f t="shared" si="8"/>
        <v>CANCELADA</v>
      </c>
      <c r="F241" s="117" t="s">
        <v>28</v>
      </c>
      <c r="G241" s="147" t="s">
        <v>240</v>
      </c>
      <c r="H241" s="117" t="s">
        <v>52</v>
      </c>
      <c r="I241" s="117" t="str">
        <f>IF(X241="ADMITIDO","ADMITIDO",IF(X241="CANCELADA","CANCELADA",IF(H241="","",IFERROR(_xlfn.XLOOKUP(H241,Listas!I:I,Listas!J:J),"OUTROS"))))</f>
        <v>CANCELADA</v>
      </c>
      <c r="J241" s="248" t="s">
        <v>819</v>
      </c>
      <c r="K241" s="73" t="s">
        <v>423</v>
      </c>
      <c r="L241" s="73" t="s">
        <v>62</v>
      </c>
      <c r="M241" s="73"/>
      <c r="N241" s="73" t="s">
        <v>63</v>
      </c>
      <c r="O241" s="73" t="s">
        <v>34</v>
      </c>
      <c r="P241" s="73" t="s">
        <v>57</v>
      </c>
      <c r="Q241" s="73" t="s">
        <v>151</v>
      </c>
      <c r="R241" s="74" t="s">
        <v>820</v>
      </c>
      <c r="S241" s="228"/>
      <c r="T241" s="229"/>
      <c r="U241" s="73"/>
      <c r="V241" s="220"/>
      <c r="W241" s="203"/>
      <c r="X241" s="227" t="s">
        <v>52</v>
      </c>
      <c r="Y241" s="249"/>
      <c r="Z241" s="249"/>
      <c r="AA241" s="224"/>
      <c r="AB241" s="74"/>
      <c r="AC241" s="74"/>
      <c r="AD241" s="256">
        <v>0</v>
      </c>
    </row>
    <row r="242" spans="1:30" s="251" customFormat="1" ht="18" customHeight="1">
      <c r="A242" s="122">
        <v>30008</v>
      </c>
      <c r="B242" s="256">
        <v>1</v>
      </c>
      <c r="C242" s="201">
        <v>46134</v>
      </c>
      <c r="D242" s="105">
        <f t="shared" ca="1" si="9"/>
        <v>93</v>
      </c>
      <c r="E242" s="138" t="str">
        <f t="shared" si="8"/>
        <v>ADMITIDO</v>
      </c>
      <c r="F242" s="117" t="s">
        <v>119</v>
      </c>
      <c r="G242" s="117" t="s">
        <v>821</v>
      </c>
      <c r="H242" s="117" t="s">
        <v>40</v>
      </c>
      <c r="I242" s="117" t="str">
        <f>IF(X242="ADMITIDO","ADMITIDO",IF(X242="CANCELADA","CANCELADA",IF(H242="","",IFERROR(_xlfn.XLOOKUP(H242,Listas!I:I,Listas!J:J),"OUTROS"))))</f>
        <v>ADMITIDO</v>
      </c>
      <c r="J242" s="248" t="s">
        <v>823</v>
      </c>
      <c r="K242" s="73" t="s">
        <v>824</v>
      </c>
      <c r="L242" s="73" t="s">
        <v>825</v>
      </c>
      <c r="M242" s="73"/>
      <c r="N242" s="73" t="s">
        <v>63</v>
      </c>
      <c r="O242" s="73" t="s">
        <v>34</v>
      </c>
      <c r="P242" s="73" t="s">
        <v>48</v>
      </c>
      <c r="Q242" s="73" t="s">
        <v>441</v>
      </c>
      <c r="R242" s="74"/>
      <c r="S242" s="228"/>
      <c r="T242" s="252"/>
      <c r="U242" s="73" t="s">
        <v>132</v>
      </c>
      <c r="V242" s="220">
        <v>46161</v>
      </c>
      <c r="W242" s="118" t="s">
        <v>1369</v>
      </c>
      <c r="X242" s="119" t="s">
        <v>40</v>
      </c>
      <c r="Y242" s="249">
        <v>46167</v>
      </c>
      <c r="Z242" s="249">
        <v>46167</v>
      </c>
      <c r="AA242" s="224">
        <v>146011</v>
      </c>
      <c r="AB242" s="74"/>
      <c r="AC242" s="74"/>
      <c r="AD242" s="256">
        <v>0</v>
      </c>
    </row>
    <row r="243" spans="1:30" s="251" customFormat="1" ht="18" customHeight="1">
      <c r="A243" s="122">
        <v>30000</v>
      </c>
      <c r="B243" s="256">
        <v>1</v>
      </c>
      <c r="C243" s="201">
        <v>46134</v>
      </c>
      <c r="D243" s="105">
        <f t="shared" ca="1" si="9"/>
        <v>93</v>
      </c>
      <c r="E243" s="138" t="str">
        <f t="shared" si="8"/>
        <v>ADMITIDO</v>
      </c>
      <c r="F243" s="117" t="s">
        <v>119</v>
      </c>
      <c r="G243" s="117" t="s">
        <v>145</v>
      </c>
      <c r="H243" s="117" t="s">
        <v>40</v>
      </c>
      <c r="I243" s="117" t="str">
        <f>IF(X243="ADMITIDO","ADMITIDO",IF(X243="CANCELADA","CANCELADA",IF(H243="","",IFERROR(_xlfn.XLOOKUP(H243,Listas!I:I,Listas!J:J),"OUTROS"))))</f>
        <v>ADMITIDO</v>
      </c>
      <c r="J243" s="248" t="s">
        <v>826</v>
      </c>
      <c r="K243" s="73" t="s">
        <v>824</v>
      </c>
      <c r="L243" s="73" t="s">
        <v>825</v>
      </c>
      <c r="M243" s="73"/>
      <c r="N243" s="73" t="s">
        <v>63</v>
      </c>
      <c r="O243" s="73" t="s">
        <v>34</v>
      </c>
      <c r="P243" s="73" t="s">
        <v>48</v>
      </c>
      <c r="Q243" s="73" t="s">
        <v>827</v>
      </c>
      <c r="R243" s="74" t="s">
        <v>828</v>
      </c>
      <c r="S243" s="228"/>
      <c r="T243" s="229">
        <v>11956367224</v>
      </c>
      <c r="U243" s="73" t="s">
        <v>67</v>
      </c>
      <c r="V243" s="220">
        <v>46134</v>
      </c>
      <c r="W243" s="203" t="s">
        <v>829</v>
      </c>
      <c r="X243" s="119" t="s">
        <v>40</v>
      </c>
      <c r="Y243" s="249">
        <v>46139</v>
      </c>
      <c r="Z243" s="249">
        <v>46140</v>
      </c>
      <c r="AA243" s="224">
        <v>914172</v>
      </c>
      <c r="AB243" s="74"/>
      <c r="AC243" s="74"/>
      <c r="AD243" s="256">
        <v>0</v>
      </c>
    </row>
    <row r="244" spans="1:30" s="251" customFormat="1" ht="18" customHeight="1">
      <c r="A244" s="102">
        <v>30001</v>
      </c>
      <c r="B244" s="256">
        <v>1</v>
      </c>
      <c r="C244" s="201">
        <v>46134</v>
      </c>
      <c r="D244" s="105">
        <f t="shared" ca="1" si="9"/>
        <v>93</v>
      </c>
      <c r="E244" s="138" t="str">
        <f t="shared" si="8"/>
        <v>ADMITIDO</v>
      </c>
      <c r="F244" s="117" t="s">
        <v>119</v>
      </c>
      <c r="G244" s="117" t="s">
        <v>145</v>
      </c>
      <c r="H244" s="117" t="s">
        <v>40</v>
      </c>
      <c r="I244" s="117" t="str">
        <f>IF(X244="ADMITIDO","ADMITIDO",IF(X244="CANCELADA","CANCELADA",IF(H244="","",IFERROR(_xlfn.XLOOKUP(H244,Listas!I:I,Listas!J:J),"OUTROS"))))</f>
        <v>ADMITIDO</v>
      </c>
      <c r="J244" s="248" t="s">
        <v>826</v>
      </c>
      <c r="K244" s="73" t="s">
        <v>824</v>
      </c>
      <c r="L244" s="73" t="s">
        <v>825</v>
      </c>
      <c r="M244" s="73"/>
      <c r="N244" s="73" t="s">
        <v>63</v>
      </c>
      <c r="O244" s="73" t="s">
        <v>34</v>
      </c>
      <c r="P244" s="73" t="s">
        <v>48</v>
      </c>
      <c r="Q244" s="73" t="s">
        <v>830</v>
      </c>
      <c r="R244" s="74" t="s">
        <v>828</v>
      </c>
      <c r="S244" s="228"/>
      <c r="T244" s="229">
        <v>11918723022</v>
      </c>
      <c r="U244" s="73" t="s">
        <v>76</v>
      </c>
      <c r="V244" s="220">
        <v>46134</v>
      </c>
      <c r="W244" s="203" t="s">
        <v>831</v>
      </c>
      <c r="X244" s="119" t="s">
        <v>40</v>
      </c>
      <c r="Y244" s="249">
        <v>46139</v>
      </c>
      <c r="Z244" s="249">
        <v>46140</v>
      </c>
      <c r="AA244" s="224">
        <v>914175</v>
      </c>
      <c r="AB244" s="74" t="s">
        <v>832</v>
      </c>
      <c r="AC244" s="74"/>
      <c r="AD244" s="256">
        <v>0</v>
      </c>
    </row>
    <row r="245" spans="1:30" s="251" customFormat="1" ht="18" customHeight="1">
      <c r="A245" s="102">
        <v>29994</v>
      </c>
      <c r="B245" s="256">
        <v>1</v>
      </c>
      <c r="C245" s="201">
        <v>46134</v>
      </c>
      <c r="D245" s="105">
        <f t="shared" ca="1" si="9"/>
        <v>93</v>
      </c>
      <c r="E245" s="138" t="str">
        <f t="shared" si="8"/>
        <v>CANCELADA</v>
      </c>
      <c r="F245" s="117" t="s">
        <v>119</v>
      </c>
      <c r="G245" s="117" t="s">
        <v>821</v>
      </c>
      <c r="H245" s="117" t="s">
        <v>52</v>
      </c>
      <c r="I245" s="117" t="str">
        <f>IF(X245="ADMITIDO","ADMITIDO",IF(X245="CANCELADA","CANCELADA",IF(H245="","",IFERROR(_xlfn.XLOOKUP(H245,Listas!I:I,Listas!J:J),"OUTROS"))))</f>
        <v>CANCELADA</v>
      </c>
      <c r="J245" s="248" t="s">
        <v>834</v>
      </c>
      <c r="K245" s="73" t="s">
        <v>835</v>
      </c>
      <c r="L245" s="73" t="s">
        <v>836</v>
      </c>
      <c r="M245" s="73"/>
      <c r="N245" s="73" t="s">
        <v>63</v>
      </c>
      <c r="O245" s="73" t="s">
        <v>34</v>
      </c>
      <c r="P245" s="73" t="s">
        <v>48</v>
      </c>
      <c r="Q245" s="73" t="s">
        <v>441</v>
      </c>
      <c r="R245" s="263" t="s">
        <v>1370</v>
      </c>
      <c r="S245" s="228"/>
      <c r="T245" s="229"/>
      <c r="U245" s="73"/>
      <c r="V245" s="220"/>
      <c r="W245" s="203"/>
      <c r="X245" s="227"/>
      <c r="Y245" s="249"/>
      <c r="Z245" s="249"/>
      <c r="AA245" s="224"/>
      <c r="AB245" s="74" t="s">
        <v>1371</v>
      </c>
      <c r="AC245" s="74" t="s">
        <v>1372</v>
      </c>
      <c r="AD245" s="256">
        <v>0</v>
      </c>
    </row>
    <row r="246" spans="1:30" s="251" customFormat="1" ht="18" customHeight="1">
      <c r="A246" s="102">
        <v>31148</v>
      </c>
      <c r="B246" s="256">
        <v>1</v>
      </c>
      <c r="C246" s="201">
        <v>46134</v>
      </c>
      <c r="D246" s="367">
        <f t="shared" ca="1" si="9"/>
        <v>93</v>
      </c>
      <c r="E246" s="368" t="str">
        <f t="shared" ca="1" si="8"/>
        <v>CRÍTICO</v>
      </c>
      <c r="F246" s="146" t="s">
        <v>42</v>
      </c>
      <c r="G246" s="369" t="s">
        <v>43</v>
      </c>
      <c r="H246" s="146" t="s">
        <v>279</v>
      </c>
      <c r="I246" s="117" t="str">
        <f>IF(X246="ADMITIDO","ADMITIDO",IF(X246="CANCELADA","CANCELADA",IF(H246="","",IFERROR(_xlfn.XLOOKUP(H246,Listas!I:I,Listas!J:J),"OUTROS"))))</f>
        <v>DOCUMENTAÇÃO</v>
      </c>
      <c r="J246" s="264" t="s">
        <v>1373</v>
      </c>
      <c r="K246" s="73" t="s">
        <v>45</v>
      </c>
      <c r="L246" s="73" t="s">
        <v>377</v>
      </c>
      <c r="M246" s="73"/>
      <c r="N246" s="73" t="s">
        <v>378</v>
      </c>
      <c r="O246" s="73" t="s">
        <v>56</v>
      </c>
      <c r="P246" s="73" t="s">
        <v>35</v>
      </c>
      <c r="Q246" s="73" t="s">
        <v>176</v>
      </c>
      <c r="R246" s="74" t="s">
        <v>1374</v>
      </c>
      <c r="S246" s="228" t="s">
        <v>1375</v>
      </c>
      <c r="T246" s="229">
        <v>11943175567</v>
      </c>
      <c r="U246" s="73" t="s">
        <v>67</v>
      </c>
      <c r="V246" s="220">
        <v>46219</v>
      </c>
      <c r="W246" s="203" t="s">
        <v>1376</v>
      </c>
      <c r="X246" s="227" t="s">
        <v>188</v>
      </c>
      <c r="Y246" s="249">
        <v>46227</v>
      </c>
      <c r="Z246" s="249">
        <v>46229</v>
      </c>
      <c r="AA246" s="224">
        <v>146272</v>
      </c>
      <c r="AB246" s="74"/>
      <c r="AC246" s="74"/>
      <c r="AD246" s="256">
        <v>4</v>
      </c>
    </row>
    <row r="247" spans="1:30" s="251" customFormat="1" ht="18" customHeight="1">
      <c r="A247" s="102">
        <v>30003</v>
      </c>
      <c r="B247" s="256">
        <v>1</v>
      </c>
      <c r="C247" s="587">
        <v>46134</v>
      </c>
      <c r="D247" s="105">
        <f t="shared" ca="1" si="9"/>
        <v>93</v>
      </c>
      <c r="E247" s="138" t="str">
        <f t="shared" si="8"/>
        <v>ADMITIDO</v>
      </c>
      <c r="F247" s="117" t="s">
        <v>42</v>
      </c>
      <c r="G247" s="147" t="s">
        <v>43</v>
      </c>
      <c r="H247" s="117" t="s">
        <v>40</v>
      </c>
      <c r="I247" s="576" t="str">
        <f>IF(X247="ADMITIDO","ADMITIDO",IF(X247="CANCELADA","CANCELADA",IF(H247="","",IFERROR(_xlfn.XLOOKUP(H247,Listas!I:I,Listas!J:J),"OUTROS"))))</f>
        <v>ADMITIDO</v>
      </c>
      <c r="J247" s="248" t="s">
        <v>53</v>
      </c>
      <c r="K247" s="73" t="s">
        <v>45</v>
      </c>
      <c r="L247" s="73" t="s">
        <v>377</v>
      </c>
      <c r="M247" s="73"/>
      <c r="N247" s="73" t="s">
        <v>378</v>
      </c>
      <c r="O247" s="73" t="s">
        <v>56</v>
      </c>
      <c r="P247" s="73" t="s">
        <v>35</v>
      </c>
      <c r="Q247" s="73" t="s">
        <v>176</v>
      </c>
      <c r="R247" s="74"/>
      <c r="S247" s="228"/>
      <c r="T247" s="252">
        <v>11977283685</v>
      </c>
      <c r="U247" s="73" t="s">
        <v>50</v>
      </c>
      <c r="V247" s="220">
        <v>46142</v>
      </c>
      <c r="W247" s="203" t="s">
        <v>839</v>
      </c>
      <c r="X247" s="119" t="s">
        <v>40</v>
      </c>
      <c r="Y247" s="249">
        <v>46148</v>
      </c>
      <c r="Z247" s="249">
        <v>46149</v>
      </c>
      <c r="AA247" s="224">
        <v>145920</v>
      </c>
      <c r="AB247" s="74"/>
      <c r="AC247" s="74"/>
      <c r="AD247" s="256">
        <v>0</v>
      </c>
    </row>
    <row r="248" spans="1:30" s="251" customFormat="1" ht="18" customHeight="1">
      <c r="A248" s="102">
        <v>30004</v>
      </c>
      <c r="B248" s="256">
        <v>1</v>
      </c>
      <c r="C248" s="587">
        <v>46134</v>
      </c>
      <c r="D248" s="105">
        <f t="shared" ca="1" si="9"/>
        <v>93</v>
      </c>
      <c r="E248" s="138" t="str">
        <f t="shared" si="8"/>
        <v>ADMITIDO</v>
      </c>
      <c r="F248" s="117" t="s">
        <v>42</v>
      </c>
      <c r="G248" s="147" t="s">
        <v>43</v>
      </c>
      <c r="H248" s="117" t="s">
        <v>40</v>
      </c>
      <c r="I248" s="576" t="str">
        <f>IF(X248="ADMITIDO","ADMITIDO",IF(X248="CANCELADA","CANCELADA",IF(H248="","",IFERROR(_xlfn.XLOOKUP(H248,Listas!I:I,Listas!J:J),"OUTROS"))))</f>
        <v>ADMITIDO</v>
      </c>
      <c r="J248" s="264" t="s">
        <v>840</v>
      </c>
      <c r="K248" s="73" t="s">
        <v>45</v>
      </c>
      <c r="L248" s="73" t="s">
        <v>377</v>
      </c>
      <c r="M248" s="73"/>
      <c r="N248" s="73" t="s">
        <v>378</v>
      </c>
      <c r="O248" s="73" t="s">
        <v>56</v>
      </c>
      <c r="P248" s="73" t="s">
        <v>35</v>
      </c>
      <c r="Q248" s="73" t="s">
        <v>176</v>
      </c>
      <c r="R248" s="74"/>
      <c r="S248" s="228"/>
      <c r="T248" s="252">
        <v>11967626976</v>
      </c>
      <c r="U248" s="73" t="s">
        <v>67</v>
      </c>
      <c r="V248" s="220">
        <v>46148</v>
      </c>
      <c r="W248" s="203" t="s">
        <v>841</v>
      </c>
      <c r="X248" s="119" t="s">
        <v>40</v>
      </c>
      <c r="Y248" s="249">
        <v>46162</v>
      </c>
      <c r="Z248" s="249">
        <v>46163</v>
      </c>
      <c r="AA248" s="224">
        <v>145982</v>
      </c>
      <c r="AB248" s="74"/>
      <c r="AC248" s="74"/>
      <c r="AD248" s="256">
        <v>0</v>
      </c>
    </row>
    <row r="249" spans="1:30" s="251" customFormat="1" ht="18" customHeight="1">
      <c r="A249" s="122">
        <v>29983</v>
      </c>
      <c r="B249" s="256">
        <v>1</v>
      </c>
      <c r="C249" s="201">
        <v>46134</v>
      </c>
      <c r="D249" s="386">
        <f t="shared" ca="1" si="9"/>
        <v>93</v>
      </c>
      <c r="E249" s="170" t="str">
        <f t="shared" si="8"/>
        <v>ADMITIDO</v>
      </c>
      <c r="F249" s="139" t="s">
        <v>28</v>
      </c>
      <c r="G249" s="392" t="s">
        <v>43</v>
      </c>
      <c r="H249" s="139" t="s">
        <v>40</v>
      </c>
      <c r="I249" s="117" t="str">
        <f>IF(X249="ADMITIDO","ADMITIDO",IF(X249="CANCELADA","CANCELADA",IF(H249="","",IFERROR(_xlfn.XLOOKUP(H249,Listas!I:I,Listas!J:J),"OUTROS"))))</f>
        <v>ADMITIDO</v>
      </c>
      <c r="J249" s="248" t="s">
        <v>146</v>
      </c>
      <c r="K249" s="73" t="s">
        <v>360</v>
      </c>
      <c r="L249" s="73" t="s">
        <v>788</v>
      </c>
      <c r="M249" s="73"/>
      <c r="N249" s="73" t="s">
        <v>337</v>
      </c>
      <c r="O249" s="73" t="s">
        <v>34</v>
      </c>
      <c r="P249" s="73" t="s">
        <v>35</v>
      </c>
      <c r="Q249" s="73" t="s">
        <v>36</v>
      </c>
      <c r="R249" s="74"/>
      <c r="S249" s="228"/>
      <c r="T249" s="252">
        <v>15996321794</v>
      </c>
      <c r="U249" s="73" t="s">
        <v>67</v>
      </c>
      <c r="V249" s="220">
        <v>46135</v>
      </c>
      <c r="W249" s="203" t="s">
        <v>843</v>
      </c>
      <c r="X249" s="119" t="s">
        <v>40</v>
      </c>
      <c r="Y249" s="249">
        <v>46142</v>
      </c>
      <c r="Z249" s="249">
        <v>46142</v>
      </c>
      <c r="AA249" s="224">
        <v>914196</v>
      </c>
      <c r="AB249" s="74"/>
      <c r="AC249" s="74"/>
      <c r="AD249" s="256">
        <v>0</v>
      </c>
    </row>
    <row r="250" spans="1:30" s="251" customFormat="1" ht="18" customHeight="1">
      <c r="A250" s="102">
        <v>29990</v>
      </c>
      <c r="B250" s="256">
        <v>1</v>
      </c>
      <c r="C250" s="201">
        <v>46134</v>
      </c>
      <c r="D250" s="105">
        <f t="shared" ca="1" si="9"/>
        <v>93</v>
      </c>
      <c r="E250" s="138" t="str">
        <f t="shared" si="8"/>
        <v>ADMITIDO</v>
      </c>
      <c r="F250" s="117" t="s">
        <v>42</v>
      </c>
      <c r="G250" s="147" t="s">
        <v>43</v>
      </c>
      <c r="H250" s="117" t="s">
        <v>40</v>
      </c>
      <c r="I250" s="117" t="str">
        <f>IF(X250="ADMITIDO","ADMITIDO",IF(X250="CANCELADA","CANCELADA",IF(H250="","",IFERROR(_xlfn.XLOOKUP(H250,Listas!I:I,Listas!J:J),"OUTROS"))))</f>
        <v>ADMITIDO</v>
      </c>
      <c r="J250" s="248" t="s">
        <v>53</v>
      </c>
      <c r="K250" s="73" t="s">
        <v>45</v>
      </c>
      <c r="L250" s="73" t="s">
        <v>384</v>
      </c>
      <c r="M250" s="73"/>
      <c r="N250" s="73" t="s">
        <v>97</v>
      </c>
      <c r="O250" s="73" t="s">
        <v>34</v>
      </c>
      <c r="P250" s="73" t="s">
        <v>57</v>
      </c>
      <c r="Q250" s="73" t="s">
        <v>231</v>
      </c>
      <c r="R250" s="74" t="s">
        <v>844</v>
      </c>
      <c r="S250" s="228" t="s">
        <v>1377</v>
      </c>
      <c r="T250" s="252">
        <v>11970207047</v>
      </c>
      <c r="U250" s="73" t="s">
        <v>50</v>
      </c>
      <c r="V250" s="220">
        <v>46161</v>
      </c>
      <c r="W250" s="118" t="s">
        <v>1378</v>
      </c>
      <c r="X250" s="119" t="s">
        <v>40</v>
      </c>
      <c r="Y250" s="249">
        <v>46167</v>
      </c>
      <c r="Z250" s="249">
        <v>46168</v>
      </c>
      <c r="AA250" s="224">
        <v>914330</v>
      </c>
      <c r="AB250" s="74"/>
      <c r="AC250" s="74"/>
      <c r="AD250" s="256">
        <v>0</v>
      </c>
    </row>
    <row r="251" spans="1:30" s="251" customFormat="1" ht="18" customHeight="1">
      <c r="A251" s="122">
        <v>29984</v>
      </c>
      <c r="B251" s="256">
        <v>1</v>
      </c>
      <c r="C251" s="201">
        <v>46134</v>
      </c>
      <c r="D251" s="105">
        <f t="shared" ca="1" si="9"/>
        <v>93</v>
      </c>
      <c r="E251" s="138" t="str">
        <f t="shared" si="8"/>
        <v>ADMITIDO</v>
      </c>
      <c r="F251" s="117" t="s">
        <v>28</v>
      </c>
      <c r="G251" s="147" t="s">
        <v>145</v>
      </c>
      <c r="H251" s="117" t="s">
        <v>40</v>
      </c>
      <c r="I251" s="117" t="str">
        <f>IF(X251="ADMITIDO","ADMITIDO",IF(X251="CANCELADA","CANCELADA",IF(H251="","",IFERROR(_xlfn.XLOOKUP(H251,Listas!I:I,Listas!J:J),"OUTROS"))))</f>
        <v>ADMITIDO</v>
      </c>
      <c r="J251" s="248" t="s">
        <v>487</v>
      </c>
      <c r="K251" s="73" t="s">
        <v>371</v>
      </c>
      <c r="L251" s="73" t="s">
        <v>845</v>
      </c>
      <c r="M251" s="73"/>
      <c r="N251" s="73" t="s">
        <v>63</v>
      </c>
      <c r="O251" s="73" t="s">
        <v>34</v>
      </c>
      <c r="P251" s="73" t="s">
        <v>35</v>
      </c>
      <c r="Q251" s="73" t="s">
        <v>369</v>
      </c>
      <c r="R251" s="74"/>
      <c r="S251" s="228" t="s">
        <v>373</v>
      </c>
      <c r="T251" s="229"/>
      <c r="U251" s="73" t="s">
        <v>132</v>
      </c>
      <c r="V251" s="220">
        <v>46155</v>
      </c>
      <c r="W251" s="203" t="s">
        <v>846</v>
      </c>
      <c r="X251" s="227" t="s">
        <v>40</v>
      </c>
      <c r="Y251" s="249">
        <v>46160</v>
      </c>
      <c r="Z251" s="249">
        <v>46162</v>
      </c>
      <c r="AA251" s="224">
        <v>914300</v>
      </c>
      <c r="AB251" s="74"/>
      <c r="AC251" s="74"/>
      <c r="AD251" s="256">
        <v>0</v>
      </c>
    </row>
    <row r="252" spans="1:30" s="251" customFormat="1" ht="18" customHeight="1">
      <c r="A252" s="122">
        <v>29989</v>
      </c>
      <c r="B252" s="256">
        <v>1</v>
      </c>
      <c r="C252" s="201">
        <v>46134</v>
      </c>
      <c r="D252" s="105">
        <f t="shared" ca="1" si="9"/>
        <v>93</v>
      </c>
      <c r="E252" s="138" t="str">
        <f t="shared" si="8"/>
        <v>ADMITIDO</v>
      </c>
      <c r="F252" s="117" t="s">
        <v>42</v>
      </c>
      <c r="G252" s="147" t="s">
        <v>43</v>
      </c>
      <c r="H252" s="117" t="s">
        <v>40</v>
      </c>
      <c r="I252" s="117" t="str">
        <f>IF(X252="ADMITIDO","ADMITIDO",IF(X252="CANCELADA","CANCELADA",IF(H252="","",IFERROR(_xlfn.XLOOKUP(H252,Listas!I:I,Listas!J:J),"OUTROS"))))</f>
        <v>ADMITIDO</v>
      </c>
      <c r="J252" s="248" t="s">
        <v>53</v>
      </c>
      <c r="K252" s="73" t="s">
        <v>45</v>
      </c>
      <c r="L252" s="73" t="s">
        <v>847</v>
      </c>
      <c r="M252" s="73"/>
      <c r="N252" s="73" t="s">
        <v>97</v>
      </c>
      <c r="O252" s="73" t="s">
        <v>34</v>
      </c>
      <c r="P252" s="73" t="s">
        <v>57</v>
      </c>
      <c r="Q252" s="73" t="s">
        <v>848</v>
      </c>
      <c r="R252" s="74"/>
      <c r="S252" s="228"/>
      <c r="T252" s="252">
        <v>11969773460</v>
      </c>
      <c r="U252" s="73" t="s">
        <v>50</v>
      </c>
      <c r="V252" s="220">
        <v>46135</v>
      </c>
      <c r="W252" s="203" t="s">
        <v>849</v>
      </c>
      <c r="X252" s="119" t="s">
        <v>40</v>
      </c>
      <c r="Y252" s="249">
        <v>46141</v>
      </c>
      <c r="Z252" s="249">
        <v>46142</v>
      </c>
      <c r="AA252" s="224">
        <v>914190</v>
      </c>
      <c r="AB252" s="74"/>
      <c r="AC252" s="74"/>
      <c r="AD252" s="256">
        <v>0</v>
      </c>
    </row>
    <row r="253" spans="1:30" s="251" customFormat="1" ht="18" customHeight="1">
      <c r="A253" s="122">
        <v>30005</v>
      </c>
      <c r="B253" s="256">
        <v>1</v>
      </c>
      <c r="C253" s="201">
        <v>46134</v>
      </c>
      <c r="D253" s="105">
        <f t="shared" ca="1" si="9"/>
        <v>93</v>
      </c>
      <c r="E253" s="138" t="str">
        <f t="shared" si="8"/>
        <v>ADMITIDO</v>
      </c>
      <c r="F253" s="117" t="s">
        <v>28</v>
      </c>
      <c r="G253" s="147" t="s">
        <v>29</v>
      </c>
      <c r="H253" s="117" t="s">
        <v>40</v>
      </c>
      <c r="I253" s="117" t="str">
        <f>IF(X253="ADMITIDO","ADMITIDO",IF(X253="CANCELADA","CANCELADA",IF(H253="","",IFERROR(_xlfn.XLOOKUP(H253,Listas!I:I,Listas!J:J),"OUTROS"))))</f>
        <v>ADMITIDO</v>
      </c>
      <c r="J253" s="248" t="s">
        <v>427</v>
      </c>
      <c r="K253" s="73" t="s">
        <v>31</v>
      </c>
      <c r="L253" s="73" t="s">
        <v>428</v>
      </c>
      <c r="M253" s="73"/>
      <c r="N253" s="73" t="s">
        <v>205</v>
      </c>
      <c r="O253" s="73" t="s">
        <v>34</v>
      </c>
      <c r="P253" s="73" t="s">
        <v>35</v>
      </c>
      <c r="Q253" s="73" t="s">
        <v>36</v>
      </c>
      <c r="R253" s="74" t="s">
        <v>1379</v>
      </c>
      <c r="S253" s="228"/>
      <c r="T253" s="252" t="s">
        <v>1380</v>
      </c>
      <c r="U253" s="73" t="s">
        <v>38</v>
      </c>
      <c r="V253" s="220">
        <v>46164</v>
      </c>
      <c r="W253" s="203" t="s">
        <v>1381</v>
      </c>
      <c r="X253" s="227" t="s">
        <v>40</v>
      </c>
      <c r="Y253" s="249">
        <v>46169</v>
      </c>
      <c r="Z253" s="249">
        <v>46169</v>
      </c>
      <c r="AA253" s="224">
        <v>914358</v>
      </c>
      <c r="AB253" s="74"/>
      <c r="AC253" s="74"/>
      <c r="AD253" s="256">
        <v>0</v>
      </c>
    </row>
    <row r="254" spans="1:30" s="251" customFormat="1" ht="18" customHeight="1">
      <c r="A254" s="102">
        <v>29988</v>
      </c>
      <c r="B254" s="256">
        <v>1</v>
      </c>
      <c r="C254" s="201">
        <v>46134</v>
      </c>
      <c r="D254" s="105">
        <f t="shared" ca="1" si="9"/>
        <v>93</v>
      </c>
      <c r="E254" s="138" t="str">
        <f t="shared" si="8"/>
        <v>CANCELADA</v>
      </c>
      <c r="F254" s="117" t="s">
        <v>42</v>
      </c>
      <c r="G254" s="147" t="s">
        <v>29</v>
      </c>
      <c r="H254" s="117" t="s">
        <v>52</v>
      </c>
      <c r="I254" s="117" t="str">
        <f>IF(X254="ADMITIDO","ADMITIDO",IF(X254="CANCELADA","CANCELADA",IF(H254="","",IFERROR(_xlfn.XLOOKUP(H254,Listas!I:I,Listas!J:J),"OUTROS"))))</f>
        <v>CANCELADA</v>
      </c>
      <c r="J254" s="248" t="s">
        <v>44</v>
      </c>
      <c r="K254" s="73" t="s">
        <v>228</v>
      </c>
      <c r="L254" s="73" t="s">
        <v>807</v>
      </c>
      <c r="M254" s="73"/>
      <c r="N254" s="73" t="s">
        <v>88</v>
      </c>
      <c r="O254" s="73" t="s">
        <v>34</v>
      </c>
      <c r="P254" s="73" t="s">
        <v>589</v>
      </c>
      <c r="Q254" s="73" t="s">
        <v>308</v>
      </c>
      <c r="R254" s="74"/>
      <c r="S254" s="228"/>
      <c r="T254" s="229"/>
      <c r="U254" s="73"/>
      <c r="V254" s="220"/>
      <c r="W254" s="203"/>
      <c r="X254" s="227" t="s">
        <v>52</v>
      </c>
      <c r="Y254" s="249"/>
      <c r="Z254" s="249"/>
      <c r="AA254" s="224"/>
      <c r="AB254" s="74"/>
      <c r="AC254" s="74"/>
      <c r="AD254" s="256">
        <v>0</v>
      </c>
    </row>
    <row r="255" spans="1:30" s="251" customFormat="1" ht="18" customHeight="1">
      <c r="A255" s="122">
        <v>29991</v>
      </c>
      <c r="B255" s="256">
        <v>1</v>
      </c>
      <c r="C255" s="201">
        <v>46134</v>
      </c>
      <c r="D255" s="105">
        <f t="shared" ca="1" si="9"/>
        <v>93</v>
      </c>
      <c r="E255" s="138" t="str">
        <f t="shared" si="8"/>
        <v>ADMITIDO</v>
      </c>
      <c r="F255" s="117" t="s">
        <v>42</v>
      </c>
      <c r="G255" s="147" t="s">
        <v>29</v>
      </c>
      <c r="H255" s="117" t="s">
        <v>40</v>
      </c>
      <c r="I255" s="117" t="str">
        <f>IF(X255="ADMITIDO","ADMITIDO",IF(X255="CANCELADA","CANCELADA",IF(H255="","",IFERROR(_xlfn.XLOOKUP(H255,Listas!I:I,Listas!J:J),"OUTROS"))))</f>
        <v>ADMITIDO</v>
      </c>
      <c r="J255" s="248" t="s">
        <v>44</v>
      </c>
      <c r="K255" s="73" t="s">
        <v>228</v>
      </c>
      <c r="L255" s="73" t="s">
        <v>807</v>
      </c>
      <c r="M255" s="73"/>
      <c r="N255" s="73" t="s">
        <v>88</v>
      </c>
      <c r="O255" s="73" t="s">
        <v>34</v>
      </c>
      <c r="P255" s="73" t="s">
        <v>57</v>
      </c>
      <c r="Q255" s="73" t="s">
        <v>231</v>
      </c>
      <c r="R255" s="74"/>
      <c r="S255" s="228"/>
      <c r="T255" s="229"/>
      <c r="U255" s="73" t="s">
        <v>38</v>
      </c>
      <c r="V255" s="220">
        <v>46150</v>
      </c>
      <c r="W255" s="203" t="s">
        <v>850</v>
      </c>
      <c r="X255" s="117" t="s">
        <v>40</v>
      </c>
      <c r="Y255" s="249">
        <v>46153</v>
      </c>
      <c r="Z255" s="249">
        <v>46154</v>
      </c>
      <c r="AA255" s="224">
        <v>914224</v>
      </c>
      <c r="AB255" s="74"/>
      <c r="AC255" s="74"/>
      <c r="AD255" s="256">
        <v>0</v>
      </c>
    </row>
    <row r="256" spans="1:30" s="251" customFormat="1" ht="18" customHeight="1">
      <c r="A256" s="122">
        <v>29993</v>
      </c>
      <c r="B256" s="256">
        <v>1</v>
      </c>
      <c r="C256" s="201">
        <v>46134</v>
      </c>
      <c r="D256" s="105">
        <f t="shared" ca="1" si="9"/>
        <v>93</v>
      </c>
      <c r="E256" s="138" t="str">
        <f t="shared" si="8"/>
        <v>ADMITIDO</v>
      </c>
      <c r="F256" s="117" t="s">
        <v>42</v>
      </c>
      <c r="G256" s="147" t="s">
        <v>29</v>
      </c>
      <c r="H256" s="117" t="s">
        <v>40</v>
      </c>
      <c r="I256" s="117" t="str">
        <f>IF(X256="ADMITIDO","ADMITIDO",IF(X256="CANCELADA","CANCELADA",IF(H256="","",IFERROR(_xlfn.XLOOKUP(H256,Listas!I:I,Listas!J:J),"OUTROS"))))</f>
        <v>ADMITIDO</v>
      </c>
      <c r="J256" s="248" t="s">
        <v>44</v>
      </c>
      <c r="K256" s="73" t="s">
        <v>228</v>
      </c>
      <c r="L256" s="73" t="s">
        <v>807</v>
      </c>
      <c r="M256" s="73"/>
      <c r="N256" s="73" t="s">
        <v>88</v>
      </c>
      <c r="O256" s="73" t="s">
        <v>34</v>
      </c>
      <c r="P256" s="73" t="s">
        <v>57</v>
      </c>
      <c r="Q256" s="73" t="s">
        <v>94</v>
      </c>
      <c r="R256" s="74"/>
      <c r="S256" s="228"/>
      <c r="T256" s="252" t="s">
        <v>851</v>
      </c>
      <c r="U256" s="73" t="s">
        <v>38</v>
      </c>
      <c r="V256" s="220">
        <v>46139</v>
      </c>
      <c r="W256" s="203" t="s">
        <v>852</v>
      </c>
      <c r="X256" s="119" t="s">
        <v>40</v>
      </c>
      <c r="Y256" s="249">
        <v>46142</v>
      </c>
      <c r="Z256" s="249">
        <v>46143</v>
      </c>
      <c r="AA256" s="224">
        <v>914204</v>
      </c>
      <c r="AB256" s="74"/>
      <c r="AC256" s="74"/>
      <c r="AD256" s="256">
        <v>0</v>
      </c>
    </row>
    <row r="257" spans="1:30" s="251" customFormat="1" ht="18" customHeight="1">
      <c r="A257" s="102">
        <v>29987</v>
      </c>
      <c r="B257" s="256">
        <v>1</v>
      </c>
      <c r="C257" s="201">
        <v>46134</v>
      </c>
      <c r="D257" s="105">
        <f t="shared" ca="1" si="9"/>
        <v>93</v>
      </c>
      <c r="E257" s="138" t="str">
        <f t="shared" si="8"/>
        <v>ADMITIDO</v>
      </c>
      <c r="F257" s="117" t="s">
        <v>28</v>
      </c>
      <c r="G257" s="147" t="s">
        <v>60</v>
      </c>
      <c r="H257" s="117" t="s">
        <v>40</v>
      </c>
      <c r="I257" s="117" t="str">
        <f>IF(X257="ADMITIDO","ADMITIDO",IF(X257="CANCELADA","CANCELADA",IF(H257="","",IFERROR(_xlfn.XLOOKUP(H257,Listas!I:I,Listas!J:J),"OUTROS"))))</f>
        <v>ADMITIDO</v>
      </c>
      <c r="J257" s="248" t="s">
        <v>268</v>
      </c>
      <c r="K257" s="73" t="s">
        <v>318</v>
      </c>
      <c r="L257" s="73" t="s">
        <v>237</v>
      </c>
      <c r="M257" s="73"/>
      <c r="N257" s="73" t="s">
        <v>63</v>
      </c>
      <c r="O257" s="73" t="s">
        <v>56</v>
      </c>
      <c r="P257" s="73" t="s">
        <v>35</v>
      </c>
      <c r="Q257" s="73" t="s">
        <v>176</v>
      </c>
      <c r="R257" s="279" t="s">
        <v>853</v>
      </c>
      <c r="S257" s="228"/>
      <c r="T257" s="229"/>
      <c r="U257" s="73" t="s">
        <v>109</v>
      </c>
      <c r="V257" s="220">
        <v>46149</v>
      </c>
      <c r="W257" s="203" t="s">
        <v>854</v>
      </c>
      <c r="X257" s="117" t="s">
        <v>40</v>
      </c>
      <c r="Y257" s="249">
        <v>46153</v>
      </c>
      <c r="Z257" s="249">
        <v>46154</v>
      </c>
      <c r="AA257" s="224">
        <v>914256</v>
      </c>
      <c r="AB257" s="74"/>
      <c r="AC257" s="74"/>
      <c r="AD257" s="256">
        <v>0</v>
      </c>
    </row>
    <row r="258" spans="1:30" s="251" customFormat="1" ht="18" customHeight="1">
      <c r="A258" s="102">
        <v>29986</v>
      </c>
      <c r="B258" s="256">
        <v>1</v>
      </c>
      <c r="C258" s="201">
        <v>46134</v>
      </c>
      <c r="D258" s="105">
        <f t="shared" ca="1" si="9"/>
        <v>93</v>
      </c>
      <c r="E258" s="138" t="str">
        <f t="shared" ref="E258:E321" si="10">IF(X258="ADMITIDO","ADMITIDO",IF(X258="CANCELADA","CANCELADA",IF(H258="","",IF(H258="ADMITIDO","ADMITIDO",IF(H258="CANCELADA","CANCELADA",IF(OR(H258="ANALISE CANCELAMENTO",H258="ANÁLISE CANCELAMENTO"),"EM ANÁLISE",IF(D258="","",IF(D258&lt;=7,"NO PRAZO",IF(D258&lt;=14,"ATENÇÃO","CRÍTICO")))))))))</f>
        <v>CANCELADA</v>
      </c>
      <c r="F258" s="117" t="s">
        <v>28</v>
      </c>
      <c r="G258" s="147" t="s">
        <v>102</v>
      </c>
      <c r="H258" s="117" t="s">
        <v>52</v>
      </c>
      <c r="I258" s="117" t="str">
        <f>IF(X258="ADMITIDO","ADMITIDO",IF(X258="CANCELADA","CANCELADA",IF(H258="","",IFERROR(_xlfn.XLOOKUP(H258,Listas!I:I,Listas!J:J),"OUTROS"))))</f>
        <v>CANCELADA</v>
      </c>
      <c r="J258" s="248" t="s">
        <v>268</v>
      </c>
      <c r="K258" s="73" t="s">
        <v>326</v>
      </c>
      <c r="L258" s="73" t="s">
        <v>605</v>
      </c>
      <c r="M258" s="73"/>
      <c r="N258" s="73" t="s">
        <v>63</v>
      </c>
      <c r="O258" s="73" t="s">
        <v>56</v>
      </c>
      <c r="P258" s="73" t="s">
        <v>35</v>
      </c>
      <c r="Q258" s="73" t="s">
        <v>176</v>
      </c>
      <c r="R258" s="74"/>
      <c r="S258" s="228"/>
      <c r="T258" s="229"/>
      <c r="U258" s="73"/>
      <c r="V258" s="220"/>
      <c r="W258" s="203"/>
      <c r="X258" s="227" t="s">
        <v>52</v>
      </c>
      <c r="Y258" s="249"/>
      <c r="Z258" s="249"/>
      <c r="AA258" s="224"/>
      <c r="AB258" s="74"/>
      <c r="AC258" s="74"/>
      <c r="AD258" s="256">
        <v>0</v>
      </c>
    </row>
    <row r="259" spans="1:30" s="251" customFormat="1" ht="18" customHeight="1">
      <c r="A259" s="102">
        <v>30006</v>
      </c>
      <c r="B259" s="256">
        <v>1</v>
      </c>
      <c r="C259" s="201">
        <v>46134</v>
      </c>
      <c r="D259" s="105">
        <f t="shared" ca="1" si="9"/>
        <v>93</v>
      </c>
      <c r="E259" s="138" t="str">
        <f t="shared" si="10"/>
        <v>CANCELADA</v>
      </c>
      <c r="F259" s="117" t="s">
        <v>28</v>
      </c>
      <c r="G259" s="147" t="s">
        <v>29</v>
      </c>
      <c r="H259" s="117" t="s">
        <v>52</v>
      </c>
      <c r="I259" s="117" t="str">
        <f>IF(X259="ADMITIDO","ADMITIDO",IF(X259="CANCELADA","CANCELADA",IF(H259="","",IFERROR(_xlfn.XLOOKUP(H259,Listas!I:I,Listas!J:J),"OUTROS"))))</f>
        <v>CANCELADA</v>
      </c>
      <c r="J259" s="248" t="s">
        <v>609</v>
      </c>
      <c r="K259" s="73" t="s">
        <v>31</v>
      </c>
      <c r="L259" s="73" t="s">
        <v>92</v>
      </c>
      <c r="M259" s="73"/>
      <c r="N259" s="73" t="s">
        <v>93</v>
      </c>
      <c r="O259" s="73" t="s">
        <v>34</v>
      </c>
      <c r="P259" s="73" t="s">
        <v>35</v>
      </c>
      <c r="Q259" s="73" t="s">
        <v>36</v>
      </c>
      <c r="R259" s="74"/>
      <c r="S259" s="228"/>
      <c r="T259" s="229"/>
      <c r="U259" s="73"/>
      <c r="V259" s="220"/>
      <c r="W259" s="203"/>
      <c r="X259" s="227" t="s">
        <v>52</v>
      </c>
      <c r="Y259" s="249"/>
      <c r="Z259" s="249"/>
      <c r="AA259" s="224"/>
      <c r="AB259" s="74"/>
      <c r="AC259" s="74"/>
      <c r="AD259" s="256">
        <v>0</v>
      </c>
    </row>
    <row r="260" spans="1:30" s="251" customFormat="1" ht="18" customHeight="1">
      <c r="A260" s="102">
        <v>29985</v>
      </c>
      <c r="B260" s="256">
        <v>1</v>
      </c>
      <c r="C260" s="201">
        <v>46134</v>
      </c>
      <c r="D260" s="105">
        <f t="shared" ca="1" si="9"/>
        <v>93</v>
      </c>
      <c r="E260" s="138" t="str">
        <f t="shared" si="10"/>
        <v>ADMITIDO</v>
      </c>
      <c r="F260" s="117" t="s">
        <v>28</v>
      </c>
      <c r="G260" s="147" t="s">
        <v>60</v>
      </c>
      <c r="H260" s="117" t="s">
        <v>40</v>
      </c>
      <c r="I260" s="117" t="str">
        <f>IF(X260="ADMITIDO","ADMITIDO",IF(X260="CANCELADA","CANCELADA",IF(H260="","",IFERROR(_xlfn.XLOOKUP(H260,Listas!I:I,Listas!J:J),"OUTROS"))))</f>
        <v>ADMITIDO</v>
      </c>
      <c r="J260" s="248" t="s">
        <v>268</v>
      </c>
      <c r="K260" s="73" t="s">
        <v>318</v>
      </c>
      <c r="L260" s="73" t="s">
        <v>855</v>
      </c>
      <c r="M260" s="73"/>
      <c r="N260" s="73" t="s">
        <v>63</v>
      </c>
      <c r="O260" s="73" t="s">
        <v>56</v>
      </c>
      <c r="P260" s="73" t="s">
        <v>35</v>
      </c>
      <c r="Q260" s="73" t="s">
        <v>176</v>
      </c>
      <c r="R260" s="74" t="s">
        <v>856</v>
      </c>
      <c r="S260" s="228"/>
      <c r="T260" s="252" t="s">
        <v>857</v>
      </c>
      <c r="U260" s="73" t="s">
        <v>109</v>
      </c>
      <c r="V260" s="220">
        <v>46155</v>
      </c>
      <c r="W260" s="203" t="s">
        <v>858</v>
      </c>
      <c r="X260" s="119" t="s">
        <v>40</v>
      </c>
      <c r="Y260" s="249">
        <v>46156</v>
      </c>
      <c r="Z260" s="249">
        <v>46161</v>
      </c>
      <c r="AA260" s="224">
        <v>914281</v>
      </c>
      <c r="AB260" s="74"/>
      <c r="AC260" s="74"/>
      <c r="AD260" s="256">
        <v>0</v>
      </c>
    </row>
    <row r="261" spans="1:30" s="251" customFormat="1" ht="18" customHeight="1">
      <c r="A261" s="102">
        <v>29992</v>
      </c>
      <c r="B261" s="256">
        <v>1</v>
      </c>
      <c r="C261" s="201">
        <v>46134</v>
      </c>
      <c r="D261" s="105">
        <f t="shared" ref="D261:D324" ca="1" si="11">TODAY()-C261</f>
        <v>93</v>
      </c>
      <c r="E261" s="138" t="str">
        <f t="shared" si="10"/>
        <v>CANCELADA</v>
      </c>
      <c r="F261" s="117" t="s">
        <v>119</v>
      </c>
      <c r="G261" s="147" t="s">
        <v>145</v>
      </c>
      <c r="H261" s="117" t="s">
        <v>52</v>
      </c>
      <c r="I261" s="117" t="str">
        <f>IF(X261="ADMITIDO","ADMITIDO",IF(X261="CANCELADA","CANCELADA",IF(H261="","",IFERROR(_xlfn.XLOOKUP(H261,Listas!I:I,Listas!J:J),"OUTROS"))))</f>
        <v>CANCELADA</v>
      </c>
      <c r="J261" s="248" t="s">
        <v>859</v>
      </c>
      <c r="K261" s="73" t="s">
        <v>824</v>
      </c>
      <c r="L261" s="73" t="s">
        <v>860</v>
      </c>
      <c r="M261" s="73"/>
      <c r="N261" s="73" t="s">
        <v>63</v>
      </c>
      <c r="O261" s="73" t="s">
        <v>34</v>
      </c>
      <c r="P261" s="73" t="s">
        <v>48</v>
      </c>
      <c r="Q261" s="73" t="s">
        <v>441</v>
      </c>
      <c r="R261" s="74"/>
      <c r="S261" s="228"/>
      <c r="T261" s="229"/>
      <c r="U261" s="73"/>
      <c r="V261" s="220"/>
      <c r="W261" s="203"/>
      <c r="X261" s="227" t="s">
        <v>52</v>
      </c>
      <c r="Y261" s="249"/>
      <c r="Z261" s="249"/>
      <c r="AA261" s="224"/>
      <c r="AB261" s="74"/>
      <c r="AC261" s="74"/>
      <c r="AD261" s="256">
        <v>0</v>
      </c>
    </row>
    <row r="262" spans="1:30" s="251" customFormat="1" ht="18" customHeight="1">
      <c r="A262" s="122">
        <v>30007</v>
      </c>
      <c r="B262" s="256">
        <v>1</v>
      </c>
      <c r="C262" s="201">
        <v>46134</v>
      </c>
      <c r="D262" s="105">
        <f t="shared" ca="1" si="11"/>
        <v>93</v>
      </c>
      <c r="E262" s="138" t="str">
        <f t="shared" si="10"/>
        <v>ADMITIDO</v>
      </c>
      <c r="F262" s="117" t="s">
        <v>42</v>
      </c>
      <c r="G262" s="147" t="s">
        <v>43</v>
      </c>
      <c r="H262" s="117" t="s">
        <v>40</v>
      </c>
      <c r="I262" s="117" t="str">
        <f>IF(X262="ADMITIDO","ADMITIDO",IF(X262="CANCELADA","CANCELADA",IF(H262="","",IFERROR(_xlfn.XLOOKUP(H262,Listas!I:I,Listas!J:J),"OUTROS"))))</f>
        <v>ADMITIDO</v>
      </c>
      <c r="J262" s="248" t="s">
        <v>163</v>
      </c>
      <c r="K262" s="73" t="s">
        <v>45</v>
      </c>
      <c r="L262" s="73" t="s">
        <v>402</v>
      </c>
      <c r="M262" s="73"/>
      <c r="N262" s="73" t="s">
        <v>33</v>
      </c>
      <c r="O262" s="73" t="s">
        <v>34</v>
      </c>
      <c r="P262" s="73" t="s">
        <v>57</v>
      </c>
      <c r="Q262" s="73" t="s">
        <v>98</v>
      </c>
      <c r="R262" s="265" t="s">
        <v>861</v>
      </c>
      <c r="S262" s="228"/>
      <c r="T262" s="229">
        <v>11958975153</v>
      </c>
      <c r="U262" s="73" t="s">
        <v>50</v>
      </c>
      <c r="V262" s="220">
        <v>46148</v>
      </c>
      <c r="W262" s="118" t="s">
        <v>862</v>
      </c>
      <c r="X262" s="117" t="s">
        <v>40</v>
      </c>
      <c r="Y262" s="249">
        <v>46155</v>
      </c>
      <c r="Z262" s="249">
        <v>46155</v>
      </c>
      <c r="AA262" s="224">
        <v>145947</v>
      </c>
      <c r="AB262" s="74"/>
      <c r="AC262" s="74"/>
      <c r="AD262" s="256">
        <v>0</v>
      </c>
    </row>
    <row r="263" spans="1:30" s="251" customFormat="1" ht="18" customHeight="1">
      <c r="A263" s="102">
        <v>30023</v>
      </c>
      <c r="B263" s="256">
        <v>1</v>
      </c>
      <c r="C263" s="201">
        <v>46135</v>
      </c>
      <c r="D263" s="105">
        <f t="shared" ca="1" si="11"/>
        <v>92</v>
      </c>
      <c r="E263" s="138" t="str">
        <f t="shared" si="10"/>
        <v>ADMITIDO</v>
      </c>
      <c r="F263" s="117" t="s">
        <v>119</v>
      </c>
      <c r="G263" s="117" t="s">
        <v>29</v>
      </c>
      <c r="H263" s="117" t="s">
        <v>40</v>
      </c>
      <c r="I263" s="117" t="str">
        <f>IF(X263="ADMITIDO","ADMITIDO",IF(X263="CANCELADA","CANCELADA",IF(H263="","",IFERROR(_xlfn.XLOOKUP(H263,Listas!I:I,Listas!J:J),"OUTROS"))))</f>
        <v>ADMITIDO</v>
      </c>
      <c r="J263" s="248" t="s">
        <v>438</v>
      </c>
      <c r="K263" s="73" t="s">
        <v>439</v>
      </c>
      <c r="L263" s="73" t="s">
        <v>863</v>
      </c>
      <c r="M263" s="73"/>
      <c r="N263" s="73" t="s">
        <v>88</v>
      </c>
      <c r="O263" s="73" t="s">
        <v>34</v>
      </c>
      <c r="P263" s="73" t="s">
        <v>48</v>
      </c>
      <c r="Q263" s="73" t="s">
        <v>441</v>
      </c>
      <c r="R263" s="74"/>
      <c r="S263" s="228"/>
      <c r="T263" s="229"/>
      <c r="U263" s="73" t="s">
        <v>38</v>
      </c>
      <c r="V263" s="220">
        <v>46142</v>
      </c>
      <c r="W263" s="203" t="s">
        <v>864</v>
      </c>
      <c r="X263" s="117" t="s">
        <v>40</v>
      </c>
      <c r="Y263" s="249">
        <v>46146</v>
      </c>
      <c r="Z263" s="249">
        <v>46146</v>
      </c>
      <c r="AA263" s="224">
        <v>145906</v>
      </c>
      <c r="AB263" s="74"/>
      <c r="AC263" s="74"/>
      <c r="AD263" s="256">
        <v>0</v>
      </c>
    </row>
    <row r="264" spans="1:30" s="251" customFormat="1" ht="18" customHeight="1">
      <c r="A264" s="102">
        <v>30020</v>
      </c>
      <c r="B264" s="256">
        <v>1</v>
      </c>
      <c r="C264" s="201">
        <v>46135</v>
      </c>
      <c r="D264" s="105">
        <f t="shared" ca="1" si="11"/>
        <v>92</v>
      </c>
      <c r="E264" s="138" t="str">
        <f t="shared" si="10"/>
        <v>CANCELADA</v>
      </c>
      <c r="F264" s="117" t="s">
        <v>28</v>
      </c>
      <c r="G264" s="117" t="s">
        <v>29</v>
      </c>
      <c r="H264" s="117" t="s">
        <v>52</v>
      </c>
      <c r="I264" s="117" t="str">
        <f>IF(X264="ADMITIDO","ADMITIDO",IF(X264="CANCELADA","CANCELADA",IF(H264="","",IFERROR(_xlfn.XLOOKUP(H264,Listas!I:I,Listas!J:J),"OUTROS"))))</f>
        <v>CANCELADA</v>
      </c>
      <c r="J264" s="248" t="s">
        <v>670</v>
      </c>
      <c r="K264" s="73" t="s">
        <v>31</v>
      </c>
      <c r="L264" s="73" t="s">
        <v>865</v>
      </c>
      <c r="M264" s="73"/>
      <c r="N264" s="73" t="s">
        <v>93</v>
      </c>
      <c r="O264" s="73" t="s">
        <v>34</v>
      </c>
      <c r="P264" s="73" t="s">
        <v>48</v>
      </c>
      <c r="Q264" s="73" t="s">
        <v>866</v>
      </c>
      <c r="R264" s="74"/>
      <c r="S264" s="228"/>
      <c r="T264" s="229"/>
      <c r="U264" s="73"/>
      <c r="V264" s="220"/>
      <c r="W264" s="203"/>
      <c r="X264" s="227" t="s">
        <v>52</v>
      </c>
      <c r="Y264" s="249"/>
      <c r="Z264" s="249"/>
      <c r="AA264" s="224"/>
      <c r="AB264" s="74"/>
      <c r="AC264" s="74"/>
      <c r="AD264" s="256">
        <v>0</v>
      </c>
    </row>
    <row r="265" spans="1:30" s="251" customFormat="1" ht="18" customHeight="1">
      <c r="A265" s="102">
        <v>30036</v>
      </c>
      <c r="B265" s="256">
        <v>1</v>
      </c>
      <c r="C265" s="201">
        <v>46136</v>
      </c>
      <c r="D265" s="105">
        <f t="shared" ca="1" si="11"/>
        <v>91</v>
      </c>
      <c r="E265" s="138" t="str">
        <f t="shared" si="10"/>
        <v>CANCELADA</v>
      </c>
      <c r="F265" s="117" t="s">
        <v>42</v>
      </c>
      <c r="G265" s="147" t="s">
        <v>60</v>
      </c>
      <c r="H265" s="117" t="s">
        <v>52</v>
      </c>
      <c r="I265" s="117" t="str">
        <f>IF(X265="ADMITIDO","ADMITIDO",IF(X265="CANCELADA","CANCELADA",IF(H265="","",IFERROR(_xlfn.XLOOKUP(H265,Listas!I:I,Listas!J:J),"OUTROS"))))</f>
        <v>CANCELADA</v>
      </c>
      <c r="J265" s="248" t="s">
        <v>53</v>
      </c>
      <c r="K265" s="73" t="s">
        <v>61</v>
      </c>
      <c r="L265" s="73" t="s">
        <v>867</v>
      </c>
      <c r="M265" s="73"/>
      <c r="N265" s="73" t="s">
        <v>63</v>
      </c>
      <c r="O265" s="73" t="s">
        <v>34</v>
      </c>
      <c r="P265" s="73" t="s">
        <v>219</v>
      </c>
      <c r="Q265" s="73" t="s">
        <v>868</v>
      </c>
      <c r="R265" s="74" t="s">
        <v>1382</v>
      </c>
      <c r="S265" s="228"/>
      <c r="T265" s="229"/>
      <c r="U265" s="73"/>
      <c r="V265" s="220"/>
      <c r="W265" s="203"/>
      <c r="X265" s="227" t="s">
        <v>52</v>
      </c>
      <c r="Y265" s="249"/>
      <c r="Z265" s="249"/>
      <c r="AA265" s="224"/>
      <c r="AB265" s="74"/>
      <c r="AC265" s="74"/>
      <c r="AD265" s="256">
        <v>0</v>
      </c>
    </row>
    <row r="266" spans="1:30" s="251" customFormat="1" ht="18" customHeight="1">
      <c r="A266" s="102">
        <v>30010</v>
      </c>
      <c r="B266" s="256">
        <v>1</v>
      </c>
      <c r="C266" s="201">
        <v>46136</v>
      </c>
      <c r="D266" s="105">
        <f t="shared" ca="1" si="11"/>
        <v>91</v>
      </c>
      <c r="E266" s="138" t="str">
        <f t="shared" si="10"/>
        <v>CANCELADA</v>
      </c>
      <c r="F266" s="117" t="s">
        <v>171</v>
      </c>
      <c r="G266" s="147" t="s">
        <v>43</v>
      </c>
      <c r="H266" s="117" t="s">
        <v>52</v>
      </c>
      <c r="I266" s="117" t="str">
        <f>IF(X266="ADMITIDO","ADMITIDO",IF(X266="CANCELADA","CANCELADA",IF(H266="","",IFERROR(_xlfn.XLOOKUP(H266,Listas!I:I,Listas!J:J),"OUTROS"))))</f>
        <v>CANCELADA</v>
      </c>
      <c r="J266" s="248" t="s">
        <v>514</v>
      </c>
      <c r="K266" s="73" t="s">
        <v>360</v>
      </c>
      <c r="L266" s="73" t="s">
        <v>869</v>
      </c>
      <c r="M266" s="73"/>
      <c r="N266" s="73" t="s">
        <v>337</v>
      </c>
      <c r="O266" s="73" t="s">
        <v>34</v>
      </c>
      <c r="P266" s="73" t="s">
        <v>703</v>
      </c>
      <c r="Q266" s="73" t="s">
        <v>36</v>
      </c>
      <c r="R266" s="74"/>
      <c r="S266" s="228"/>
      <c r="T266" s="229"/>
      <c r="U266" s="73"/>
      <c r="V266" s="220"/>
      <c r="W266" s="118"/>
      <c r="X266" s="119" t="s">
        <v>52</v>
      </c>
      <c r="Y266" s="249"/>
      <c r="Z266" s="249"/>
      <c r="AA266" s="224"/>
      <c r="AB266" s="74" t="s">
        <v>1383</v>
      </c>
      <c r="AC266" s="74"/>
      <c r="AD266" s="256">
        <v>1</v>
      </c>
    </row>
    <row r="267" spans="1:30" s="251" customFormat="1" ht="18" customHeight="1">
      <c r="A267" s="102">
        <v>30041</v>
      </c>
      <c r="B267" s="256">
        <v>1</v>
      </c>
      <c r="C267" s="201">
        <v>46136</v>
      </c>
      <c r="D267" s="105">
        <f t="shared" ca="1" si="11"/>
        <v>91</v>
      </c>
      <c r="E267" s="138" t="str">
        <f t="shared" si="10"/>
        <v>ADMITIDO</v>
      </c>
      <c r="F267" s="117" t="s">
        <v>42</v>
      </c>
      <c r="G267" s="117" t="s">
        <v>69</v>
      </c>
      <c r="H267" s="117" t="s">
        <v>40</v>
      </c>
      <c r="I267" s="117" t="str">
        <f>IF(X267="ADMITIDO","ADMITIDO",IF(X267="CANCELADA","CANCELADA",IF(H267="","",IFERROR(_xlfn.XLOOKUP(H267,Listas!I:I,Listas!J:J),"OUTROS"))))</f>
        <v>ADMITIDO</v>
      </c>
      <c r="J267" s="248" t="s">
        <v>461</v>
      </c>
      <c r="K267" s="73" t="s">
        <v>70</v>
      </c>
      <c r="L267" s="73" t="s">
        <v>343</v>
      </c>
      <c r="M267" s="73"/>
      <c r="N267" s="73" t="s">
        <v>63</v>
      </c>
      <c r="O267" s="73" t="s">
        <v>34</v>
      </c>
      <c r="P267" s="73" t="s">
        <v>219</v>
      </c>
      <c r="Q267" s="73" t="s">
        <v>462</v>
      </c>
      <c r="R267" s="74"/>
      <c r="S267" s="228" t="s">
        <v>373</v>
      </c>
      <c r="T267" s="229"/>
      <c r="U267" s="73" t="s">
        <v>76</v>
      </c>
      <c r="V267" s="220">
        <v>46142</v>
      </c>
      <c r="W267" s="203" t="s">
        <v>871</v>
      </c>
      <c r="X267" s="119" t="s">
        <v>40</v>
      </c>
      <c r="Y267" s="249">
        <v>46148</v>
      </c>
      <c r="Z267" s="249">
        <v>46149</v>
      </c>
      <c r="AA267" s="224">
        <v>914234</v>
      </c>
      <c r="AB267" s="74" t="s">
        <v>872</v>
      </c>
      <c r="AC267" s="74"/>
      <c r="AD267" s="256">
        <v>0</v>
      </c>
    </row>
    <row r="268" spans="1:30" s="251" customFormat="1" ht="18" customHeight="1">
      <c r="A268" s="102">
        <v>30021</v>
      </c>
      <c r="B268" s="256">
        <v>1</v>
      </c>
      <c r="C268" s="201">
        <v>46136</v>
      </c>
      <c r="D268" s="105">
        <f t="shared" ca="1" si="11"/>
        <v>91</v>
      </c>
      <c r="E268" s="138" t="str">
        <f t="shared" si="10"/>
        <v>ADMITIDO</v>
      </c>
      <c r="F268" s="117" t="s">
        <v>171</v>
      </c>
      <c r="G268" s="117" t="s">
        <v>29</v>
      </c>
      <c r="H268" s="117" t="s">
        <v>40</v>
      </c>
      <c r="I268" s="117" t="str">
        <f>IF(X268="ADMITIDO","ADMITIDO",IF(X268="CANCELADA","CANCELADA",IF(H268="","",IFERROR(_xlfn.XLOOKUP(H268,Listas!I:I,Listas!J:J),"OUTROS"))))</f>
        <v>ADMITIDO</v>
      </c>
      <c r="J268" s="248" t="s">
        <v>172</v>
      </c>
      <c r="K268" s="73" t="s">
        <v>31</v>
      </c>
      <c r="L268" s="73" t="s">
        <v>873</v>
      </c>
      <c r="M268" s="73"/>
      <c r="N268" s="73" t="s">
        <v>874</v>
      </c>
      <c r="O268" s="73" t="s">
        <v>34</v>
      </c>
      <c r="P268" s="73" t="s">
        <v>35</v>
      </c>
      <c r="Q268" s="73" t="s">
        <v>875</v>
      </c>
      <c r="R268" s="74"/>
      <c r="S268" s="228"/>
      <c r="T268" s="229"/>
      <c r="U268" s="73"/>
      <c r="V268" s="220"/>
      <c r="W268" s="203"/>
      <c r="X268" s="117"/>
      <c r="Y268" s="249"/>
      <c r="Z268" s="249"/>
      <c r="AA268" s="224"/>
      <c r="AB268" s="74" t="s">
        <v>876</v>
      </c>
      <c r="AC268" s="74"/>
      <c r="AD268" s="256">
        <v>0</v>
      </c>
    </row>
    <row r="269" spans="1:30" s="251" customFormat="1" ht="18" customHeight="1">
      <c r="A269" s="102">
        <v>30039</v>
      </c>
      <c r="B269" s="256">
        <v>1</v>
      </c>
      <c r="C269" s="201">
        <v>46136</v>
      </c>
      <c r="D269" s="105">
        <f t="shared" ca="1" si="11"/>
        <v>91</v>
      </c>
      <c r="E269" s="138" t="str">
        <f t="shared" si="10"/>
        <v>ADMITIDO</v>
      </c>
      <c r="F269" s="117" t="s">
        <v>42</v>
      </c>
      <c r="G269" s="117" t="s">
        <v>29</v>
      </c>
      <c r="H269" s="117" t="s">
        <v>40</v>
      </c>
      <c r="I269" s="117" t="str">
        <f>IF(X269="ADMITIDO","ADMITIDO",IF(X269="CANCELADA","CANCELADA",IF(H269="","",IFERROR(_xlfn.XLOOKUP(H269,Listas!I:I,Listas!J:J),"OUTROS"))))</f>
        <v>ADMITIDO</v>
      </c>
      <c r="J269" s="248" t="s">
        <v>53</v>
      </c>
      <c r="K269" s="73" t="s">
        <v>54</v>
      </c>
      <c r="L269" s="73" t="s">
        <v>55</v>
      </c>
      <c r="M269" s="73"/>
      <c r="N269" s="73" t="s">
        <v>33</v>
      </c>
      <c r="O269" s="73" t="s">
        <v>56</v>
      </c>
      <c r="P269" s="73" t="s">
        <v>35</v>
      </c>
      <c r="Q269" s="73" t="s">
        <v>176</v>
      </c>
      <c r="R269" s="74"/>
      <c r="S269" s="228"/>
      <c r="T269" s="229" t="s">
        <v>877</v>
      </c>
      <c r="U269" s="73" t="s">
        <v>38</v>
      </c>
      <c r="V269" s="220">
        <v>46147</v>
      </c>
      <c r="W269" s="118" t="s">
        <v>878</v>
      </c>
      <c r="X269" s="117" t="s">
        <v>40</v>
      </c>
      <c r="Y269" s="249">
        <v>46155</v>
      </c>
      <c r="Z269" s="249">
        <v>46156</v>
      </c>
      <c r="AA269" s="224">
        <v>145943</v>
      </c>
      <c r="AB269" s="74"/>
      <c r="AC269" s="74"/>
      <c r="AD269" s="256">
        <v>0</v>
      </c>
    </row>
    <row r="270" spans="1:30" s="251" customFormat="1" ht="18" customHeight="1">
      <c r="A270" s="102">
        <v>30043</v>
      </c>
      <c r="B270" s="256">
        <v>1</v>
      </c>
      <c r="C270" s="201">
        <v>46136</v>
      </c>
      <c r="D270" s="105">
        <f t="shared" ca="1" si="11"/>
        <v>91</v>
      </c>
      <c r="E270" s="138" t="str">
        <f t="shared" si="10"/>
        <v>ADMITIDO</v>
      </c>
      <c r="F270" s="117" t="s">
        <v>42</v>
      </c>
      <c r="G270" s="117" t="s">
        <v>145</v>
      </c>
      <c r="H270" s="117" t="s">
        <v>40</v>
      </c>
      <c r="I270" s="117" t="str">
        <f>IF(X270="ADMITIDO","ADMITIDO",IF(X270="CANCELADA","CANCELADA",IF(H270="","",IFERROR(_xlfn.XLOOKUP(H270,Listas!I:I,Listas!J:J),"OUTROS"))))</f>
        <v>ADMITIDO</v>
      </c>
      <c r="J270" s="248" t="s">
        <v>782</v>
      </c>
      <c r="K270" s="73" t="s">
        <v>103</v>
      </c>
      <c r="L270" s="73" t="s">
        <v>104</v>
      </c>
      <c r="M270" s="73"/>
      <c r="N270" s="73" t="s">
        <v>33</v>
      </c>
      <c r="O270" s="73" t="s">
        <v>34</v>
      </c>
      <c r="P270" s="73" t="s">
        <v>57</v>
      </c>
      <c r="Q270" s="73" t="s">
        <v>880</v>
      </c>
      <c r="R270" s="74"/>
      <c r="S270" s="228"/>
      <c r="T270" s="229"/>
      <c r="U270" s="73" t="s">
        <v>132</v>
      </c>
      <c r="V270" s="220">
        <v>46157</v>
      </c>
      <c r="W270" s="203" t="s">
        <v>881</v>
      </c>
      <c r="X270" s="227" t="s">
        <v>40</v>
      </c>
      <c r="Y270" s="249">
        <v>46161</v>
      </c>
      <c r="Z270" s="249">
        <v>46162</v>
      </c>
      <c r="AA270" s="224">
        <v>145983</v>
      </c>
      <c r="AB270" s="74"/>
      <c r="AC270" s="74"/>
      <c r="AD270" s="256">
        <v>0</v>
      </c>
    </row>
    <row r="271" spans="1:30" s="251" customFormat="1" ht="18" customHeight="1">
      <c r="A271" s="122">
        <v>30032</v>
      </c>
      <c r="B271" s="256">
        <v>1</v>
      </c>
      <c r="C271" s="201">
        <v>46136</v>
      </c>
      <c r="D271" s="105">
        <f t="shared" ca="1" si="11"/>
        <v>91</v>
      </c>
      <c r="E271" s="138" t="str">
        <f t="shared" si="10"/>
        <v>ADMITIDO</v>
      </c>
      <c r="F271" s="117" t="s">
        <v>42</v>
      </c>
      <c r="G271" s="147" t="s">
        <v>240</v>
      </c>
      <c r="H271" s="117" t="s">
        <v>40</v>
      </c>
      <c r="I271" s="117" t="str">
        <f>IF(X271="ADMITIDO","ADMITIDO",IF(X271="CANCELADA","CANCELADA",IF(H271="","",IFERROR(_xlfn.XLOOKUP(H271,Listas!I:I,Listas!J:J),"OUTROS"))))</f>
        <v>ADMITIDO</v>
      </c>
      <c r="J271" s="248" t="s">
        <v>53</v>
      </c>
      <c r="K271" s="73" t="s">
        <v>241</v>
      </c>
      <c r="L271" s="73" t="s">
        <v>775</v>
      </c>
      <c r="M271" s="73"/>
      <c r="N271" s="73" t="s">
        <v>243</v>
      </c>
      <c r="O271" s="73" t="s">
        <v>34</v>
      </c>
      <c r="P271" s="73" t="s">
        <v>57</v>
      </c>
      <c r="Q271" s="73" t="s">
        <v>73</v>
      </c>
      <c r="R271" s="74"/>
      <c r="S271" s="228"/>
      <c r="T271" s="229" t="s">
        <v>882</v>
      </c>
      <c r="U271" s="73" t="s">
        <v>109</v>
      </c>
      <c r="V271" s="220">
        <v>46148</v>
      </c>
      <c r="W271" s="203" t="s">
        <v>883</v>
      </c>
      <c r="X271" s="119" t="s">
        <v>40</v>
      </c>
      <c r="Y271" s="249">
        <v>46150</v>
      </c>
      <c r="Z271" s="249">
        <v>46153</v>
      </c>
      <c r="AA271" s="224">
        <v>145939</v>
      </c>
      <c r="AB271" s="74"/>
      <c r="AC271" s="74"/>
      <c r="AD271" s="256">
        <v>0</v>
      </c>
    </row>
    <row r="272" spans="1:30" s="251" customFormat="1" ht="18" customHeight="1">
      <c r="A272" s="102">
        <v>30038</v>
      </c>
      <c r="B272" s="256">
        <v>1</v>
      </c>
      <c r="C272" s="201">
        <v>46136</v>
      </c>
      <c r="D272" s="105">
        <f t="shared" ca="1" si="11"/>
        <v>91</v>
      </c>
      <c r="E272" s="138" t="str">
        <f t="shared" si="10"/>
        <v>ADMITIDO</v>
      </c>
      <c r="F272" s="117" t="s">
        <v>42</v>
      </c>
      <c r="G272" s="117" t="s">
        <v>663</v>
      </c>
      <c r="H272" s="117" t="s">
        <v>40</v>
      </c>
      <c r="I272" s="117" t="str">
        <f>IF(X272="ADMITIDO","ADMITIDO",IF(X272="CANCELADA","CANCELADA",IF(H272="","",IFERROR(_xlfn.XLOOKUP(H272,Listas!I:I,Listas!J:J),"OUTROS"))))</f>
        <v>ADMITIDO</v>
      </c>
      <c r="J272" s="248" t="s">
        <v>53</v>
      </c>
      <c r="K272" s="73" t="s">
        <v>54</v>
      </c>
      <c r="L272" s="73" t="s">
        <v>164</v>
      </c>
      <c r="M272" s="73"/>
      <c r="N272" s="73" t="s">
        <v>88</v>
      </c>
      <c r="O272" s="73" t="s">
        <v>34</v>
      </c>
      <c r="P272" s="73" t="s">
        <v>57</v>
      </c>
      <c r="Q272" s="73" t="s">
        <v>94</v>
      </c>
      <c r="R272" s="74"/>
      <c r="S272" s="228"/>
      <c r="T272" s="229" t="s">
        <v>884</v>
      </c>
      <c r="U272" s="73" t="s">
        <v>38</v>
      </c>
      <c r="V272" s="220">
        <v>46160</v>
      </c>
      <c r="W272" s="236" t="s">
        <v>885</v>
      </c>
      <c r="X272" s="119" t="s">
        <v>40</v>
      </c>
      <c r="Y272" s="249">
        <v>46162</v>
      </c>
      <c r="Z272" s="249">
        <v>46163</v>
      </c>
      <c r="AA272" s="224">
        <v>145984</v>
      </c>
      <c r="AB272" s="74" t="s">
        <v>886</v>
      </c>
      <c r="AC272" s="74"/>
      <c r="AD272" s="256">
        <v>1</v>
      </c>
    </row>
    <row r="273" spans="1:30" s="251" customFormat="1" ht="18" customHeight="1">
      <c r="A273" s="102">
        <v>30011</v>
      </c>
      <c r="B273" s="256">
        <v>1</v>
      </c>
      <c r="C273" s="201">
        <v>46136</v>
      </c>
      <c r="D273" s="105">
        <f t="shared" ca="1" si="11"/>
        <v>91</v>
      </c>
      <c r="E273" s="138" t="str">
        <f t="shared" si="10"/>
        <v>ADMITIDO</v>
      </c>
      <c r="F273" s="117" t="s">
        <v>28</v>
      </c>
      <c r="G273" s="147" t="s">
        <v>240</v>
      </c>
      <c r="H273" s="117" t="str">
        <f>X273</f>
        <v>ADMITIDO</v>
      </c>
      <c r="I273" s="117" t="str">
        <f>IF(X273="ADMITIDO","ADMITIDO",IF(X273="CANCELADA","CANCELADA",IF(H273="","",IFERROR(_xlfn.XLOOKUP(H273,Listas!I:I,Listas!J:J),"OUTROS"))))</f>
        <v>ADMITIDO</v>
      </c>
      <c r="J273" s="248" t="s">
        <v>268</v>
      </c>
      <c r="K273" s="73" t="s">
        <v>423</v>
      </c>
      <c r="L273" s="73" t="s">
        <v>887</v>
      </c>
      <c r="M273" s="73"/>
      <c r="N273" s="73" t="s">
        <v>175</v>
      </c>
      <c r="O273" s="73" t="s">
        <v>34</v>
      </c>
      <c r="P273" s="73" t="s">
        <v>35</v>
      </c>
      <c r="Q273" s="73" t="s">
        <v>36</v>
      </c>
      <c r="R273" s="74"/>
      <c r="S273" s="228"/>
      <c r="T273" s="252"/>
      <c r="U273" s="73" t="s">
        <v>132</v>
      </c>
      <c r="V273" s="220">
        <v>46135</v>
      </c>
      <c r="W273" s="203" t="s">
        <v>888</v>
      </c>
      <c r="X273" s="119" t="s">
        <v>40</v>
      </c>
      <c r="Y273" s="249">
        <v>46140</v>
      </c>
      <c r="Z273" s="249">
        <v>46143</v>
      </c>
      <c r="AA273" s="224">
        <v>914188</v>
      </c>
      <c r="AB273" s="74"/>
      <c r="AC273" s="74"/>
      <c r="AD273" s="256">
        <v>0</v>
      </c>
    </row>
    <row r="274" spans="1:30" s="251" customFormat="1" ht="18" customHeight="1">
      <c r="A274" s="122">
        <v>30031</v>
      </c>
      <c r="B274" s="256">
        <v>1</v>
      </c>
      <c r="C274" s="201">
        <v>46136</v>
      </c>
      <c r="D274" s="105">
        <f t="shared" ca="1" si="11"/>
        <v>91</v>
      </c>
      <c r="E274" s="232" t="str">
        <f t="shared" si="10"/>
        <v>ADMITIDO</v>
      </c>
      <c r="F274" s="117" t="s">
        <v>28</v>
      </c>
      <c r="G274" s="117" t="s">
        <v>60</v>
      </c>
      <c r="H274" s="117" t="s">
        <v>40</v>
      </c>
      <c r="I274" s="117" t="str">
        <f>IF(X274="ADMITIDO","ADMITIDO",IF(X274="CANCELADA","CANCELADA",IF(H274="","",IFERROR(_xlfn.XLOOKUP(H274,Listas!I:I,Listas!J:J),"OUTROS"))))</f>
        <v>ADMITIDO</v>
      </c>
      <c r="J274" s="248" t="s">
        <v>268</v>
      </c>
      <c r="K274" s="73" t="s">
        <v>330</v>
      </c>
      <c r="L274" s="73" t="s">
        <v>747</v>
      </c>
      <c r="M274" s="73"/>
      <c r="N274" s="73" t="s">
        <v>63</v>
      </c>
      <c r="O274" s="73" t="s">
        <v>34</v>
      </c>
      <c r="P274" s="73" t="s">
        <v>35</v>
      </c>
      <c r="Q274" s="73" t="s">
        <v>36</v>
      </c>
      <c r="R274" s="74" t="s">
        <v>889</v>
      </c>
      <c r="S274" s="228"/>
      <c r="T274" s="252" t="s">
        <v>890</v>
      </c>
      <c r="U274" s="73" t="s">
        <v>76</v>
      </c>
      <c r="V274" s="220">
        <v>46155</v>
      </c>
      <c r="W274" s="203" t="s">
        <v>891</v>
      </c>
      <c r="X274" s="119" t="s">
        <v>40</v>
      </c>
      <c r="Y274" s="249">
        <v>46157</v>
      </c>
      <c r="Z274" s="249">
        <v>46161</v>
      </c>
      <c r="AA274" s="224">
        <v>914288</v>
      </c>
      <c r="AB274" s="74" t="s">
        <v>892</v>
      </c>
      <c r="AC274" s="74"/>
      <c r="AD274" s="256">
        <v>0</v>
      </c>
    </row>
    <row r="275" spans="1:30" s="251" customFormat="1" ht="18" customHeight="1">
      <c r="A275" s="122">
        <v>30027</v>
      </c>
      <c r="B275" s="256">
        <v>1</v>
      </c>
      <c r="C275" s="201">
        <v>46136</v>
      </c>
      <c r="D275" s="105">
        <f t="shared" ca="1" si="11"/>
        <v>91</v>
      </c>
      <c r="E275" s="193" t="str">
        <f>IF(X275="ADMITIDO","ADMITIDO",IF(X275="CANCELADA","CANCELADA",IF(H275="","",IF(H275="ADMITIDO","ADMITIDO",IF(H275="CANCELADA","CANCELADA",IF(OR(H275="ANALISE CANCELAMENTO",H275="ANÁLISE CANCELAMENTO"),"EM ANÁLISE",IF(D275="","",IF(D275&lt;=7,"NO PRAZO",IF(D275&lt;=14,"ATENÇÃO","CRÍTICO")))))))))</f>
        <v>CANCELADA</v>
      </c>
      <c r="F275" s="117" t="s">
        <v>42</v>
      </c>
      <c r="G275" s="117" t="s">
        <v>29</v>
      </c>
      <c r="H275" s="117" t="s">
        <v>52</v>
      </c>
      <c r="I275" s="117" t="str">
        <f>IF(X275="ADMITIDO","ADMITIDO",IF(X275="CANCELADA","CANCELADA",IF(H275="","",IFERROR(_xlfn.XLOOKUP(H275,Listas!I:I,Listas!J:J),"OUTROS"))))</f>
        <v>CANCELADA</v>
      </c>
      <c r="J275" s="248" t="s">
        <v>53</v>
      </c>
      <c r="K275" s="73" t="s">
        <v>228</v>
      </c>
      <c r="L275" s="73" t="s">
        <v>807</v>
      </c>
      <c r="M275" s="73"/>
      <c r="N275" s="73" t="s">
        <v>88</v>
      </c>
      <c r="O275" s="73" t="s">
        <v>34</v>
      </c>
      <c r="P275" s="73" t="s">
        <v>48</v>
      </c>
      <c r="Q275" s="73" t="s">
        <v>49</v>
      </c>
      <c r="R275" s="74" t="s">
        <v>1384</v>
      </c>
      <c r="S275" s="228"/>
      <c r="T275" s="229"/>
      <c r="U275" s="73"/>
      <c r="V275" s="220"/>
      <c r="W275" s="203"/>
      <c r="X275" s="119"/>
      <c r="Y275" s="249"/>
      <c r="Z275" s="249"/>
      <c r="AA275" s="224"/>
      <c r="AB275" s="74"/>
      <c r="AC275" s="74"/>
      <c r="AD275" s="256">
        <v>0</v>
      </c>
    </row>
    <row r="276" spans="1:30" s="251" customFormat="1" ht="18" customHeight="1">
      <c r="A276" s="102">
        <v>30030</v>
      </c>
      <c r="B276" s="256">
        <v>1</v>
      </c>
      <c r="C276" s="201">
        <v>46136</v>
      </c>
      <c r="D276" s="105">
        <f t="shared" ca="1" si="11"/>
        <v>91</v>
      </c>
      <c r="E276" s="138" t="str">
        <f t="shared" si="10"/>
        <v>ADMITIDO</v>
      </c>
      <c r="F276" s="117" t="s">
        <v>42</v>
      </c>
      <c r="G276" s="117" t="s">
        <v>29</v>
      </c>
      <c r="H276" s="117" t="s">
        <v>40</v>
      </c>
      <c r="I276" s="117" t="str">
        <f>IF(X276="ADMITIDO","ADMITIDO",IF(X276="CANCELADA","CANCELADA",IF(H276="","",IFERROR(_xlfn.XLOOKUP(H276,Listas!I:I,Listas!J:J),"OUTROS"))))</f>
        <v>ADMITIDO</v>
      </c>
      <c r="J276" s="248" t="s">
        <v>461</v>
      </c>
      <c r="K276" s="73" t="s">
        <v>228</v>
      </c>
      <c r="L276" s="73" t="s">
        <v>807</v>
      </c>
      <c r="M276" s="73"/>
      <c r="N276" s="73" t="s">
        <v>88</v>
      </c>
      <c r="O276" s="73" t="s">
        <v>34</v>
      </c>
      <c r="P276" s="73" t="s">
        <v>48</v>
      </c>
      <c r="Q276" s="73" t="s">
        <v>131</v>
      </c>
      <c r="R276" s="74"/>
      <c r="S276" s="228"/>
      <c r="T276" s="252"/>
      <c r="U276" s="73" t="s">
        <v>38</v>
      </c>
      <c r="V276" s="220">
        <v>46140</v>
      </c>
      <c r="W276" s="203" t="s">
        <v>893</v>
      </c>
      <c r="X276" s="117" t="s">
        <v>40</v>
      </c>
      <c r="Y276" s="249">
        <v>46148</v>
      </c>
      <c r="Z276" s="249">
        <v>46149</v>
      </c>
      <c r="AA276" s="224">
        <v>914217</v>
      </c>
      <c r="AB276" s="74"/>
      <c r="AC276" s="74"/>
      <c r="AD276" s="256">
        <v>0</v>
      </c>
    </row>
    <row r="277" spans="1:30" s="251" customFormat="1" ht="18" customHeight="1">
      <c r="A277" s="102">
        <v>30044</v>
      </c>
      <c r="B277" s="256">
        <v>1</v>
      </c>
      <c r="C277" s="201">
        <v>46136</v>
      </c>
      <c r="D277" s="105">
        <f t="shared" ca="1" si="11"/>
        <v>91</v>
      </c>
      <c r="E277" s="138" t="str">
        <f t="shared" si="10"/>
        <v>ADMITIDO</v>
      </c>
      <c r="F277" s="117" t="s">
        <v>171</v>
      </c>
      <c r="G277" s="147" t="s">
        <v>145</v>
      </c>
      <c r="H277" s="117" t="s">
        <v>40</v>
      </c>
      <c r="I277" s="117" t="str">
        <f>IF(X277="ADMITIDO","ADMITIDO",IF(X277="CANCELADA","CANCELADA",IF(H277="","",IFERROR(_xlfn.XLOOKUP(H277,Listas!I:I,Listas!J:J),"OUTROS"))))</f>
        <v>ADMITIDO</v>
      </c>
      <c r="J277" s="248" t="s">
        <v>894</v>
      </c>
      <c r="K277" s="73" t="s">
        <v>371</v>
      </c>
      <c r="L277" s="73" t="s">
        <v>895</v>
      </c>
      <c r="M277" s="73"/>
      <c r="N277" s="73" t="s">
        <v>391</v>
      </c>
      <c r="O277" s="73" t="s">
        <v>34</v>
      </c>
      <c r="P277" s="73" t="s">
        <v>35</v>
      </c>
      <c r="Q277" s="73" t="s">
        <v>711</v>
      </c>
      <c r="R277" s="74" t="s">
        <v>896</v>
      </c>
      <c r="S277" s="228"/>
      <c r="T277" s="229" t="s">
        <v>897</v>
      </c>
      <c r="U277" s="73" t="s">
        <v>132</v>
      </c>
      <c r="V277" s="220">
        <v>46136</v>
      </c>
      <c r="W277" s="203" t="s">
        <v>898</v>
      </c>
      <c r="X277" s="117" t="s">
        <v>40</v>
      </c>
      <c r="Y277" s="249">
        <v>46148</v>
      </c>
      <c r="Z277" s="249">
        <v>46150</v>
      </c>
      <c r="AA277" s="224">
        <v>83279</v>
      </c>
      <c r="AB277" s="74"/>
      <c r="AC277" s="74"/>
      <c r="AD277" s="256">
        <v>0</v>
      </c>
    </row>
    <row r="278" spans="1:30" s="251" customFormat="1" ht="18" customHeight="1">
      <c r="A278" s="102">
        <v>30012</v>
      </c>
      <c r="B278" s="256">
        <v>1</v>
      </c>
      <c r="C278" s="201">
        <v>46136</v>
      </c>
      <c r="D278" s="105">
        <f t="shared" ca="1" si="11"/>
        <v>91</v>
      </c>
      <c r="E278" s="138" t="str">
        <f t="shared" si="10"/>
        <v>CANCELADA</v>
      </c>
      <c r="F278" s="117" t="s">
        <v>28</v>
      </c>
      <c r="G278" s="147" t="s">
        <v>240</v>
      </c>
      <c r="H278" s="117" t="s">
        <v>52</v>
      </c>
      <c r="I278" s="117" t="str">
        <f>IF(X278="ADMITIDO","ADMITIDO",IF(X278="CANCELADA","CANCELADA",IF(H278="","",IFERROR(_xlfn.XLOOKUP(H278,Listas!I:I,Listas!J:J),"OUTROS"))))</f>
        <v>CANCELADA</v>
      </c>
      <c r="J278" s="248" t="s">
        <v>268</v>
      </c>
      <c r="K278" s="73" t="s">
        <v>423</v>
      </c>
      <c r="L278" s="73" t="s">
        <v>855</v>
      </c>
      <c r="M278" s="73"/>
      <c r="N278" s="73" t="s">
        <v>63</v>
      </c>
      <c r="O278" s="73" t="s">
        <v>34</v>
      </c>
      <c r="P278" s="73" t="s">
        <v>35</v>
      </c>
      <c r="Q278" s="73" t="s">
        <v>36</v>
      </c>
      <c r="R278" s="74"/>
      <c r="S278" s="228" t="s">
        <v>899</v>
      </c>
      <c r="T278" s="229" t="s">
        <v>900</v>
      </c>
      <c r="U278" s="73"/>
      <c r="V278" s="220"/>
      <c r="W278" s="203" t="s">
        <v>901</v>
      </c>
      <c r="X278" s="73" t="s">
        <v>52</v>
      </c>
      <c r="Y278" s="249"/>
      <c r="Z278" s="249"/>
      <c r="AA278" s="224"/>
      <c r="AB278" s="74"/>
      <c r="AC278" s="74"/>
      <c r="AD278" s="256">
        <v>0</v>
      </c>
    </row>
    <row r="279" spans="1:30" s="251" customFormat="1" ht="18" customHeight="1">
      <c r="A279" s="102">
        <v>30013</v>
      </c>
      <c r="B279" s="256">
        <v>1</v>
      </c>
      <c r="C279" s="201">
        <v>46136</v>
      </c>
      <c r="D279" s="105">
        <f t="shared" ca="1" si="11"/>
        <v>91</v>
      </c>
      <c r="E279" s="138" t="str">
        <f t="shared" si="10"/>
        <v>ADMITIDO</v>
      </c>
      <c r="F279" s="117" t="s">
        <v>28</v>
      </c>
      <c r="G279" s="147" t="s">
        <v>240</v>
      </c>
      <c r="H279" s="117" t="str">
        <f>X279</f>
        <v>ADMITIDO</v>
      </c>
      <c r="I279" s="117" t="str">
        <f>IF(X279="ADMITIDO","ADMITIDO",IF(X279="CANCELADA","CANCELADA",IF(H279="","",IFERROR(_xlfn.XLOOKUP(H279,Listas!I:I,Listas!J:J),"OUTROS"))))</f>
        <v>ADMITIDO</v>
      </c>
      <c r="J279" s="248" t="s">
        <v>487</v>
      </c>
      <c r="K279" s="73" t="s">
        <v>423</v>
      </c>
      <c r="L279" s="73" t="s">
        <v>488</v>
      </c>
      <c r="M279" s="73"/>
      <c r="N279" s="73" t="s">
        <v>63</v>
      </c>
      <c r="O279" s="73" t="s">
        <v>34</v>
      </c>
      <c r="P279" s="73" t="s">
        <v>35</v>
      </c>
      <c r="Q279" s="73" t="s">
        <v>36</v>
      </c>
      <c r="R279" s="74"/>
      <c r="S279" s="228"/>
      <c r="T279" s="252"/>
      <c r="U279" s="73" t="s">
        <v>132</v>
      </c>
      <c r="V279" s="220">
        <v>46135</v>
      </c>
      <c r="W279" s="203" t="s">
        <v>902</v>
      </c>
      <c r="X279" s="119" t="s">
        <v>40</v>
      </c>
      <c r="Y279" s="249">
        <v>46140</v>
      </c>
      <c r="Z279" s="249">
        <v>46143</v>
      </c>
      <c r="AA279" s="224">
        <v>914192</v>
      </c>
      <c r="AB279" s="74"/>
      <c r="AC279" s="74"/>
      <c r="AD279" s="256">
        <v>0</v>
      </c>
    </row>
    <row r="280" spans="1:30" s="251" customFormat="1" ht="18" customHeight="1">
      <c r="A280" s="102">
        <v>30042</v>
      </c>
      <c r="B280" s="256">
        <v>1</v>
      </c>
      <c r="C280" s="201">
        <v>46136</v>
      </c>
      <c r="D280" s="105">
        <f t="shared" ca="1" si="11"/>
        <v>91</v>
      </c>
      <c r="E280" s="138" t="str">
        <f t="shared" si="10"/>
        <v>ADMITIDO</v>
      </c>
      <c r="F280" s="117" t="s">
        <v>28</v>
      </c>
      <c r="G280" s="117" t="s">
        <v>29</v>
      </c>
      <c r="H280" s="117" t="s">
        <v>40</v>
      </c>
      <c r="I280" s="117" t="str">
        <f>IF(X280="ADMITIDO","ADMITIDO",IF(X280="CANCELADA","CANCELADA",IF(H280="","",IFERROR(_xlfn.XLOOKUP(H280,Listas!I:I,Listas!J:J),"OUTROS"))))</f>
        <v>ADMITIDO</v>
      </c>
      <c r="J280" s="248" t="s">
        <v>146</v>
      </c>
      <c r="K280" s="73" t="s">
        <v>86</v>
      </c>
      <c r="L280" s="73" t="s">
        <v>903</v>
      </c>
      <c r="M280" s="73"/>
      <c r="N280" s="73" t="s">
        <v>904</v>
      </c>
      <c r="O280" s="73" t="s">
        <v>34</v>
      </c>
      <c r="P280" s="73" t="s">
        <v>35</v>
      </c>
      <c r="Q280" s="73" t="s">
        <v>905</v>
      </c>
      <c r="R280" s="74"/>
      <c r="S280" s="228"/>
      <c r="T280" s="229"/>
      <c r="U280" s="73" t="s">
        <v>38</v>
      </c>
      <c r="V280" s="220">
        <v>46142</v>
      </c>
      <c r="W280" s="203" t="s">
        <v>906</v>
      </c>
      <c r="X280" s="119" t="s">
        <v>40</v>
      </c>
      <c r="Y280" s="249">
        <v>46147</v>
      </c>
      <c r="Z280" s="249">
        <v>46148</v>
      </c>
      <c r="AA280" s="224">
        <v>914226</v>
      </c>
      <c r="AB280" s="74"/>
      <c r="AC280" s="74"/>
      <c r="AD280" s="256">
        <v>0</v>
      </c>
    </row>
    <row r="281" spans="1:30" s="251" customFormat="1" ht="18" customHeight="1">
      <c r="A281" s="102">
        <v>30040</v>
      </c>
      <c r="B281" s="256">
        <v>1</v>
      </c>
      <c r="C281" s="201">
        <v>46136</v>
      </c>
      <c r="D281" s="105">
        <f t="shared" ca="1" si="11"/>
        <v>91</v>
      </c>
      <c r="E281" s="138" t="str">
        <f t="shared" si="10"/>
        <v>ADMITIDO</v>
      </c>
      <c r="F281" s="117" t="s">
        <v>28</v>
      </c>
      <c r="G281" s="117" t="s">
        <v>60</v>
      </c>
      <c r="H281" s="117" t="s">
        <v>40</v>
      </c>
      <c r="I281" s="117" t="str">
        <f>IF(X281="ADMITIDO","ADMITIDO",IF(X281="CANCELADA","CANCELADA",IF(H281="","",IFERROR(_xlfn.XLOOKUP(H281,Listas!I:I,Listas!J:J),"OUTROS"))))</f>
        <v>ADMITIDO</v>
      </c>
      <c r="J281" s="248" t="s">
        <v>487</v>
      </c>
      <c r="K281" s="73" t="s">
        <v>330</v>
      </c>
      <c r="L281" s="73" t="s">
        <v>907</v>
      </c>
      <c r="M281" s="73"/>
      <c r="N281" s="73" t="s">
        <v>63</v>
      </c>
      <c r="O281" s="73" t="s">
        <v>34</v>
      </c>
      <c r="P281" s="73" t="s">
        <v>35</v>
      </c>
      <c r="Q281" s="73" t="s">
        <v>36</v>
      </c>
      <c r="R281" s="74" t="s">
        <v>908</v>
      </c>
      <c r="S281" s="228"/>
      <c r="T281" s="229"/>
      <c r="U281" s="73" t="s">
        <v>67</v>
      </c>
      <c r="V281" s="220">
        <v>46147</v>
      </c>
      <c r="W281" s="203" t="s">
        <v>909</v>
      </c>
      <c r="X281" s="117" t="s">
        <v>40</v>
      </c>
      <c r="Y281" s="249">
        <v>46150</v>
      </c>
      <c r="Z281" s="249">
        <v>46153</v>
      </c>
      <c r="AA281" s="224">
        <v>914244</v>
      </c>
      <c r="AB281" s="74" t="s">
        <v>910</v>
      </c>
      <c r="AC281" s="74"/>
      <c r="AD281" s="256">
        <v>0</v>
      </c>
    </row>
    <row r="282" spans="1:30" s="251" customFormat="1" ht="18" customHeight="1">
      <c r="A282" s="122">
        <v>30026</v>
      </c>
      <c r="B282" s="256">
        <v>1</v>
      </c>
      <c r="C282" s="201">
        <v>46136</v>
      </c>
      <c r="D282" s="105">
        <f t="shared" ca="1" si="11"/>
        <v>91</v>
      </c>
      <c r="E282" s="138" t="str">
        <f t="shared" si="10"/>
        <v>CANCELADA</v>
      </c>
      <c r="F282" s="117" t="s">
        <v>171</v>
      </c>
      <c r="G282" s="147" t="s">
        <v>29</v>
      </c>
      <c r="H282" s="117" t="s">
        <v>52</v>
      </c>
      <c r="I282" s="117" t="str">
        <f>IF(X282="ADMITIDO","ADMITIDO",IF(X282="CANCELADA","CANCELADA",IF(H282="","",IFERROR(_xlfn.XLOOKUP(H282,Listas!I:I,Listas!J:J),"OUTROS"))))</f>
        <v>CANCELADA</v>
      </c>
      <c r="J282" s="248" t="s">
        <v>787</v>
      </c>
      <c r="K282" s="73" t="s">
        <v>335</v>
      </c>
      <c r="L282" s="73" t="s">
        <v>336</v>
      </c>
      <c r="M282" s="73"/>
      <c r="N282" s="73" t="s">
        <v>337</v>
      </c>
      <c r="O282" s="73" t="s">
        <v>56</v>
      </c>
      <c r="P282" s="73" t="s">
        <v>35</v>
      </c>
      <c r="Q282" s="73" t="s">
        <v>176</v>
      </c>
      <c r="R282" s="74"/>
      <c r="S282" s="228"/>
      <c r="T282" s="229"/>
      <c r="U282" s="73"/>
      <c r="V282" s="220"/>
      <c r="W282" s="203"/>
      <c r="X282" s="227"/>
      <c r="Y282" s="249"/>
      <c r="Z282" s="249"/>
      <c r="AA282" s="224"/>
      <c r="AB282" s="74" t="s">
        <v>1385</v>
      </c>
      <c r="AC282" s="74" t="s">
        <v>1386</v>
      </c>
      <c r="AD282" s="256">
        <v>1</v>
      </c>
    </row>
    <row r="283" spans="1:30" s="251" customFormat="1" ht="18" customHeight="1">
      <c r="A283" s="102">
        <v>30037</v>
      </c>
      <c r="B283" s="256">
        <v>1</v>
      </c>
      <c r="C283" s="201">
        <v>46136</v>
      </c>
      <c r="D283" s="105">
        <f t="shared" ca="1" si="11"/>
        <v>91</v>
      </c>
      <c r="E283" s="138" t="str">
        <f t="shared" si="10"/>
        <v>ADMITIDO</v>
      </c>
      <c r="F283" s="117" t="s">
        <v>171</v>
      </c>
      <c r="G283" s="117" t="s">
        <v>145</v>
      </c>
      <c r="H283" s="117" t="str">
        <f>X283</f>
        <v>ADMITIDO</v>
      </c>
      <c r="I283" s="117" t="str">
        <f>IF(X283="ADMITIDO","ADMITIDO",IF(X283="CANCELADA","CANCELADA",IF(H283="","",IFERROR(_xlfn.XLOOKUP(H283,Listas!I:I,Listas!J:J),"OUTROS"))))</f>
        <v>ADMITIDO</v>
      </c>
      <c r="J283" s="248" t="s">
        <v>268</v>
      </c>
      <c r="K283" s="73" t="s">
        <v>173</v>
      </c>
      <c r="L283" s="73" t="s">
        <v>494</v>
      </c>
      <c r="M283" s="73"/>
      <c r="N283" s="73" t="s">
        <v>175</v>
      </c>
      <c r="O283" s="73" t="s">
        <v>56</v>
      </c>
      <c r="P283" s="73" t="s">
        <v>35</v>
      </c>
      <c r="Q283" s="73" t="s">
        <v>176</v>
      </c>
      <c r="R283" s="74"/>
      <c r="S283" s="228"/>
      <c r="T283" s="252"/>
      <c r="U283" s="73" t="s">
        <v>132</v>
      </c>
      <c r="V283" s="220">
        <v>46140</v>
      </c>
      <c r="W283" s="203" t="s">
        <v>911</v>
      </c>
      <c r="X283" s="119" t="s">
        <v>40</v>
      </c>
      <c r="Y283" s="249">
        <v>46142</v>
      </c>
      <c r="Z283" s="249">
        <v>46145</v>
      </c>
      <c r="AA283" s="224">
        <v>914206</v>
      </c>
      <c r="AB283" s="74"/>
      <c r="AC283" s="74"/>
      <c r="AD283" s="256">
        <v>0</v>
      </c>
    </row>
    <row r="284" spans="1:30" s="251" customFormat="1" ht="18" customHeight="1">
      <c r="A284" s="102">
        <v>30019</v>
      </c>
      <c r="B284" s="256">
        <v>1</v>
      </c>
      <c r="C284" s="201">
        <v>46136</v>
      </c>
      <c r="D284" s="105">
        <f t="shared" ca="1" si="11"/>
        <v>91</v>
      </c>
      <c r="E284" s="138" t="str">
        <f t="shared" si="10"/>
        <v>ADMITIDO</v>
      </c>
      <c r="F284" s="117" t="s">
        <v>28</v>
      </c>
      <c r="G284" s="117" t="s">
        <v>145</v>
      </c>
      <c r="H284" s="117" t="str">
        <f>X284</f>
        <v>ADMITIDO</v>
      </c>
      <c r="I284" s="117" t="str">
        <f>IF(X284="ADMITIDO","ADMITIDO",IF(X284="CANCELADA","CANCELADA",IF(H284="","",IFERROR(_xlfn.XLOOKUP(H284,Listas!I:I,Listas!J:J),"OUTROS"))))</f>
        <v>ADMITIDO</v>
      </c>
      <c r="J284" s="248" t="s">
        <v>683</v>
      </c>
      <c r="K284" s="73" t="s">
        <v>330</v>
      </c>
      <c r="L284" s="73" t="s">
        <v>912</v>
      </c>
      <c r="M284" s="73"/>
      <c r="N284" s="73" t="s">
        <v>243</v>
      </c>
      <c r="O284" s="73" t="s">
        <v>34</v>
      </c>
      <c r="P284" s="73" t="s">
        <v>35</v>
      </c>
      <c r="Q284" s="73" t="s">
        <v>287</v>
      </c>
      <c r="R284" s="74"/>
      <c r="S284" s="228"/>
      <c r="T284" s="229"/>
      <c r="U284" s="73" t="s">
        <v>132</v>
      </c>
      <c r="V284" s="220">
        <v>46114</v>
      </c>
      <c r="W284" s="203" t="s">
        <v>913</v>
      </c>
      <c r="X284" s="117" t="s">
        <v>40</v>
      </c>
      <c r="Y284" s="249">
        <v>46147</v>
      </c>
      <c r="Z284" s="249">
        <v>46148</v>
      </c>
      <c r="AA284" s="224">
        <v>914223</v>
      </c>
      <c r="AB284" s="74"/>
      <c r="AC284" s="74"/>
      <c r="AD284" s="256">
        <v>0</v>
      </c>
    </row>
    <row r="285" spans="1:30" s="251" customFormat="1" ht="18" customHeight="1">
      <c r="A285" s="102">
        <v>30062</v>
      </c>
      <c r="B285" s="256">
        <v>1</v>
      </c>
      <c r="C285" s="201">
        <v>46139</v>
      </c>
      <c r="D285" s="105">
        <f t="shared" ca="1" si="11"/>
        <v>88</v>
      </c>
      <c r="E285" s="138" t="str">
        <f t="shared" si="10"/>
        <v>ADMITIDO</v>
      </c>
      <c r="F285" s="117" t="s">
        <v>42</v>
      </c>
      <c r="G285" s="117" t="s">
        <v>29</v>
      </c>
      <c r="H285" s="117" t="str">
        <f>X285</f>
        <v>ADMITIDO</v>
      </c>
      <c r="I285" s="117" t="str">
        <f>IF(X285="ADMITIDO","ADMITIDO",IF(X285="CANCELADA","CANCELADA",IF(H285="","",IFERROR(_xlfn.XLOOKUP(H285,Listas!I:I,Listas!J:J),"OUTROS"))))</f>
        <v>ADMITIDO</v>
      </c>
      <c r="J285" s="248" t="s">
        <v>346</v>
      </c>
      <c r="K285" s="73" t="s">
        <v>228</v>
      </c>
      <c r="L285" s="73" t="s">
        <v>914</v>
      </c>
      <c r="M285" s="73"/>
      <c r="N285" s="73" t="s">
        <v>88</v>
      </c>
      <c r="O285" s="73" t="s">
        <v>34</v>
      </c>
      <c r="P285" s="73" t="s">
        <v>57</v>
      </c>
      <c r="Q285" s="73" t="s">
        <v>94</v>
      </c>
      <c r="R285" s="74"/>
      <c r="S285" s="228"/>
      <c r="T285" s="229"/>
      <c r="U285" s="73" t="s">
        <v>38</v>
      </c>
      <c r="V285" s="220">
        <v>46148</v>
      </c>
      <c r="W285" s="118" t="s">
        <v>915</v>
      </c>
      <c r="X285" s="117" t="s">
        <v>40</v>
      </c>
      <c r="Y285" s="249">
        <v>46155</v>
      </c>
      <c r="Z285" s="249">
        <v>46156</v>
      </c>
      <c r="AA285" s="224">
        <v>914273</v>
      </c>
      <c r="AB285" s="74"/>
      <c r="AC285" s="74"/>
      <c r="AD285" s="256">
        <v>0</v>
      </c>
    </row>
    <row r="286" spans="1:30" s="251" customFormat="1" ht="18" customHeight="1">
      <c r="A286" s="102">
        <v>30054</v>
      </c>
      <c r="B286" s="256">
        <v>1</v>
      </c>
      <c r="C286" s="201">
        <v>46139</v>
      </c>
      <c r="D286" s="105">
        <f t="shared" ca="1" si="11"/>
        <v>88</v>
      </c>
      <c r="E286" s="138" t="str">
        <f t="shared" si="10"/>
        <v>ADMITIDO</v>
      </c>
      <c r="F286" s="117" t="s">
        <v>28</v>
      </c>
      <c r="G286" s="117" t="s">
        <v>145</v>
      </c>
      <c r="H286" s="117" t="str">
        <f>X286</f>
        <v>ADMITIDO</v>
      </c>
      <c r="I286" s="117" t="str">
        <f>IF(X286="ADMITIDO","ADMITIDO",IF(X286="CANCELADA","CANCELADA",IF(H286="","",IFERROR(_xlfn.XLOOKUP(H286,Listas!I:I,Listas!J:J),"OUTROS"))))</f>
        <v>ADMITIDO</v>
      </c>
      <c r="J286" s="248" t="s">
        <v>268</v>
      </c>
      <c r="K286" s="73" t="s">
        <v>326</v>
      </c>
      <c r="L286" s="73" t="s">
        <v>246</v>
      </c>
      <c r="M286" s="73"/>
      <c r="N286" s="73" t="s">
        <v>63</v>
      </c>
      <c r="O286" s="73" t="s">
        <v>56</v>
      </c>
      <c r="P286" s="73" t="s">
        <v>35</v>
      </c>
      <c r="Q286" s="73" t="s">
        <v>176</v>
      </c>
      <c r="R286" s="74"/>
      <c r="S286" s="228"/>
      <c r="T286" s="229"/>
      <c r="U286" s="73" t="s">
        <v>132</v>
      </c>
      <c r="V286" s="220">
        <v>46142</v>
      </c>
      <c r="W286" s="203" t="s">
        <v>916</v>
      </c>
      <c r="X286" s="119" t="s">
        <v>40</v>
      </c>
      <c r="Y286" s="249">
        <v>46147</v>
      </c>
      <c r="Z286" s="249">
        <v>46148</v>
      </c>
      <c r="AA286" s="224">
        <v>914228</v>
      </c>
      <c r="AB286" s="74"/>
      <c r="AC286" s="74"/>
      <c r="AD286" s="256">
        <v>0</v>
      </c>
    </row>
    <row r="287" spans="1:30" s="251" customFormat="1" ht="18" customHeight="1">
      <c r="A287" s="122">
        <v>30052</v>
      </c>
      <c r="B287" s="256">
        <v>1</v>
      </c>
      <c r="C287" s="201">
        <v>46139</v>
      </c>
      <c r="D287" s="105">
        <f t="shared" ca="1" si="11"/>
        <v>88</v>
      </c>
      <c r="E287" s="138" t="str">
        <f t="shared" si="10"/>
        <v>ADMITIDO</v>
      </c>
      <c r="F287" s="117" t="s">
        <v>42</v>
      </c>
      <c r="G287" s="117" t="s">
        <v>60</v>
      </c>
      <c r="H287" s="117" t="s">
        <v>40</v>
      </c>
      <c r="I287" s="117" t="str">
        <f>IF(X287="ADMITIDO","ADMITIDO",IF(X287="CANCELADA","CANCELADA",IF(H287="","",IFERROR(_xlfn.XLOOKUP(H287,Listas!I:I,Listas!J:J),"OUTROS"))))</f>
        <v>ADMITIDO</v>
      </c>
      <c r="J287" s="248" t="s">
        <v>53</v>
      </c>
      <c r="K287" s="73" t="s">
        <v>61</v>
      </c>
      <c r="L287" s="73" t="s">
        <v>917</v>
      </c>
      <c r="M287" s="73"/>
      <c r="N287" s="73" t="s">
        <v>63</v>
      </c>
      <c r="O287" s="73" t="s">
        <v>34</v>
      </c>
      <c r="P287" s="73" t="s">
        <v>48</v>
      </c>
      <c r="Q287" s="73" t="s">
        <v>120</v>
      </c>
      <c r="R287" s="74" t="s">
        <v>1387</v>
      </c>
      <c r="S287" s="228" t="s">
        <v>65</v>
      </c>
      <c r="T287" s="229" t="s">
        <v>1388</v>
      </c>
      <c r="U287" s="73" t="s">
        <v>132</v>
      </c>
      <c r="V287" s="220">
        <v>46160</v>
      </c>
      <c r="W287" s="118" t="s">
        <v>1389</v>
      </c>
      <c r="X287" s="119" t="s">
        <v>40</v>
      </c>
      <c r="Y287" s="249">
        <v>46163</v>
      </c>
      <c r="Z287" s="249">
        <v>46164</v>
      </c>
      <c r="AA287" s="224">
        <v>145995</v>
      </c>
      <c r="AB287" s="74"/>
      <c r="AC287" s="74"/>
      <c r="AD287" s="256">
        <v>0</v>
      </c>
    </row>
    <row r="288" spans="1:30" s="251" customFormat="1" ht="18" customHeight="1">
      <c r="A288" s="102">
        <v>30049</v>
      </c>
      <c r="B288" s="256">
        <v>1</v>
      </c>
      <c r="C288" s="201">
        <v>46139</v>
      </c>
      <c r="D288" s="105">
        <f t="shared" ca="1" si="11"/>
        <v>88</v>
      </c>
      <c r="E288" s="138" t="str">
        <f t="shared" si="10"/>
        <v>CANCELADA</v>
      </c>
      <c r="F288" s="117" t="s">
        <v>42</v>
      </c>
      <c r="G288" s="117" t="s">
        <v>60</v>
      </c>
      <c r="H288" s="117" t="s">
        <v>52</v>
      </c>
      <c r="I288" s="117" t="str">
        <f>IF(X288="ADMITIDO","ADMITIDO",IF(X288="CANCELADA","CANCELADA",IF(H288="","",IFERROR(_xlfn.XLOOKUP(H288,Listas!I:I,Listas!J:J),"OUTROS"))))</f>
        <v>CANCELADA</v>
      </c>
      <c r="J288" s="248" t="s">
        <v>53</v>
      </c>
      <c r="K288" s="73" t="s">
        <v>61</v>
      </c>
      <c r="L288" s="73" t="s">
        <v>161</v>
      </c>
      <c r="M288" s="73"/>
      <c r="N288" s="73" t="s">
        <v>33</v>
      </c>
      <c r="O288" s="73" t="s">
        <v>34</v>
      </c>
      <c r="P288" s="73" t="s">
        <v>48</v>
      </c>
      <c r="Q288" s="73" t="s">
        <v>120</v>
      </c>
      <c r="R288" s="74" t="s">
        <v>1390</v>
      </c>
      <c r="S288" s="228"/>
      <c r="T288" s="229"/>
      <c r="U288" s="73"/>
      <c r="V288" s="220"/>
      <c r="W288" s="203"/>
      <c r="X288" s="227" t="s">
        <v>52</v>
      </c>
      <c r="Y288" s="249"/>
      <c r="Z288" s="249"/>
      <c r="AA288" s="224"/>
      <c r="AB288" s="74"/>
      <c r="AC288" s="74"/>
      <c r="AD288" s="256">
        <v>0</v>
      </c>
    </row>
    <row r="289" spans="1:30" s="251" customFormat="1" ht="18" customHeight="1">
      <c r="A289" s="102">
        <v>30055</v>
      </c>
      <c r="B289" s="256">
        <v>1</v>
      </c>
      <c r="C289" s="201">
        <v>46139</v>
      </c>
      <c r="D289" s="105">
        <f t="shared" ca="1" si="11"/>
        <v>88</v>
      </c>
      <c r="E289" s="138" t="str">
        <f t="shared" si="10"/>
        <v>ADMITIDO</v>
      </c>
      <c r="F289" s="117" t="s">
        <v>42</v>
      </c>
      <c r="G289" s="117" t="s">
        <v>29</v>
      </c>
      <c r="H289" s="117" t="s">
        <v>40</v>
      </c>
      <c r="I289" s="117" t="str">
        <f>IF(X289="ADMITIDO","ADMITIDO",IF(X289="CANCELADA","CANCELADA",IF(H289="","",IFERROR(_xlfn.XLOOKUP(H289,Listas!I:I,Listas!J:J),"OUTROS"))))</f>
        <v>ADMITIDO</v>
      </c>
      <c r="J289" s="248" t="s">
        <v>116</v>
      </c>
      <c r="K289" s="73" t="s">
        <v>54</v>
      </c>
      <c r="L289" s="73" t="s">
        <v>164</v>
      </c>
      <c r="M289" s="73"/>
      <c r="N289" s="73" t="s">
        <v>88</v>
      </c>
      <c r="O289" s="73" t="s">
        <v>34</v>
      </c>
      <c r="P289" s="73" t="s">
        <v>57</v>
      </c>
      <c r="Q289" s="73" t="s">
        <v>231</v>
      </c>
      <c r="R289" s="74"/>
      <c r="S289" s="228"/>
      <c r="T289" s="252"/>
      <c r="U289" s="73" t="s">
        <v>38</v>
      </c>
      <c r="V289" s="220">
        <v>46140</v>
      </c>
      <c r="W289" s="203" t="s">
        <v>918</v>
      </c>
      <c r="X289" s="117" t="s">
        <v>40</v>
      </c>
      <c r="Y289" s="249">
        <v>46146</v>
      </c>
      <c r="Z289" s="249">
        <v>46147</v>
      </c>
      <c r="AA289" s="224">
        <v>145917</v>
      </c>
      <c r="AB289" s="74"/>
      <c r="AC289" s="74"/>
      <c r="AD289" s="256">
        <v>0</v>
      </c>
    </row>
    <row r="290" spans="1:30" s="251" customFormat="1" ht="18" customHeight="1">
      <c r="A290" s="102">
        <v>30056</v>
      </c>
      <c r="B290" s="256">
        <v>1</v>
      </c>
      <c r="C290" s="201">
        <v>46139</v>
      </c>
      <c r="D290" s="105">
        <f t="shared" ca="1" si="11"/>
        <v>88</v>
      </c>
      <c r="E290" s="138" t="str">
        <f t="shared" si="10"/>
        <v>CANCELADA</v>
      </c>
      <c r="F290" s="117" t="s">
        <v>42</v>
      </c>
      <c r="G290" s="117" t="s">
        <v>60</v>
      </c>
      <c r="H290" s="117" t="s">
        <v>52</v>
      </c>
      <c r="I290" s="117" t="str">
        <f>IF(X290="ADMITIDO","ADMITIDO",IF(X290="CANCELADA","CANCELADA",IF(H290="","",IFERROR(_xlfn.XLOOKUP(H290,Listas!I:I,Listas!J:J),"OUTROS"))))</f>
        <v>CANCELADA</v>
      </c>
      <c r="J290" s="248" t="s">
        <v>53</v>
      </c>
      <c r="K290" s="73" t="s">
        <v>61</v>
      </c>
      <c r="L290" s="73" t="s">
        <v>506</v>
      </c>
      <c r="M290" s="73"/>
      <c r="N290" s="73" t="s">
        <v>63</v>
      </c>
      <c r="O290" s="73" t="s">
        <v>34</v>
      </c>
      <c r="P290" s="73" t="s">
        <v>219</v>
      </c>
      <c r="Q290" s="73" t="s">
        <v>578</v>
      </c>
      <c r="R290" s="74" t="s">
        <v>919</v>
      </c>
      <c r="S290" s="228"/>
      <c r="T290" s="236"/>
      <c r="U290" s="73"/>
      <c r="V290" s="220"/>
      <c r="W290" s="203"/>
      <c r="X290" s="227" t="s">
        <v>52</v>
      </c>
      <c r="Y290" s="249"/>
      <c r="Z290" s="249"/>
      <c r="AA290" s="224"/>
      <c r="AB290" s="74" t="s">
        <v>920</v>
      </c>
      <c r="AC290" s="74"/>
      <c r="AD290" s="256">
        <v>2</v>
      </c>
    </row>
    <row r="291" spans="1:30" s="251" customFormat="1" ht="18" customHeight="1">
      <c r="A291" s="102">
        <v>30065</v>
      </c>
      <c r="B291" s="256">
        <v>1</v>
      </c>
      <c r="C291" s="201">
        <v>46139</v>
      </c>
      <c r="D291" s="105">
        <f t="shared" ca="1" si="11"/>
        <v>88</v>
      </c>
      <c r="E291" s="138" t="str">
        <f t="shared" si="10"/>
        <v>ADMITIDO</v>
      </c>
      <c r="F291" s="117" t="s">
        <v>28</v>
      </c>
      <c r="G291" s="117" t="s">
        <v>145</v>
      </c>
      <c r="H291" s="117" t="s">
        <v>40</v>
      </c>
      <c r="I291" s="117" t="str">
        <f>IF(X291="ADMITIDO","ADMITIDO",IF(X291="CANCELADA","CANCELADA",IF(H291="","",IFERROR(_xlfn.XLOOKUP(H291,Listas!I:I,Listas!J:J),"OUTROS"))))</f>
        <v>ADMITIDO</v>
      </c>
      <c r="J291" s="248" t="s">
        <v>146</v>
      </c>
      <c r="K291" s="73" t="s">
        <v>371</v>
      </c>
      <c r="L291" s="73" t="s">
        <v>921</v>
      </c>
      <c r="M291" s="73"/>
      <c r="N291" s="73" t="s">
        <v>672</v>
      </c>
      <c r="O291" s="73" t="s">
        <v>34</v>
      </c>
      <c r="P291" s="73" t="s">
        <v>35</v>
      </c>
      <c r="Q291" s="73" t="s">
        <v>36</v>
      </c>
      <c r="R291" s="74"/>
      <c r="S291" s="228"/>
      <c r="T291" s="252"/>
      <c r="U291" s="73" t="s">
        <v>132</v>
      </c>
      <c r="V291" s="220">
        <v>46163</v>
      </c>
      <c r="W291" s="118" t="s">
        <v>1391</v>
      </c>
      <c r="X291" s="119" t="s">
        <v>40</v>
      </c>
      <c r="Y291" s="249">
        <v>46167</v>
      </c>
      <c r="Z291" s="249">
        <v>46170</v>
      </c>
      <c r="AA291" s="224">
        <v>914346</v>
      </c>
      <c r="AB291" s="74" t="s">
        <v>1392</v>
      </c>
      <c r="AC291" s="74" t="s">
        <v>1393</v>
      </c>
      <c r="AD291" s="256">
        <v>3</v>
      </c>
    </row>
    <row r="292" spans="1:30" s="251" customFormat="1" ht="18" customHeight="1">
      <c r="A292" s="102">
        <v>30066</v>
      </c>
      <c r="B292" s="256">
        <v>1</v>
      </c>
      <c r="C292" s="201">
        <v>46139</v>
      </c>
      <c r="D292" s="105">
        <f t="shared" ca="1" si="11"/>
        <v>88</v>
      </c>
      <c r="E292" s="138" t="str">
        <f t="shared" si="10"/>
        <v>ADMITIDO</v>
      </c>
      <c r="F292" s="117" t="s">
        <v>171</v>
      </c>
      <c r="G292" s="117" t="s">
        <v>145</v>
      </c>
      <c r="H292" s="117" t="s">
        <v>40</v>
      </c>
      <c r="I292" s="117" t="str">
        <f>IF(X292="ADMITIDO","ADMITIDO",IF(X292="CANCELADA","CANCELADA",IF(H292="","",IFERROR(_xlfn.XLOOKUP(H292,Listas!I:I,Listas!J:J),"OUTROS"))))</f>
        <v>ADMITIDO</v>
      </c>
      <c r="J292" s="248" t="s">
        <v>514</v>
      </c>
      <c r="K292" s="73" t="s">
        <v>371</v>
      </c>
      <c r="L292" s="73" t="s">
        <v>921</v>
      </c>
      <c r="M292" s="73"/>
      <c r="N292" s="73" t="s">
        <v>672</v>
      </c>
      <c r="O292" s="73" t="s">
        <v>34</v>
      </c>
      <c r="P292" s="73" t="s">
        <v>35</v>
      </c>
      <c r="Q292" s="73" t="s">
        <v>36</v>
      </c>
      <c r="R292" s="74"/>
      <c r="S292" s="228" t="s">
        <v>373</v>
      </c>
      <c r="T292" s="229"/>
      <c r="U292" s="73" t="s">
        <v>132</v>
      </c>
      <c r="V292" s="220">
        <v>46154</v>
      </c>
      <c r="W292" s="203" t="s">
        <v>922</v>
      </c>
      <c r="X292" s="117" t="s">
        <v>40</v>
      </c>
      <c r="Y292" s="249">
        <v>46157</v>
      </c>
      <c r="Z292" s="249">
        <v>46162</v>
      </c>
      <c r="AA292" s="224">
        <v>83294</v>
      </c>
      <c r="AB292" s="74"/>
      <c r="AC292" s="74"/>
      <c r="AD292" s="256">
        <v>0</v>
      </c>
    </row>
    <row r="293" spans="1:30" s="251" customFormat="1" ht="18" customHeight="1">
      <c r="A293" s="102">
        <v>30064</v>
      </c>
      <c r="B293" s="256">
        <v>1</v>
      </c>
      <c r="C293" s="201">
        <v>46139</v>
      </c>
      <c r="D293" s="105">
        <f t="shared" ca="1" si="11"/>
        <v>88</v>
      </c>
      <c r="E293" s="138" t="str">
        <f t="shared" si="10"/>
        <v>ADMITIDO</v>
      </c>
      <c r="F293" s="117" t="s">
        <v>28</v>
      </c>
      <c r="G293" s="117" t="s">
        <v>29</v>
      </c>
      <c r="H293" s="117" t="s">
        <v>40</v>
      </c>
      <c r="I293" s="117" t="str">
        <f>IF(X293="ADMITIDO","ADMITIDO",IF(X293="CANCELADA","CANCELADA",IF(H293="","",IFERROR(_xlfn.XLOOKUP(H293,Listas!I:I,Listas!J:J),"OUTROS"))))</f>
        <v>ADMITIDO</v>
      </c>
      <c r="J293" s="248" t="s">
        <v>427</v>
      </c>
      <c r="K293" s="73" t="s">
        <v>31</v>
      </c>
      <c r="L293" s="73" t="s">
        <v>428</v>
      </c>
      <c r="M293" s="73"/>
      <c r="N293" s="73" t="s">
        <v>205</v>
      </c>
      <c r="O293" s="73" t="s">
        <v>34</v>
      </c>
      <c r="P293" s="73" t="s">
        <v>35</v>
      </c>
      <c r="Q293" s="73" t="s">
        <v>36</v>
      </c>
      <c r="R293" s="74"/>
      <c r="S293" s="228"/>
      <c r="T293" s="229"/>
      <c r="U293" s="73" t="s">
        <v>38</v>
      </c>
      <c r="V293" s="220">
        <v>46141</v>
      </c>
      <c r="W293" s="203" t="s">
        <v>923</v>
      </c>
      <c r="X293" s="117" t="s">
        <v>40</v>
      </c>
      <c r="Y293" s="249">
        <v>46148</v>
      </c>
      <c r="Z293" s="249">
        <v>46149</v>
      </c>
      <c r="AA293" s="224">
        <v>914277</v>
      </c>
      <c r="AB293" s="74"/>
      <c r="AC293" s="74"/>
      <c r="AD293" s="256">
        <v>0</v>
      </c>
    </row>
    <row r="294" spans="1:30" s="251" customFormat="1" ht="18" customHeight="1">
      <c r="A294" s="102">
        <v>30063</v>
      </c>
      <c r="B294" s="256">
        <v>1</v>
      </c>
      <c r="C294" s="201">
        <v>46139</v>
      </c>
      <c r="D294" s="105">
        <f t="shared" ca="1" si="11"/>
        <v>88</v>
      </c>
      <c r="E294" s="138" t="str">
        <f t="shared" si="10"/>
        <v>CANCELADA</v>
      </c>
      <c r="F294" s="117" t="s">
        <v>42</v>
      </c>
      <c r="G294" s="117" t="s">
        <v>29</v>
      </c>
      <c r="H294" s="117" t="s">
        <v>52</v>
      </c>
      <c r="I294" s="117" t="str">
        <f>IF(X294="ADMITIDO","ADMITIDO",IF(X294="CANCELADA","CANCELADA",IF(H294="","",IFERROR(_xlfn.XLOOKUP(H294,Listas!I:I,Listas!J:J),"OUTROS"))))</f>
        <v>CANCELADA</v>
      </c>
      <c r="J294" s="248" t="s">
        <v>461</v>
      </c>
      <c r="K294" s="73" t="s">
        <v>228</v>
      </c>
      <c r="L294" s="73" t="s">
        <v>807</v>
      </c>
      <c r="M294" s="73"/>
      <c r="N294" s="73" t="s">
        <v>88</v>
      </c>
      <c r="O294" s="73" t="s">
        <v>34</v>
      </c>
      <c r="P294" s="73" t="s">
        <v>48</v>
      </c>
      <c r="Q294" s="73" t="s">
        <v>131</v>
      </c>
      <c r="R294" s="74"/>
      <c r="S294" s="228"/>
      <c r="T294" s="252"/>
      <c r="U294" s="73"/>
      <c r="V294" s="220"/>
      <c r="W294" s="203"/>
      <c r="X294" s="73" t="s">
        <v>52</v>
      </c>
      <c r="Y294" s="249"/>
      <c r="Z294" s="249"/>
      <c r="AA294" s="224"/>
      <c r="AB294" s="74"/>
      <c r="AC294" s="74"/>
      <c r="AD294" s="256">
        <v>0</v>
      </c>
    </row>
    <row r="295" spans="1:30" s="251" customFormat="1" ht="18" customHeight="1">
      <c r="A295" s="102">
        <v>30060</v>
      </c>
      <c r="B295" s="256">
        <v>1</v>
      </c>
      <c r="C295" s="201">
        <v>46139</v>
      </c>
      <c r="D295" s="105">
        <f t="shared" ca="1" si="11"/>
        <v>88</v>
      </c>
      <c r="E295" s="138" t="str">
        <f t="shared" si="10"/>
        <v>ADMITIDO</v>
      </c>
      <c r="F295" s="117" t="s">
        <v>42</v>
      </c>
      <c r="G295" s="117" t="s">
        <v>43</v>
      </c>
      <c r="H295" s="117" t="s">
        <v>40</v>
      </c>
      <c r="I295" s="117" t="str">
        <f>IF(X295="ADMITIDO","ADMITIDO",IF(X295="CANCELADA","CANCELADA",IF(H295="","",IFERROR(_xlfn.XLOOKUP(H295,Listas!I:I,Listas!J:J),"OUTROS"))))</f>
        <v>ADMITIDO</v>
      </c>
      <c r="J295" s="248" t="s">
        <v>346</v>
      </c>
      <c r="K295" s="73" t="s">
        <v>189</v>
      </c>
      <c r="L295" s="73" t="s">
        <v>924</v>
      </c>
      <c r="M295" s="73"/>
      <c r="N295" s="73" t="s">
        <v>925</v>
      </c>
      <c r="O295" s="73" t="s">
        <v>56</v>
      </c>
      <c r="P295" s="73" t="s">
        <v>35</v>
      </c>
      <c r="Q295" s="73" t="s">
        <v>176</v>
      </c>
      <c r="R295" s="74"/>
      <c r="S295" s="228"/>
      <c r="T295" s="252">
        <v>6191993514</v>
      </c>
      <c r="U295" s="73" t="s">
        <v>50</v>
      </c>
      <c r="V295" s="220">
        <v>46142</v>
      </c>
      <c r="W295" s="203" t="s">
        <v>926</v>
      </c>
      <c r="X295" s="119" t="s">
        <v>40</v>
      </c>
      <c r="Y295" s="249">
        <v>46157</v>
      </c>
      <c r="Z295" s="249">
        <v>46161</v>
      </c>
      <c r="AA295" s="224">
        <v>914277</v>
      </c>
      <c r="AB295" s="74" t="s">
        <v>927</v>
      </c>
      <c r="AC295" s="74"/>
      <c r="AD295" s="256">
        <v>0</v>
      </c>
    </row>
    <row r="296" spans="1:30" s="251" customFormat="1" ht="18" customHeight="1">
      <c r="A296" s="102">
        <v>30050</v>
      </c>
      <c r="B296" s="256">
        <v>1</v>
      </c>
      <c r="C296" s="201">
        <v>46139</v>
      </c>
      <c r="D296" s="105">
        <f t="shared" ca="1" si="11"/>
        <v>88</v>
      </c>
      <c r="E296" s="138" t="str">
        <f t="shared" si="10"/>
        <v>CANCELADA</v>
      </c>
      <c r="F296" s="117" t="s">
        <v>42</v>
      </c>
      <c r="G296" s="117" t="s">
        <v>43</v>
      </c>
      <c r="H296" s="117" t="s">
        <v>52</v>
      </c>
      <c r="I296" s="117" t="str">
        <f>IF(X296="ADMITIDO","ADMITIDO",IF(X296="CANCELADA","CANCELADA",IF(H296="","",IFERROR(_xlfn.XLOOKUP(H296,Listas!I:I,Listas!J:J),"OUTROS"))))</f>
        <v>CANCELADA</v>
      </c>
      <c r="J296" s="248" t="s">
        <v>53</v>
      </c>
      <c r="K296" s="73" t="s">
        <v>189</v>
      </c>
      <c r="L296" s="73" t="s">
        <v>208</v>
      </c>
      <c r="M296" s="73"/>
      <c r="N296" s="73" t="s">
        <v>209</v>
      </c>
      <c r="O296" s="73" t="s">
        <v>56</v>
      </c>
      <c r="P296" s="73" t="s">
        <v>928</v>
      </c>
      <c r="Q296" s="258" t="s">
        <v>1394</v>
      </c>
      <c r="R296" s="74" t="s">
        <v>1395</v>
      </c>
      <c r="S296" s="228" t="s">
        <v>931</v>
      </c>
      <c r="T296" s="229"/>
      <c r="U296" s="73"/>
      <c r="V296" s="220"/>
      <c r="W296" s="203"/>
      <c r="X296" s="227"/>
      <c r="Y296" s="249"/>
      <c r="Z296" s="249"/>
      <c r="AA296" s="224"/>
      <c r="AB296" s="74"/>
      <c r="AC296" s="74"/>
      <c r="AD296" s="256">
        <v>0</v>
      </c>
    </row>
    <row r="297" spans="1:30" s="251" customFormat="1" ht="18" customHeight="1">
      <c r="A297" s="102">
        <v>30057</v>
      </c>
      <c r="B297" s="256">
        <v>1</v>
      </c>
      <c r="C297" s="201">
        <v>46139</v>
      </c>
      <c r="D297" s="105">
        <f t="shared" ca="1" si="11"/>
        <v>88</v>
      </c>
      <c r="E297" s="138" t="str">
        <f t="shared" si="10"/>
        <v>CANCELADA</v>
      </c>
      <c r="F297" s="117" t="s">
        <v>28</v>
      </c>
      <c r="G297" s="117" t="s">
        <v>43</v>
      </c>
      <c r="H297" s="117" t="s">
        <v>52</v>
      </c>
      <c r="I297" s="117" t="str">
        <f>IF(X297="ADMITIDO","ADMITIDO",IF(X297="CANCELADA","CANCELADA",IF(H297="","",IFERROR(_xlfn.XLOOKUP(H297,Listas!I:I,Listas!J:J),"OUTROS"))))</f>
        <v>CANCELADA</v>
      </c>
      <c r="J297" s="248" t="s">
        <v>557</v>
      </c>
      <c r="K297" s="73" t="s">
        <v>335</v>
      </c>
      <c r="L297" s="73" t="s">
        <v>932</v>
      </c>
      <c r="M297" s="73"/>
      <c r="N297" s="73" t="s">
        <v>933</v>
      </c>
      <c r="O297" s="73" t="s">
        <v>56</v>
      </c>
      <c r="P297" s="73" t="s">
        <v>35</v>
      </c>
      <c r="Q297" s="73" t="s">
        <v>760</v>
      </c>
      <c r="R297" s="74" t="s">
        <v>1396</v>
      </c>
      <c r="S297" s="228"/>
      <c r="T297" s="229"/>
      <c r="U297" s="73"/>
      <c r="V297" s="220"/>
      <c r="W297" s="203"/>
      <c r="X297" s="227" t="s">
        <v>52</v>
      </c>
      <c r="Y297" s="249"/>
      <c r="Z297" s="249"/>
      <c r="AA297" s="224"/>
      <c r="AB297" s="74"/>
      <c r="AC297" s="74" t="s">
        <v>1397</v>
      </c>
      <c r="AD297" s="256">
        <v>1</v>
      </c>
    </row>
    <row r="298" spans="1:30" s="251" customFormat="1" ht="18" customHeight="1">
      <c r="A298" s="102">
        <v>30051</v>
      </c>
      <c r="B298" s="256">
        <v>1</v>
      </c>
      <c r="C298" s="201">
        <v>46139</v>
      </c>
      <c r="D298" s="105">
        <f t="shared" ca="1" si="11"/>
        <v>88</v>
      </c>
      <c r="E298" s="138" t="str">
        <f t="shared" si="10"/>
        <v>ADMITIDO</v>
      </c>
      <c r="F298" s="117" t="s">
        <v>42</v>
      </c>
      <c r="G298" s="117" t="s">
        <v>43</v>
      </c>
      <c r="H298" s="117" t="s">
        <v>40</v>
      </c>
      <c r="I298" s="117" t="str">
        <f>IF(X298="ADMITIDO","ADMITIDO",IF(X298="CANCELADA","CANCELADA",IF(H298="","",IFERROR(_xlfn.XLOOKUP(H298,Listas!I:I,Listas!J:J),"OUTROS"))))</f>
        <v>ADMITIDO</v>
      </c>
      <c r="J298" s="248" t="s">
        <v>44</v>
      </c>
      <c r="K298" s="73" t="s">
        <v>189</v>
      </c>
      <c r="L298" s="73" t="s">
        <v>528</v>
      </c>
      <c r="M298" s="73"/>
      <c r="N298" s="73" t="s">
        <v>529</v>
      </c>
      <c r="O298" s="73" t="s">
        <v>34</v>
      </c>
      <c r="P298" s="73" t="s">
        <v>48</v>
      </c>
      <c r="Q298" s="73" t="s">
        <v>934</v>
      </c>
      <c r="R298" s="74" t="s">
        <v>935</v>
      </c>
      <c r="S298" s="228" t="s">
        <v>936</v>
      </c>
      <c r="T298" s="252">
        <v>11954360685</v>
      </c>
      <c r="U298" s="73" t="s">
        <v>67</v>
      </c>
      <c r="V298" s="220">
        <v>46157</v>
      </c>
      <c r="W298" s="118" t="s">
        <v>937</v>
      </c>
      <c r="X298" s="119" t="s">
        <v>40</v>
      </c>
      <c r="Y298" s="249">
        <v>46167</v>
      </c>
      <c r="Z298" s="249">
        <v>46167</v>
      </c>
      <c r="AA298" s="224">
        <v>145998</v>
      </c>
      <c r="AB298" s="74" t="s">
        <v>938</v>
      </c>
      <c r="AC298" s="74"/>
      <c r="AD298" s="256">
        <v>0</v>
      </c>
    </row>
    <row r="299" spans="1:30" s="251" customFormat="1" ht="18" customHeight="1">
      <c r="A299" s="102">
        <v>30061</v>
      </c>
      <c r="B299" s="256">
        <v>1</v>
      </c>
      <c r="C299" s="201">
        <v>46139</v>
      </c>
      <c r="D299" s="105">
        <f t="shared" ca="1" si="11"/>
        <v>88</v>
      </c>
      <c r="E299" s="138" t="str">
        <f t="shared" si="10"/>
        <v>ADMITIDO</v>
      </c>
      <c r="F299" s="117" t="s">
        <v>42</v>
      </c>
      <c r="G299" s="117" t="s">
        <v>29</v>
      </c>
      <c r="H299" s="117" t="s">
        <v>40</v>
      </c>
      <c r="I299" s="117" t="str">
        <f>IF(X299="ADMITIDO","ADMITIDO",IF(X299="CANCELADA","CANCELADA",IF(H299="","",IFERROR(_xlfn.XLOOKUP(H299,Listas!I:I,Listas!J:J),"OUTROS"))))</f>
        <v>ADMITIDO</v>
      </c>
      <c r="J299" s="248" t="s">
        <v>53</v>
      </c>
      <c r="K299" s="73" t="s">
        <v>189</v>
      </c>
      <c r="L299" s="258" t="s">
        <v>1398</v>
      </c>
      <c r="M299" s="258"/>
      <c r="N299" s="73" t="s">
        <v>337</v>
      </c>
      <c r="O299" s="73" t="s">
        <v>34</v>
      </c>
      <c r="P299" s="73" t="s">
        <v>57</v>
      </c>
      <c r="Q299" s="73" t="s">
        <v>73</v>
      </c>
      <c r="R299" s="74" t="s">
        <v>1399</v>
      </c>
      <c r="S299" s="228"/>
      <c r="T299" s="229" t="s">
        <v>1400</v>
      </c>
      <c r="U299" s="73" t="s">
        <v>67</v>
      </c>
      <c r="V299" s="220">
        <v>46169</v>
      </c>
      <c r="W299" s="203" t="s">
        <v>1401</v>
      </c>
      <c r="X299" s="227" t="s">
        <v>40</v>
      </c>
      <c r="Y299" s="249">
        <v>46185</v>
      </c>
      <c r="Z299" s="249">
        <v>46185</v>
      </c>
      <c r="AA299" s="224">
        <v>146062</v>
      </c>
      <c r="AB299" s="74" t="s">
        <v>1402</v>
      </c>
      <c r="AC299" s="74"/>
      <c r="AD299" s="256">
        <v>1</v>
      </c>
    </row>
    <row r="300" spans="1:30" s="251" customFormat="1" ht="18" customHeight="1">
      <c r="A300" s="102">
        <v>30059</v>
      </c>
      <c r="B300" s="256">
        <v>1</v>
      </c>
      <c r="C300" s="201">
        <v>46139</v>
      </c>
      <c r="D300" s="105">
        <f t="shared" ca="1" si="11"/>
        <v>88</v>
      </c>
      <c r="E300" s="138" t="str">
        <f t="shared" si="10"/>
        <v>ADMITIDO</v>
      </c>
      <c r="F300" s="117" t="s">
        <v>42</v>
      </c>
      <c r="G300" s="117" t="s">
        <v>43</v>
      </c>
      <c r="H300" s="117" t="s">
        <v>40</v>
      </c>
      <c r="I300" s="117" t="str">
        <f>IF(X300="ADMITIDO","ADMITIDO",IF(X300="CANCELADA","CANCELADA",IF(H300="","",IFERROR(_xlfn.XLOOKUP(H300,Listas!I:I,Listas!J:J),"OUTROS"))))</f>
        <v>ADMITIDO</v>
      </c>
      <c r="J300" s="248" t="s">
        <v>53</v>
      </c>
      <c r="K300" s="73" t="s">
        <v>189</v>
      </c>
      <c r="L300" s="258" t="s">
        <v>943</v>
      </c>
      <c r="M300" s="258"/>
      <c r="N300" s="73" t="s">
        <v>33</v>
      </c>
      <c r="O300" s="73" t="s">
        <v>34</v>
      </c>
      <c r="P300" s="73" t="s">
        <v>35</v>
      </c>
      <c r="Q300" s="73" t="s">
        <v>36</v>
      </c>
      <c r="R300" s="74" t="s">
        <v>944</v>
      </c>
      <c r="S300" s="228" t="s">
        <v>945</v>
      </c>
      <c r="T300" s="229">
        <v>11969453951</v>
      </c>
      <c r="U300" s="73" t="s">
        <v>50</v>
      </c>
      <c r="V300" s="220">
        <v>46157</v>
      </c>
      <c r="W300" s="203" t="s">
        <v>946</v>
      </c>
      <c r="X300" s="227" t="s">
        <v>40</v>
      </c>
      <c r="Y300" s="249">
        <v>46164</v>
      </c>
      <c r="Z300" s="249">
        <v>46168</v>
      </c>
      <c r="AA300" s="224">
        <v>914312</v>
      </c>
      <c r="AB300" s="74" t="s">
        <v>1403</v>
      </c>
      <c r="AC300" s="74"/>
      <c r="AD300" s="256">
        <v>0</v>
      </c>
    </row>
    <row r="301" spans="1:30" s="251" customFormat="1" ht="18" customHeight="1">
      <c r="A301" s="122">
        <v>30075</v>
      </c>
      <c r="B301" s="256">
        <v>1</v>
      </c>
      <c r="C301" s="201">
        <v>46139</v>
      </c>
      <c r="D301" s="105">
        <f t="shared" ca="1" si="11"/>
        <v>88</v>
      </c>
      <c r="E301" s="138" t="str">
        <f t="shared" si="10"/>
        <v>ADMITIDO</v>
      </c>
      <c r="F301" s="117" t="s">
        <v>28</v>
      </c>
      <c r="G301" s="117" t="s">
        <v>552</v>
      </c>
      <c r="H301" s="117" t="s">
        <v>40</v>
      </c>
      <c r="I301" s="117" t="str">
        <f>IF(X301="ADMITIDO","ADMITIDO",IF(X301="CANCELADA","CANCELADA",IF(H301="","",IFERROR(_xlfn.XLOOKUP(H301,Listas!I:I,Listas!J:J),"OUTROS"))))</f>
        <v>ADMITIDO</v>
      </c>
      <c r="J301" s="248" t="s">
        <v>737</v>
      </c>
      <c r="K301" s="73" t="s">
        <v>553</v>
      </c>
      <c r="L301" s="73" t="s">
        <v>947</v>
      </c>
      <c r="M301" s="73"/>
      <c r="N301" s="73" t="s">
        <v>948</v>
      </c>
      <c r="O301" s="73" t="s">
        <v>34</v>
      </c>
      <c r="P301" s="73" t="s">
        <v>35</v>
      </c>
      <c r="Q301" s="73" t="s">
        <v>36</v>
      </c>
      <c r="R301" s="74"/>
      <c r="S301" s="228"/>
      <c r="T301" s="229"/>
      <c r="U301" s="73" t="s">
        <v>552</v>
      </c>
      <c r="V301" s="220"/>
      <c r="W301" s="203" t="s">
        <v>950</v>
      </c>
      <c r="X301" s="119" t="s">
        <v>40</v>
      </c>
      <c r="Y301" s="249">
        <v>46140</v>
      </c>
      <c r="Z301" s="249">
        <v>46141</v>
      </c>
      <c r="AA301" s="224">
        <v>914198</v>
      </c>
      <c r="AB301" s="74"/>
      <c r="AC301" s="74"/>
      <c r="AD301" s="256">
        <v>0</v>
      </c>
    </row>
    <row r="302" spans="1:30" s="251" customFormat="1" ht="18" customHeight="1">
      <c r="A302" s="102">
        <v>30074</v>
      </c>
      <c r="B302" s="256">
        <v>1</v>
      </c>
      <c r="C302" s="201">
        <v>46139</v>
      </c>
      <c r="D302" s="105">
        <f t="shared" ca="1" si="11"/>
        <v>88</v>
      </c>
      <c r="E302" s="138" t="str">
        <f t="shared" si="10"/>
        <v>ADMITIDO</v>
      </c>
      <c r="F302" s="117" t="s">
        <v>42</v>
      </c>
      <c r="G302" s="117" t="s">
        <v>240</v>
      </c>
      <c r="H302" s="117" t="s">
        <v>40</v>
      </c>
      <c r="I302" s="117" t="str">
        <f>IF(X302="ADMITIDO","ADMITIDO",IF(X302="CANCELADA","CANCELADA",IF(H302="","",IFERROR(_xlfn.XLOOKUP(H302,Listas!I:I,Listas!J:J),"OUTROS"))))</f>
        <v>ADMITIDO</v>
      </c>
      <c r="J302" s="248" t="s">
        <v>53</v>
      </c>
      <c r="K302" s="73" t="s">
        <v>241</v>
      </c>
      <c r="L302" s="73" t="s">
        <v>494</v>
      </c>
      <c r="M302" s="73"/>
      <c r="N302" s="73" t="s">
        <v>175</v>
      </c>
      <c r="O302" s="73" t="s">
        <v>34</v>
      </c>
      <c r="P302" s="73" t="s">
        <v>35</v>
      </c>
      <c r="Q302" s="73" t="s">
        <v>36</v>
      </c>
      <c r="R302" s="74"/>
      <c r="S302" s="228"/>
      <c r="T302" s="229"/>
      <c r="U302" s="73" t="s">
        <v>76</v>
      </c>
      <c r="V302" s="220">
        <v>46141</v>
      </c>
      <c r="W302" s="203" t="s">
        <v>951</v>
      </c>
      <c r="X302" s="117" t="s">
        <v>40</v>
      </c>
      <c r="Y302" s="249">
        <v>46146</v>
      </c>
      <c r="Z302" s="249">
        <v>46148</v>
      </c>
      <c r="AA302" s="224">
        <v>914212</v>
      </c>
      <c r="AB302" s="74"/>
      <c r="AC302" s="74"/>
      <c r="AD302" s="256">
        <v>0</v>
      </c>
    </row>
    <row r="303" spans="1:30" s="251" customFormat="1" ht="18" customHeight="1">
      <c r="A303" s="102">
        <v>30073</v>
      </c>
      <c r="B303" s="256">
        <v>1</v>
      </c>
      <c r="C303" s="201">
        <v>46139</v>
      </c>
      <c r="D303" s="105">
        <f t="shared" ca="1" si="11"/>
        <v>88</v>
      </c>
      <c r="E303" s="138" t="str">
        <f t="shared" si="10"/>
        <v>ADMITIDO</v>
      </c>
      <c r="F303" s="117" t="s">
        <v>28</v>
      </c>
      <c r="G303" s="117" t="s">
        <v>145</v>
      </c>
      <c r="H303" s="117" t="s">
        <v>40</v>
      </c>
      <c r="I303" s="117" t="str">
        <f>IF(X303="ADMITIDO","ADMITIDO",IF(X303="CANCELADA","CANCELADA",IF(H303="","",IFERROR(_xlfn.XLOOKUP(H303,Listas!I:I,Listas!J:J),"OUTROS"))))</f>
        <v>ADMITIDO</v>
      </c>
      <c r="J303" s="248" t="s">
        <v>268</v>
      </c>
      <c r="K303" s="73" t="s">
        <v>952</v>
      </c>
      <c r="L303" s="73" t="s">
        <v>953</v>
      </c>
      <c r="M303" s="73"/>
      <c r="N303" s="73" t="s">
        <v>63</v>
      </c>
      <c r="O303" s="73" t="s">
        <v>34</v>
      </c>
      <c r="P303" s="73" t="s">
        <v>35</v>
      </c>
      <c r="Q303" s="73" t="s">
        <v>36</v>
      </c>
      <c r="R303" s="74"/>
      <c r="S303" s="228"/>
      <c r="T303" s="229"/>
      <c r="U303" s="73" t="s">
        <v>132</v>
      </c>
      <c r="V303" s="220">
        <v>46142</v>
      </c>
      <c r="W303" s="203" t="s">
        <v>954</v>
      </c>
      <c r="X303" s="117" t="s">
        <v>40</v>
      </c>
      <c r="Y303" s="249">
        <v>46147</v>
      </c>
      <c r="Z303" s="249">
        <v>46148</v>
      </c>
      <c r="AA303" s="224">
        <v>914219</v>
      </c>
      <c r="AB303" s="74"/>
      <c r="AC303" s="74"/>
      <c r="AD303" s="256">
        <v>0</v>
      </c>
    </row>
    <row r="304" spans="1:30" s="251" customFormat="1" ht="18" customHeight="1">
      <c r="A304" s="102">
        <v>30085</v>
      </c>
      <c r="B304" s="256">
        <v>1</v>
      </c>
      <c r="C304" s="201">
        <v>46140</v>
      </c>
      <c r="D304" s="105">
        <f t="shared" ca="1" si="11"/>
        <v>87</v>
      </c>
      <c r="E304" s="138" t="str">
        <f t="shared" si="10"/>
        <v>ADMITIDO</v>
      </c>
      <c r="F304" s="117" t="s">
        <v>42</v>
      </c>
      <c r="G304" s="117" t="s">
        <v>102</v>
      </c>
      <c r="H304" s="117" t="s">
        <v>40</v>
      </c>
      <c r="I304" s="117" t="str">
        <f>IF(X304="ADMITIDO","ADMITIDO",IF(X304="CANCELADA","CANCELADA",IF(H304="","",IFERROR(_xlfn.XLOOKUP(H304,Listas!I:I,Listas!J:J),"OUTROS"))))</f>
        <v>ADMITIDO</v>
      </c>
      <c r="J304" s="248" t="s">
        <v>53</v>
      </c>
      <c r="K304" s="73" t="s">
        <v>103</v>
      </c>
      <c r="L304" s="73" t="s">
        <v>564</v>
      </c>
      <c r="M304" s="73"/>
      <c r="N304" s="73" t="s">
        <v>63</v>
      </c>
      <c r="O304" s="73" t="s">
        <v>34</v>
      </c>
      <c r="P304" s="73" t="s">
        <v>72</v>
      </c>
      <c r="Q304" s="73" t="s">
        <v>238</v>
      </c>
      <c r="R304" s="74" t="s">
        <v>1404</v>
      </c>
      <c r="S304" s="228" t="s">
        <v>65</v>
      </c>
      <c r="T304" s="229"/>
      <c r="U304" s="73" t="s">
        <v>132</v>
      </c>
      <c r="V304" s="220">
        <v>46164</v>
      </c>
      <c r="W304" s="203" t="s">
        <v>1404</v>
      </c>
      <c r="X304" s="227" t="s">
        <v>40</v>
      </c>
      <c r="Y304" s="249">
        <v>46169</v>
      </c>
      <c r="Z304" s="249">
        <v>46170</v>
      </c>
      <c r="AA304" s="224">
        <v>146025</v>
      </c>
      <c r="AB304" s="74" t="s">
        <v>956</v>
      </c>
      <c r="AC304" s="74"/>
      <c r="AD304" s="256">
        <v>0</v>
      </c>
    </row>
    <row r="305" spans="1:30" s="251" customFormat="1" ht="18" customHeight="1">
      <c r="A305" s="102">
        <v>30084</v>
      </c>
      <c r="B305" s="256">
        <v>1</v>
      </c>
      <c r="C305" s="201">
        <v>46140</v>
      </c>
      <c r="D305" s="105">
        <f t="shared" ca="1" si="11"/>
        <v>87</v>
      </c>
      <c r="E305" s="138" t="str">
        <f>IF(X305="ADMITIDO","ADMITIDO",IF(X305="CANCELADA","CANCELADA",IF(H305="","",IF(H305="ADMITIDO","ADMITIDO",IF(H305="CANCELADA","CANCELADA",IF(OR(H305="ANALISE CANCELAMENTO",H305="ANÁLISE CANCELAMENTO"),"EM ANÁLISE",IF(D305="","",IF(D305&lt;=7,"NO PRAZO",IF(D305&lt;=14,"ATENÇÃO","CRÍTICO")))))))))</f>
        <v>ADMITIDO</v>
      </c>
      <c r="F305" s="117" t="s">
        <v>42</v>
      </c>
      <c r="G305" s="117" t="s">
        <v>240</v>
      </c>
      <c r="H305" s="117" t="s">
        <v>40</v>
      </c>
      <c r="I305" s="117" t="str">
        <f>IF(X305="ADMITIDO","ADMITIDO",IF(X305="CANCELADA","CANCELADA",IF(H305="","",IFERROR(_xlfn.XLOOKUP(H305,Listas!I:I,Listas!J:J),"OUTROS"))))</f>
        <v>ADMITIDO</v>
      </c>
      <c r="J305" s="248" t="s">
        <v>53</v>
      </c>
      <c r="K305" s="73" t="s">
        <v>241</v>
      </c>
      <c r="L305" s="73" t="s">
        <v>958</v>
      </c>
      <c r="M305" s="73"/>
      <c r="N305" s="73" t="s">
        <v>243</v>
      </c>
      <c r="O305" s="73" t="s">
        <v>34</v>
      </c>
      <c r="P305" s="73" t="s">
        <v>48</v>
      </c>
      <c r="Q305" s="73" t="s">
        <v>959</v>
      </c>
      <c r="R305" s="74" t="s">
        <v>960</v>
      </c>
      <c r="S305" s="228" t="s">
        <v>1375</v>
      </c>
      <c r="T305" s="229" t="s">
        <v>1405</v>
      </c>
      <c r="U305" s="73" t="s">
        <v>132</v>
      </c>
      <c r="V305" s="220">
        <v>46197</v>
      </c>
      <c r="W305" s="203" t="s">
        <v>1406</v>
      </c>
      <c r="X305" s="227" t="s">
        <v>40</v>
      </c>
      <c r="Y305" s="249">
        <v>46199</v>
      </c>
      <c r="Z305" s="249">
        <v>46203</v>
      </c>
      <c r="AA305" s="224">
        <v>914533</v>
      </c>
      <c r="AB305" s="203" t="s">
        <v>1407</v>
      </c>
      <c r="AC305" s="74"/>
      <c r="AD305" s="256">
        <v>2</v>
      </c>
    </row>
    <row r="306" spans="1:30" s="251" customFormat="1" ht="18" customHeight="1">
      <c r="A306" s="102">
        <v>30086</v>
      </c>
      <c r="B306" s="256">
        <v>1</v>
      </c>
      <c r="C306" s="201">
        <v>46140</v>
      </c>
      <c r="D306" s="105">
        <f t="shared" ca="1" si="11"/>
        <v>87</v>
      </c>
      <c r="E306" s="138" t="str">
        <f t="shared" si="10"/>
        <v>ADMITIDO</v>
      </c>
      <c r="F306" s="117" t="s">
        <v>42</v>
      </c>
      <c r="G306" s="117" t="s">
        <v>102</v>
      </c>
      <c r="H306" s="117" t="s">
        <v>40</v>
      </c>
      <c r="I306" s="117" t="str">
        <f>IF(X306="ADMITIDO","ADMITIDO",IF(X306="CANCELADA","CANCELADA",IF(H306="","",IFERROR(_xlfn.XLOOKUP(H306,Listas!I:I,Listas!J:J),"OUTROS"))))</f>
        <v>ADMITIDO</v>
      </c>
      <c r="J306" s="248" t="s">
        <v>53</v>
      </c>
      <c r="K306" s="73" t="s">
        <v>103</v>
      </c>
      <c r="L306" s="73" t="s">
        <v>961</v>
      </c>
      <c r="M306" s="73"/>
      <c r="N306" s="73" t="s">
        <v>63</v>
      </c>
      <c r="O306" s="73" t="s">
        <v>34</v>
      </c>
      <c r="P306" s="73" t="s">
        <v>219</v>
      </c>
      <c r="Q306" s="73" t="s">
        <v>962</v>
      </c>
      <c r="R306" s="74" t="s">
        <v>963</v>
      </c>
      <c r="S306" s="228"/>
      <c r="T306" s="229"/>
      <c r="U306" s="73" t="s">
        <v>132</v>
      </c>
      <c r="V306" s="220">
        <v>46147</v>
      </c>
      <c r="W306" s="203" t="s">
        <v>964</v>
      </c>
      <c r="X306" s="117" t="s">
        <v>40</v>
      </c>
      <c r="Y306" s="249">
        <v>46149</v>
      </c>
      <c r="Z306" s="249">
        <v>46150</v>
      </c>
      <c r="AA306" s="224">
        <v>145925</v>
      </c>
      <c r="AB306" s="74"/>
      <c r="AC306" s="74"/>
      <c r="AD306" s="256">
        <v>0</v>
      </c>
    </row>
    <row r="307" spans="1:30" s="251" customFormat="1" ht="18" customHeight="1">
      <c r="A307" s="102">
        <v>30080</v>
      </c>
      <c r="B307" s="256">
        <v>1</v>
      </c>
      <c r="C307" s="201">
        <v>46140</v>
      </c>
      <c r="D307" s="105">
        <f t="shared" ca="1" si="11"/>
        <v>87</v>
      </c>
      <c r="E307" s="138" t="str">
        <f t="shared" si="10"/>
        <v>CANCELADA</v>
      </c>
      <c r="F307" s="117" t="s">
        <v>42</v>
      </c>
      <c r="G307" s="117" t="s">
        <v>240</v>
      </c>
      <c r="H307" s="117" t="s">
        <v>52</v>
      </c>
      <c r="I307" s="117" t="str">
        <f>IF(X307="ADMITIDO","ADMITIDO",IF(X307="CANCELADA","CANCELADA",IF(H307="","",IFERROR(_xlfn.XLOOKUP(H307,Listas!I:I,Listas!J:J),"OUTROS"))))</f>
        <v>CANCELADA</v>
      </c>
      <c r="J307" s="248" t="s">
        <v>44</v>
      </c>
      <c r="K307" s="73" t="s">
        <v>241</v>
      </c>
      <c r="L307" s="73" t="s">
        <v>307</v>
      </c>
      <c r="M307" s="73"/>
      <c r="N307" s="73" t="s">
        <v>243</v>
      </c>
      <c r="O307" s="73" t="s">
        <v>34</v>
      </c>
      <c r="P307" s="73" t="s">
        <v>57</v>
      </c>
      <c r="Q307" s="73" t="s">
        <v>309</v>
      </c>
      <c r="R307" s="74"/>
      <c r="S307" s="228" t="s">
        <v>65</v>
      </c>
      <c r="T307" s="229" t="s">
        <v>1408</v>
      </c>
      <c r="U307" s="73"/>
      <c r="V307" s="220"/>
      <c r="W307" s="203"/>
      <c r="X307" s="227"/>
      <c r="Y307" s="249"/>
      <c r="Z307" s="249"/>
      <c r="AA307" s="224"/>
      <c r="AB307" s="203" t="s">
        <v>1409</v>
      </c>
      <c r="AC307" s="74" t="s">
        <v>1160</v>
      </c>
      <c r="AD307" s="256">
        <v>2</v>
      </c>
    </row>
    <row r="308" spans="1:30" s="251" customFormat="1" ht="18" customHeight="1">
      <c r="A308" s="102">
        <v>30087</v>
      </c>
      <c r="B308" s="256">
        <v>1</v>
      </c>
      <c r="C308" s="201">
        <v>46140</v>
      </c>
      <c r="D308" s="105">
        <f t="shared" ca="1" si="11"/>
        <v>87</v>
      </c>
      <c r="E308" s="138" t="str">
        <f t="shared" si="10"/>
        <v>ADMITIDO</v>
      </c>
      <c r="F308" s="117" t="s">
        <v>42</v>
      </c>
      <c r="G308" s="117" t="s">
        <v>663</v>
      </c>
      <c r="H308" s="117" t="s">
        <v>40</v>
      </c>
      <c r="I308" s="117" t="str">
        <f>IF(X308="ADMITIDO","ADMITIDO",IF(X308="CANCELADA","CANCELADA",IF(H308="","",IFERROR(_xlfn.XLOOKUP(H308,Listas!I:I,Listas!J:J),"OUTROS"))))</f>
        <v>ADMITIDO</v>
      </c>
      <c r="J308" s="248" t="s">
        <v>44</v>
      </c>
      <c r="K308" s="73" t="s">
        <v>54</v>
      </c>
      <c r="L308" s="73" t="s">
        <v>664</v>
      </c>
      <c r="M308" s="73"/>
      <c r="N308" s="73" t="s">
        <v>435</v>
      </c>
      <c r="O308" s="73" t="s">
        <v>34</v>
      </c>
      <c r="P308" s="73" t="s">
        <v>57</v>
      </c>
      <c r="Q308" s="73" t="s">
        <v>1410</v>
      </c>
      <c r="R308" s="125"/>
      <c r="S308" s="228"/>
      <c r="T308" s="342" t="s">
        <v>1411</v>
      </c>
      <c r="U308" s="343" t="s">
        <v>38</v>
      </c>
      <c r="V308" s="344">
        <v>46197</v>
      </c>
      <c r="W308" s="296" t="s">
        <v>1412</v>
      </c>
      <c r="X308" s="227" t="s">
        <v>40</v>
      </c>
      <c r="Y308" s="249">
        <v>46199</v>
      </c>
      <c r="Z308" s="249">
        <v>46200</v>
      </c>
      <c r="AA308" s="224">
        <v>146158</v>
      </c>
      <c r="AB308" s="271" t="s">
        <v>1413</v>
      </c>
      <c r="AC308" s="74" t="s">
        <v>1160</v>
      </c>
      <c r="AD308" s="256">
        <v>3</v>
      </c>
    </row>
    <row r="309" spans="1:30" s="251" customFormat="1" ht="18" customHeight="1">
      <c r="A309" s="102">
        <v>30081</v>
      </c>
      <c r="B309" s="256">
        <v>1</v>
      </c>
      <c r="C309" s="201">
        <v>46140</v>
      </c>
      <c r="D309" s="105">
        <f t="shared" ca="1" si="11"/>
        <v>87</v>
      </c>
      <c r="E309" s="138" t="str">
        <f t="shared" si="10"/>
        <v>ADMITIDO</v>
      </c>
      <c r="F309" s="117" t="s">
        <v>42</v>
      </c>
      <c r="G309" s="117" t="s">
        <v>240</v>
      </c>
      <c r="H309" s="117" t="s">
        <v>40</v>
      </c>
      <c r="I309" s="117" t="str">
        <f>IF(X309="ADMITIDO","ADMITIDO",IF(X309="CANCELADA","CANCELADA",IF(H309="","",IFERROR(_xlfn.XLOOKUP(H309,Listas!I:I,Listas!J:J),"OUTROS"))))</f>
        <v>ADMITIDO</v>
      </c>
      <c r="J309" s="248" t="s">
        <v>53</v>
      </c>
      <c r="K309" s="73" t="s">
        <v>241</v>
      </c>
      <c r="L309" s="73" t="s">
        <v>518</v>
      </c>
      <c r="M309" s="73"/>
      <c r="N309" s="73" t="s">
        <v>63</v>
      </c>
      <c r="O309" s="73" t="s">
        <v>34</v>
      </c>
      <c r="P309" s="73" t="s">
        <v>48</v>
      </c>
      <c r="Q309" s="73" t="s">
        <v>120</v>
      </c>
      <c r="R309" s="74"/>
      <c r="S309" s="228"/>
      <c r="T309" s="229"/>
      <c r="U309" s="73" t="s">
        <v>76</v>
      </c>
      <c r="V309" s="220">
        <v>46153</v>
      </c>
      <c r="W309" s="118" t="s">
        <v>965</v>
      </c>
      <c r="X309" s="117" t="s">
        <v>40</v>
      </c>
      <c r="Y309" s="249">
        <v>46155</v>
      </c>
      <c r="Z309" s="249">
        <v>46160</v>
      </c>
      <c r="AA309" s="224">
        <v>145964</v>
      </c>
      <c r="AB309" s="74"/>
      <c r="AC309" s="74"/>
      <c r="AD309" s="256">
        <v>0</v>
      </c>
    </row>
    <row r="310" spans="1:30" s="251" customFormat="1" ht="18" customHeight="1">
      <c r="A310" s="102">
        <v>30077</v>
      </c>
      <c r="B310" s="256">
        <v>1</v>
      </c>
      <c r="C310" s="201">
        <v>46140</v>
      </c>
      <c r="D310" s="105">
        <f t="shared" ca="1" si="11"/>
        <v>87</v>
      </c>
      <c r="E310" s="138" t="str">
        <f t="shared" si="10"/>
        <v>CANCELADA</v>
      </c>
      <c r="F310" s="117" t="s">
        <v>42</v>
      </c>
      <c r="G310" s="117" t="s">
        <v>240</v>
      </c>
      <c r="H310" s="117" t="s">
        <v>52</v>
      </c>
      <c r="I310" s="117" t="str">
        <f>IF(X310="ADMITIDO","ADMITIDO",IF(X310="CANCELADA","CANCELADA",IF(H310="","",IFERROR(_xlfn.XLOOKUP(H310,Listas!I:I,Listas!J:J),"OUTROS"))))</f>
        <v>CANCELADA</v>
      </c>
      <c r="J310" s="248" t="s">
        <v>53</v>
      </c>
      <c r="K310" s="73" t="s">
        <v>241</v>
      </c>
      <c r="L310" s="73" t="s">
        <v>312</v>
      </c>
      <c r="M310" s="73"/>
      <c r="N310" s="73" t="s">
        <v>243</v>
      </c>
      <c r="O310" s="73" t="s">
        <v>34</v>
      </c>
      <c r="P310" s="73" t="s">
        <v>57</v>
      </c>
      <c r="Q310" s="73" t="s">
        <v>480</v>
      </c>
      <c r="R310" s="74"/>
      <c r="S310" s="228"/>
      <c r="T310" s="229"/>
      <c r="U310" s="73"/>
      <c r="V310" s="220"/>
      <c r="W310" s="203"/>
      <c r="X310" s="227" t="s">
        <v>52</v>
      </c>
      <c r="Y310" s="249"/>
      <c r="Z310" s="249"/>
      <c r="AA310" s="224"/>
      <c r="AB310" s="74" t="s">
        <v>1414</v>
      </c>
      <c r="AC310" s="74"/>
      <c r="AD310" s="256">
        <v>0</v>
      </c>
    </row>
    <row r="311" spans="1:30" s="251" customFormat="1" ht="18" customHeight="1">
      <c r="A311" s="102">
        <v>30079</v>
      </c>
      <c r="B311" s="256">
        <v>1</v>
      </c>
      <c r="C311" s="201">
        <v>46140</v>
      </c>
      <c r="D311" s="105">
        <f t="shared" ca="1" si="11"/>
        <v>87</v>
      </c>
      <c r="E311" s="138" t="str">
        <f t="shared" si="10"/>
        <v>CANCELADA</v>
      </c>
      <c r="F311" s="117" t="s">
        <v>42</v>
      </c>
      <c r="G311" s="117" t="s">
        <v>240</v>
      </c>
      <c r="H311" s="117" t="s">
        <v>52</v>
      </c>
      <c r="I311" s="117" t="str">
        <f>IF(X311="ADMITIDO","ADMITIDO",IF(X311="CANCELADA","CANCELADA",IF(H311="","",IFERROR(_xlfn.XLOOKUP(H311,Listas!I:I,Listas!J:J),"OUTROS"))))</f>
        <v>CANCELADA</v>
      </c>
      <c r="J311" s="248" t="s">
        <v>53</v>
      </c>
      <c r="K311" s="73" t="s">
        <v>241</v>
      </c>
      <c r="L311" s="73" t="s">
        <v>312</v>
      </c>
      <c r="M311" s="73"/>
      <c r="N311" s="73" t="s">
        <v>243</v>
      </c>
      <c r="O311" s="73" t="s">
        <v>34</v>
      </c>
      <c r="P311" s="73" t="s">
        <v>48</v>
      </c>
      <c r="Q311" s="73" t="s">
        <v>131</v>
      </c>
      <c r="R311" s="74"/>
      <c r="S311" s="228"/>
      <c r="T311" s="229"/>
      <c r="U311" s="73"/>
      <c r="V311" s="220"/>
      <c r="W311" s="203"/>
      <c r="X311" s="73" t="s">
        <v>52</v>
      </c>
      <c r="Y311" s="249"/>
      <c r="Z311" s="249"/>
      <c r="AA311" s="224"/>
      <c r="AB311" s="74"/>
      <c r="AC311" s="74"/>
      <c r="AD311" s="256">
        <v>0</v>
      </c>
    </row>
    <row r="312" spans="1:30" s="251" customFormat="1" ht="18" customHeight="1">
      <c r="A312" s="102">
        <v>30111</v>
      </c>
      <c r="B312" s="256">
        <v>1</v>
      </c>
      <c r="C312" s="201">
        <v>46140</v>
      </c>
      <c r="D312" s="105">
        <f t="shared" ca="1" si="11"/>
        <v>87</v>
      </c>
      <c r="E312" s="138" t="str">
        <f t="shared" si="10"/>
        <v>ADMITIDO</v>
      </c>
      <c r="F312" s="117" t="s">
        <v>119</v>
      </c>
      <c r="G312" s="117" t="s">
        <v>145</v>
      </c>
      <c r="H312" s="117" t="s">
        <v>40</v>
      </c>
      <c r="I312" s="117" t="str">
        <f>IF(X312="ADMITIDO","ADMITIDO",IF(X312="CANCELADA","CANCELADA",IF(H312="","",IFERROR(_xlfn.XLOOKUP(H312,Listas!I:I,Listas!J:J),"OUTROS"))))</f>
        <v>ADMITIDO</v>
      </c>
      <c r="J312" s="248" t="s">
        <v>968</v>
      </c>
      <c r="K312" s="73" t="s">
        <v>824</v>
      </c>
      <c r="L312" s="73" t="s">
        <v>860</v>
      </c>
      <c r="M312" s="73"/>
      <c r="N312" s="73" t="s">
        <v>119</v>
      </c>
      <c r="O312" s="73" t="s">
        <v>34</v>
      </c>
      <c r="P312" s="73" t="s">
        <v>48</v>
      </c>
      <c r="Q312" s="73" t="s">
        <v>441</v>
      </c>
      <c r="R312" s="74"/>
      <c r="S312" s="228"/>
      <c r="T312" s="229"/>
      <c r="U312" s="73" t="s">
        <v>132</v>
      </c>
      <c r="V312" s="220">
        <v>46146</v>
      </c>
      <c r="W312" s="203" t="s">
        <v>969</v>
      </c>
      <c r="X312" s="117" t="s">
        <v>40</v>
      </c>
      <c r="Y312" s="249">
        <v>46148</v>
      </c>
      <c r="Z312" s="249">
        <v>46148</v>
      </c>
      <c r="AA312" s="224">
        <v>914233</v>
      </c>
      <c r="AB312" s="74"/>
      <c r="AC312" s="74"/>
      <c r="AD312" s="256">
        <v>0</v>
      </c>
    </row>
    <row r="313" spans="1:30" s="251" customFormat="1" ht="18" customHeight="1">
      <c r="A313" s="102">
        <v>30117</v>
      </c>
      <c r="B313" s="256">
        <v>1</v>
      </c>
      <c r="C313" s="201">
        <v>46140</v>
      </c>
      <c r="D313" s="105">
        <f t="shared" ca="1" si="11"/>
        <v>87</v>
      </c>
      <c r="E313" s="138" t="str">
        <f t="shared" si="10"/>
        <v>ADMITIDO</v>
      </c>
      <c r="F313" s="117" t="s">
        <v>119</v>
      </c>
      <c r="G313" s="117" t="s">
        <v>821</v>
      </c>
      <c r="H313" s="117" t="s">
        <v>40</v>
      </c>
      <c r="I313" s="117" t="str">
        <f>IF(X313="ADMITIDO","ADMITIDO",IF(X313="CANCELADA","CANCELADA",IF(H313="","",IFERROR(_xlfn.XLOOKUP(H313,Listas!I:I,Listas!J:J),"OUTROS"))))</f>
        <v>ADMITIDO</v>
      </c>
      <c r="J313" s="248" t="s">
        <v>970</v>
      </c>
      <c r="K313" s="73" t="s">
        <v>824</v>
      </c>
      <c r="L313" s="73" t="s">
        <v>860</v>
      </c>
      <c r="M313" s="73"/>
      <c r="N313" s="73" t="s">
        <v>119</v>
      </c>
      <c r="O313" s="73" t="s">
        <v>34</v>
      </c>
      <c r="P313" s="73" t="s">
        <v>48</v>
      </c>
      <c r="Q313" s="73" t="s">
        <v>441</v>
      </c>
      <c r="R313" s="258" t="s">
        <v>1415</v>
      </c>
      <c r="S313" s="228"/>
      <c r="T313" s="229"/>
      <c r="U313" s="73" t="s">
        <v>132</v>
      </c>
      <c r="V313" s="220">
        <v>46175</v>
      </c>
      <c r="W313" s="203" t="s">
        <v>1416</v>
      </c>
      <c r="X313" s="227" t="s">
        <v>40</v>
      </c>
      <c r="Y313" s="249">
        <v>46181</v>
      </c>
      <c r="Z313" s="249">
        <v>46181</v>
      </c>
      <c r="AA313" s="272">
        <v>146048</v>
      </c>
      <c r="AB313" s="74"/>
      <c r="AC313" s="74"/>
      <c r="AD313" s="256">
        <v>0</v>
      </c>
    </row>
    <row r="314" spans="1:30" s="251" customFormat="1" ht="18" customHeight="1">
      <c r="A314" s="102">
        <v>30113</v>
      </c>
      <c r="B314" s="256">
        <v>1</v>
      </c>
      <c r="C314" s="201">
        <v>46140</v>
      </c>
      <c r="D314" s="105">
        <f t="shared" ca="1" si="11"/>
        <v>87</v>
      </c>
      <c r="E314" s="138" t="str">
        <f t="shared" si="10"/>
        <v>CANCELADA</v>
      </c>
      <c r="F314" s="117" t="s">
        <v>42</v>
      </c>
      <c r="G314" s="117" t="s">
        <v>43</v>
      </c>
      <c r="H314" s="117" t="s">
        <v>52</v>
      </c>
      <c r="I314" s="117" t="str">
        <f>IF(X314="ADMITIDO","ADMITIDO",IF(X314="CANCELADA","CANCELADA",IF(H314="","",IFERROR(_xlfn.XLOOKUP(H314,Listas!I:I,Listas!J:J),"OUTROS"))))</f>
        <v>CANCELADA</v>
      </c>
      <c r="J314" s="248" t="s">
        <v>53</v>
      </c>
      <c r="K314" s="73" t="s">
        <v>189</v>
      </c>
      <c r="L314" s="258" t="s">
        <v>1417</v>
      </c>
      <c r="M314" s="258"/>
      <c r="N314" s="73" t="s">
        <v>33</v>
      </c>
      <c r="O314" s="73" t="s">
        <v>34</v>
      </c>
      <c r="P314" s="73" t="s">
        <v>48</v>
      </c>
      <c r="Q314" s="73" t="s">
        <v>131</v>
      </c>
      <c r="R314" s="74" t="s">
        <v>973</v>
      </c>
      <c r="S314" s="228"/>
      <c r="T314" s="229"/>
      <c r="U314" s="73"/>
      <c r="V314" s="220"/>
      <c r="W314" s="203"/>
      <c r="X314" s="73" t="s">
        <v>52</v>
      </c>
      <c r="Y314" s="249"/>
      <c r="Z314" s="249"/>
      <c r="AA314" s="224"/>
      <c r="AB314" s="74"/>
      <c r="AC314" s="74"/>
      <c r="AD314" s="256">
        <v>0</v>
      </c>
    </row>
    <row r="315" spans="1:30" s="251" customFormat="1" ht="18" customHeight="1">
      <c r="A315" s="102">
        <v>30083</v>
      </c>
      <c r="B315" s="256">
        <v>1</v>
      </c>
      <c r="C315" s="201">
        <v>46140</v>
      </c>
      <c r="D315" s="105">
        <f t="shared" ca="1" si="11"/>
        <v>87</v>
      </c>
      <c r="E315" s="232" t="str">
        <f t="shared" si="10"/>
        <v>ADMITIDO</v>
      </c>
      <c r="F315" s="117" t="s">
        <v>42</v>
      </c>
      <c r="G315" s="117" t="s">
        <v>29</v>
      </c>
      <c r="H315" s="117" t="s">
        <v>40</v>
      </c>
      <c r="I315" s="117" t="str">
        <f>IF(X315="ADMITIDO","ADMITIDO",IF(X315="CANCELADA","CANCELADA",IF(H315="","",IFERROR(_xlfn.XLOOKUP(H315,Listas!I:I,Listas!J:J),"OUTROS"))))</f>
        <v>ADMITIDO</v>
      </c>
      <c r="J315" s="248" t="s">
        <v>974</v>
      </c>
      <c r="K315" s="73" t="s">
        <v>54</v>
      </c>
      <c r="L315" s="73" t="s">
        <v>865</v>
      </c>
      <c r="M315" s="73"/>
      <c r="N315" s="73" t="s">
        <v>93</v>
      </c>
      <c r="O315" s="73" t="s">
        <v>34</v>
      </c>
      <c r="P315" s="73" t="s">
        <v>48</v>
      </c>
      <c r="Q315" s="73" t="s">
        <v>131</v>
      </c>
      <c r="R315" s="74"/>
      <c r="S315" s="228"/>
      <c r="T315" s="229"/>
      <c r="U315" s="73" t="s">
        <v>38</v>
      </c>
      <c r="V315" s="220">
        <v>46154</v>
      </c>
      <c r="W315" s="203" t="s">
        <v>975</v>
      </c>
      <c r="X315" s="227" t="s">
        <v>40</v>
      </c>
      <c r="Y315" s="249">
        <v>46160</v>
      </c>
      <c r="Z315" s="249">
        <v>46161</v>
      </c>
      <c r="AA315" s="224">
        <v>145971</v>
      </c>
      <c r="AB315" s="74"/>
      <c r="AC315" s="74"/>
      <c r="AD315" s="256">
        <v>0</v>
      </c>
    </row>
    <row r="316" spans="1:30" s="251" customFormat="1" ht="18" customHeight="1">
      <c r="A316" s="102">
        <v>30121</v>
      </c>
      <c r="B316" s="256">
        <v>1</v>
      </c>
      <c r="C316" s="201">
        <v>46141</v>
      </c>
      <c r="D316" s="105">
        <f t="shared" ca="1" si="11"/>
        <v>86</v>
      </c>
      <c r="E316" s="138" t="str">
        <f t="shared" si="10"/>
        <v>ADMITIDO</v>
      </c>
      <c r="F316" s="117" t="s">
        <v>28</v>
      </c>
      <c r="G316" s="117" t="s">
        <v>145</v>
      </c>
      <c r="H316" s="117" t="s">
        <v>40</v>
      </c>
      <c r="I316" s="117" t="str">
        <f>IF(X316="ADMITIDO","ADMITIDO",IF(X316="CANCELADA","CANCELADA",IF(H316="","",IFERROR(_xlfn.XLOOKUP(H316,Listas!I:I,Listas!J:J),"OUTROS"))))</f>
        <v>ADMITIDO</v>
      </c>
      <c r="J316" s="248" t="s">
        <v>172</v>
      </c>
      <c r="K316" s="73" t="s">
        <v>330</v>
      </c>
      <c r="L316" s="73" t="s">
        <v>976</v>
      </c>
      <c r="M316" s="73"/>
      <c r="N316" s="73" t="s">
        <v>977</v>
      </c>
      <c r="O316" s="73" t="s">
        <v>34</v>
      </c>
      <c r="P316" s="73" t="s">
        <v>978</v>
      </c>
      <c r="Q316" s="73" t="s">
        <v>979</v>
      </c>
      <c r="R316" s="74"/>
      <c r="S316" s="244" t="s">
        <v>145</v>
      </c>
      <c r="T316" s="229"/>
      <c r="U316" s="73" t="s">
        <v>132</v>
      </c>
      <c r="V316" s="220">
        <v>46140</v>
      </c>
      <c r="W316" s="118" t="s">
        <v>980</v>
      </c>
      <c r="X316" s="117" t="s">
        <v>40</v>
      </c>
      <c r="Y316" s="249">
        <v>46154</v>
      </c>
      <c r="Z316" s="249">
        <v>46156</v>
      </c>
      <c r="AA316" s="224">
        <v>83286</v>
      </c>
      <c r="AB316" s="74"/>
      <c r="AC316" s="74"/>
      <c r="AD316" s="256">
        <v>0</v>
      </c>
    </row>
    <row r="317" spans="1:30" s="251" customFormat="1" ht="18" customHeight="1">
      <c r="A317" s="364">
        <v>30128</v>
      </c>
      <c r="B317" s="365">
        <v>1</v>
      </c>
      <c r="C317" s="366">
        <v>46141</v>
      </c>
      <c r="D317" s="367">
        <f t="shared" ca="1" si="11"/>
        <v>86</v>
      </c>
      <c r="E317" s="368" t="str">
        <f t="shared" si="10"/>
        <v>ADMITIDO</v>
      </c>
      <c r="F317" s="146" t="s">
        <v>28</v>
      </c>
      <c r="G317" s="146" t="s">
        <v>145</v>
      </c>
      <c r="H317" s="146" t="s">
        <v>40</v>
      </c>
      <c r="I317" s="146" t="str">
        <f>IF(X317="ADMITIDO","ADMITIDO",IF(X317="CANCELADA","CANCELADA",IF(H317="","",IFERROR(_xlfn.XLOOKUP(H317,Listas!I:I,Listas!J:J),"OUTROS"))))</f>
        <v>ADMITIDO</v>
      </c>
      <c r="J317" s="248" t="s">
        <v>981</v>
      </c>
      <c r="K317" s="73" t="s">
        <v>982</v>
      </c>
      <c r="L317" s="73" t="s">
        <v>983</v>
      </c>
      <c r="M317" s="73"/>
      <c r="N317" s="73" t="s">
        <v>63</v>
      </c>
      <c r="O317" s="73" t="s">
        <v>56</v>
      </c>
      <c r="P317" s="73" t="s">
        <v>984</v>
      </c>
      <c r="Q317" s="73" t="s">
        <v>985</v>
      </c>
      <c r="R317" s="74"/>
      <c r="S317" s="228"/>
      <c r="T317" s="229"/>
      <c r="U317" s="73" t="s">
        <v>132</v>
      </c>
      <c r="V317" s="220">
        <v>46141</v>
      </c>
      <c r="W317" s="203" t="s">
        <v>986</v>
      </c>
      <c r="X317" s="117" t="s">
        <v>40</v>
      </c>
      <c r="Y317" s="249">
        <v>46146</v>
      </c>
      <c r="Z317" s="249">
        <v>46146</v>
      </c>
      <c r="AA317" s="224">
        <v>145907</v>
      </c>
      <c r="AB317" s="74"/>
      <c r="AC317" s="74"/>
      <c r="AD317" s="256">
        <v>0</v>
      </c>
    </row>
    <row r="318" spans="1:30" s="251" customFormat="1" ht="18" customHeight="1">
      <c r="A318" s="102">
        <v>30127</v>
      </c>
      <c r="B318" s="256">
        <v>1</v>
      </c>
      <c r="C318" s="201">
        <v>46141</v>
      </c>
      <c r="D318" s="105">
        <f t="shared" ca="1" si="11"/>
        <v>86</v>
      </c>
      <c r="E318" s="138" t="str">
        <f t="shared" si="10"/>
        <v>ADMITIDO</v>
      </c>
      <c r="F318" s="117" t="s">
        <v>28</v>
      </c>
      <c r="G318" s="117" t="s">
        <v>145</v>
      </c>
      <c r="H318" s="117" t="str">
        <f>X318</f>
        <v>ADMITIDO</v>
      </c>
      <c r="I318" s="117" t="str">
        <f>IF(X318="ADMITIDO","ADMITIDO",IF(X318="CANCELADA","CANCELADA",IF(H318="","",IFERROR(_xlfn.XLOOKUP(H318,Listas!I:I,Listas!J:J),"OUTROS"))))</f>
        <v>ADMITIDO</v>
      </c>
      <c r="J318" s="359" t="s">
        <v>987</v>
      </c>
      <c r="K318" s="73" t="s">
        <v>423</v>
      </c>
      <c r="L318" s="73" t="s">
        <v>988</v>
      </c>
      <c r="M318" s="73"/>
      <c r="N318" s="73" t="s">
        <v>63</v>
      </c>
      <c r="O318" s="73" t="s">
        <v>34</v>
      </c>
      <c r="P318" s="73" t="s">
        <v>48</v>
      </c>
      <c r="Q318" s="73" t="s">
        <v>989</v>
      </c>
      <c r="R318" s="74"/>
      <c r="S318" s="228"/>
      <c r="T318" s="229"/>
      <c r="U318" s="73" t="s">
        <v>76</v>
      </c>
      <c r="V318" s="220">
        <v>46141</v>
      </c>
      <c r="W318" s="203" t="s">
        <v>991</v>
      </c>
      <c r="X318" s="117" t="s">
        <v>40</v>
      </c>
      <c r="Y318" s="249">
        <v>46142</v>
      </c>
      <c r="Z318" s="249">
        <v>46146</v>
      </c>
      <c r="AA318" s="224">
        <v>914208</v>
      </c>
      <c r="AB318" s="74"/>
      <c r="AC318" s="74"/>
      <c r="AD318" s="256">
        <v>0</v>
      </c>
    </row>
    <row r="319" spans="1:30" s="251" customFormat="1" ht="18" customHeight="1">
      <c r="A319" s="102">
        <v>30095</v>
      </c>
      <c r="B319" s="256">
        <v>1</v>
      </c>
      <c r="C319" s="201">
        <v>46141</v>
      </c>
      <c r="D319" s="105">
        <f t="shared" ca="1" si="11"/>
        <v>86</v>
      </c>
      <c r="E319" s="138" t="str">
        <f t="shared" si="10"/>
        <v>ADMITIDO</v>
      </c>
      <c r="F319" s="117" t="s">
        <v>42</v>
      </c>
      <c r="G319" s="117" t="s">
        <v>29</v>
      </c>
      <c r="H319" s="117" t="str">
        <f>X319</f>
        <v>ADMITIDO</v>
      </c>
      <c r="I319" s="117" t="str">
        <f>IF(X319="ADMITIDO","ADMITIDO",IF(X319="CANCELADA","CANCELADA",IF(H319="","",IFERROR(_xlfn.XLOOKUP(H319,Listas!I:I,Listas!J:J),"OUTROS"))))</f>
        <v>ADMITIDO</v>
      </c>
      <c r="J319" s="359" t="s">
        <v>992</v>
      </c>
      <c r="K319" s="73" t="s">
        <v>228</v>
      </c>
      <c r="L319" s="73" t="s">
        <v>229</v>
      </c>
      <c r="M319" s="73"/>
      <c r="N319" s="73" t="s">
        <v>88</v>
      </c>
      <c r="O319" s="73" t="s">
        <v>34</v>
      </c>
      <c r="P319" s="73" t="s">
        <v>35</v>
      </c>
      <c r="Q319" s="73" t="s">
        <v>287</v>
      </c>
      <c r="R319" s="74" t="s">
        <v>993</v>
      </c>
      <c r="S319" s="228"/>
      <c r="T319" s="229" t="s">
        <v>994</v>
      </c>
      <c r="U319" s="73" t="s">
        <v>38</v>
      </c>
      <c r="V319" s="220">
        <v>46150</v>
      </c>
      <c r="W319" s="118" t="s">
        <v>995</v>
      </c>
      <c r="X319" s="117" t="s">
        <v>40</v>
      </c>
      <c r="Y319" s="249">
        <v>46125</v>
      </c>
      <c r="Z319" s="249">
        <v>46126</v>
      </c>
      <c r="AA319" s="224">
        <v>145957</v>
      </c>
      <c r="AB319" s="74"/>
      <c r="AC319" s="74"/>
      <c r="AD319" s="256">
        <v>0</v>
      </c>
    </row>
    <row r="320" spans="1:30" s="251" customFormat="1" ht="18" customHeight="1">
      <c r="A320" s="102">
        <v>30101</v>
      </c>
      <c r="B320" s="256">
        <v>1</v>
      </c>
      <c r="C320" s="201">
        <v>46141</v>
      </c>
      <c r="D320" s="105">
        <f t="shared" ca="1" si="11"/>
        <v>86</v>
      </c>
      <c r="E320" s="138" t="str">
        <f t="shared" si="10"/>
        <v>ADMITIDO</v>
      </c>
      <c r="F320" s="117" t="s">
        <v>28</v>
      </c>
      <c r="G320" s="117" t="s">
        <v>60</v>
      </c>
      <c r="H320" s="117" t="str">
        <f>X320</f>
        <v>ADMITIDO</v>
      </c>
      <c r="I320" s="117" t="str">
        <f>IF(X320="ADMITIDO","ADMITIDO",IF(X320="CANCELADA","CANCELADA",IF(H320="","",IFERROR(_xlfn.XLOOKUP(H320,Listas!I:I,Listas!J:J),"OUTROS"))))</f>
        <v>ADMITIDO</v>
      </c>
      <c r="J320" s="359" t="s">
        <v>616</v>
      </c>
      <c r="K320" s="73" t="s">
        <v>330</v>
      </c>
      <c r="L320" s="73" t="s">
        <v>996</v>
      </c>
      <c r="M320" s="73"/>
      <c r="N320" s="73" t="s">
        <v>63</v>
      </c>
      <c r="O320" s="73" t="s">
        <v>34</v>
      </c>
      <c r="P320" s="73" t="s">
        <v>35</v>
      </c>
      <c r="Q320" s="73" t="s">
        <v>36</v>
      </c>
      <c r="R320" s="74"/>
      <c r="S320" s="228"/>
      <c r="T320" s="229"/>
      <c r="U320" s="73" t="s">
        <v>132</v>
      </c>
      <c r="V320" s="220">
        <v>46148</v>
      </c>
      <c r="W320" s="203" t="s">
        <v>997</v>
      </c>
      <c r="X320" s="117" t="s">
        <v>40</v>
      </c>
      <c r="Y320" s="249">
        <v>46150</v>
      </c>
      <c r="Z320" s="249">
        <v>46153</v>
      </c>
      <c r="AA320" s="224">
        <v>914246</v>
      </c>
      <c r="AB320" s="74"/>
      <c r="AC320" s="74"/>
      <c r="AD320" s="256">
        <v>0</v>
      </c>
    </row>
    <row r="321" spans="1:30" s="251" customFormat="1" ht="18" customHeight="1">
      <c r="A321" s="102">
        <v>30114</v>
      </c>
      <c r="B321" s="256">
        <v>1</v>
      </c>
      <c r="C321" s="201">
        <v>46141</v>
      </c>
      <c r="D321" s="105">
        <f t="shared" ca="1" si="11"/>
        <v>86</v>
      </c>
      <c r="E321" s="138" t="str">
        <f t="shared" si="10"/>
        <v>ADMITIDO</v>
      </c>
      <c r="F321" s="117" t="s">
        <v>28</v>
      </c>
      <c r="G321" s="117" t="s">
        <v>102</v>
      </c>
      <c r="H321" s="117" t="str">
        <f>X321</f>
        <v>ADMITIDO</v>
      </c>
      <c r="I321" s="117" t="str">
        <f>IF(X321="ADMITIDO","ADMITIDO",IF(X321="CANCELADA","CANCELADA",IF(H321="","",IFERROR(_xlfn.XLOOKUP(H321,Listas!I:I,Listas!J:J),"OUTROS"))))</f>
        <v>ADMITIDO</v>
      </c>
      <c r="J321" s="359" t="s">
        <v>268</v>
      </c>
      <c r="K321" s="73" t="s">
        <v>371</v>
      </c>
      <c r="L321" s="73" t="s">
        <v>998</v>
      </c>
      <c r="M321" s="73"/>
      <c r="N321" s="73" t="s">
        <v>999</v>
      </c>
      <c r="O321" s="73" t="s">
        <v>34</v>
      </c>
      <c r="P321" s="73" t="s">
        <v>35</v>
      </c>
      <c r="Q321" s="73" t="s">
        <v>36</v>
      </c>
      <c r="R321" s="74" t="s">
        <v>1000</v>
      </c>
      <c r="S321" s="228"/>
      <c r="T321" s="229"/>
      <c r="U321" s="73" t="s">
        <v>76</v>
      </c>
      <c r="V321" s="220">
        <v>46142</v>
      </c>
      <c r="W321" s="203" t="s">
        <v>1001</v>
      </c>
      <c r="X321" s="117" t="s">
        <v>40</v>
      </c>
      <c r="Y321" s="249">
        <v>46147</v>
      </c>
      <c r="Z321" s="249">
        <v>46149</v>
      </c>
      <c r="AA321" s="224">
        <v>914222</v>
      </c>
      <c r="AB321" s="74"/>
      <c r="AC321" s="74"/>
      <c r="AD321" s="256">
        <v>0</v>
      </c>
    </row>
    <row r="322" spans="1:30" s="251" customFormat="1" ht="18" customHeight="1">
      <c r="A322" s="377">
        <v>30116</v>
      </c>
      <c r="B322" s="378">
        <v>1</v>
      </c>
      <c r="C322" s="379">
        <v>46141</v>
      </c>
      <c r="D322" s="380">
        <f t="shared" ca="1" si="11"/>
        <v>86</v>
      </c>
      <c r="E322" s="381" t="str">
        <f t="shared" ref="E322:E385" si="12">IF(X322="ADMITIDO","ADMITIDO",IF(X322="CANCELADA","CANCELADA",IF(H322="","",IF(H322="ADMITIDO","ADMITIDO",IF(H322="CANCELADA","CANCELADA",IF(OR(H322="ANALISE CANCELAMENTO",H322="ANÁLISE CANCELAMENTO"),"EM ANÁLISE",IF(D322="","",IF(D322&lt;=7,"NO PRAZO",IF(D322&lt;=14,"ATENÇÃO","CRÍTICO")))))))))</f>
        <v>CANCELADA</v>
      </c>
      <c r="F322" s="382" t="s">
        <v>42</v>
      </c>
      <c r="G322" s="382" t="s">
        <v>663</v>
      </c>
      <c r="H322" s="382" t="s">
        <v>52</v>
      </c>
      <c r="I322" s="382" t="str">
        <f>IF(X322="ADMITIDO","ADMITIDO",IF(X322="CANCELADA","CANCELADA",IF(H322="","",IFERROR(_xlfn.XLOOKUP(H322,Listas!I:I,Listas!J:J),"OUTROS"))))</f>
        <v>CANCELADA</v>
      </c>
      <c r="J322" s="248" t="s">
        <v>53</v>
      </c>
      <c r="K322" s="73" t="s">
        <v>54</v>
      </c>
      <c r="L322" s="73" t="s">
        <v>164</v>
      </c>
      <c r="M322" s="73"/>
      <c r="N322" s="73" t="s">
        <v>88</v>
      </c>
      <c r="O322" s="73" t="s">
        <v>34</v>
      </c>
      <c r="P322" s="73" t="s">
        <v>57</v>
      </c>
      <c r="Q322" s="73" t="s">
        <v>94</v>
      </c>
      <c r="R322" s="74"/>
      <c r="S322" s="228"/>
      <c r="T322" s="282"/>
      <c r="U322" s="73"/>
      <c r="V322" s="220"/>
      <c r="W322" s="236"/>
      <c r="X322" s="119" t="s">
        <v>52</v>
      </c>
      <c r="Y322" s="249"/>
      <c r="Z322" s="249"/>
      <c r="AA322" s="224"/>
      <c r="AB322" s="125" t="s">
        <v>1418</v>
      </c>
      <c r="AC322" s="125"/>
      <c r="AD322" s="256">
        <v>1</v>
      </c>
    </row>
    <row r="323" spans="1:30" s="251" customFormat="1" ht="18" customHeight="1">
      <c r="A323" s="102">
        <v>30124</v>
      </c>
      <c r="B323" s="256">
        <v>1</v>
      </c>
      <c r="C323" s="201">
        <v>46141</v>
      </c>
      <c r="D323" s="105">
        <f t="shared" ca="1" si="11"/>
        <v>86</v>
      </c>
      <c r="E323" s="138" t="str">
        <f t="shared" si="12"/>
        <v>ADMITIDO</v>
      </c>
      <c r="F323" s="117" t="s">
        <v>42</v>
      </c>
      <c r="G323" s="117" t="s">
        <v>29</v>
      </c>
      <c r="H323" s="117" t="s">
        <v>40</v>
      </c>
      <c r="I323" s="117" t="str">
        <f>IF(X323="ADMITIDO","ADMITIDO",IF(X323="CANCELADA","CANCELADA",IF(H323="","",IFERROR(_xlfn.XLOOKUP(H323,Listas!I:I,Listas!J:J),"OUTROS"))))</f>
        <v>ADMITIDO</v>
      </c>
      <c r="J323" s="359" t="s">
        <v>53</v>
      </c>
      <c r="K323" s="73" t="s">
        <v>54</v>
      </c>
      <c r="L323" s="73" t="s">
        <v>164</v>
      </c>
      <c r="M323" s="73"/>
      <c r="N323" s="73" t="s">
        <v>88</v>
      </c>
      <c r="O323" s="73" t="s">
        <v>34</v>
      </c>
      <c r="P323" s="73" t="s">
        <v>57</v>
      </c>
      <c r="Q323" s="73" t="s">
        <v>231</v>
      </c>
      <c r="R323" s="74"/>
      <c r="S323" s="228"/>
      <c r="T323" s="229"/>
      <c r="U323" s="73" t="s">
        <v>38</v>
      </c>
      <c r="V323" s="220">
        <v>46142</v>
      </c>
      <c r="W323" s="257" t="s">
        <v>1004</v>
      </c>
      <c r="X323" s="117" t="s">
        <v>40</v>
      </c>
      <c r="Y323" s="249">
        <v>46146</v>
      </c>
      <c r="Z323" s="249">
        <v>46145</v>
      </c>
      <c r="AA323" s="224">
        <v>145915</v>
      </c>
      <c r="AB323" s="74"/>
      <c r="AC323" s="74"/>
      <c r="AD323" s="256">
        <v>0</v>
      </c>
    </row>
    <row r="324" spans="1:30" s="251" customFormat="1" ht="18" customHeight="1">
      <c r="A324" s="102">
        <v>30137</v>
      </c>
      <c r="B324" s="256">
        <v>1</v>
      </c>
      <c r="C324" s="201">
        <v>46141</v>
      </c>
      <c r="D324" s="105">
        <f t="shared" ca="1" si="11"/>
        <v>86</v>
      </c>
      <c r="E324" s="138" t="str">
        <f t="shared" si="12"/>
        <v>ADMITIDO</v>
      </c>
      <c r="F324" s="117" t="s">
        <v>42</v>
      </c>
      <c r="G324" s="117" t="s">
        <v>29</v>
      </c>
      <c r="H324" s="117" t="s">
        <v>40</v>
      </c>
      <c r="I324" s="117" t="str">
        <f>IF(X324="ADMITIDO","ADMITIDO",IF(X324="CANCELADA","CANCELADA",IF(H324="","",IFERROR(_xlfn.XLOOKUP(H324,Listas!I:I,Listas!J:J),"OUTROS"))))</f>
        <v>ADMITIDO</v>
      </c>
      <c r="J324" s="359" t="s">
        <v>53</v>
      </c>
      <c r="K324" s="73" t="s">
        <v>54</v>
      </c>
      <c r="L324" s="73" t="s">
        <v>164</v>
      </c>
      <c r="M324" s="73"/>
      <c r="N324" s="73" t="s">
        <v>88</v>
      </c>
      <c r="O324" s="73" t="s">
        <v>34</v>
      </c>
      <c r="P324" s="73" t="s">
        <v>57</v>
      </c>
      <c r="Q324" s="73" t="s">
        <v>94</v>
      </c>
      <c r="R324" s="74"/>
      <c r="S324" s="228"/>
      <c r="T324" s="229"/>
      <c r="U324" s="73" t="s">
        <v>38</v>
      </c>
      <c r="V324" s="220">
        <v>46154</v>
      </c>
      <c r="W324" s="203" t="s">
        <v>1005</v>
      </c>
      <c r="X324" s="119" t="s">
        <v>40</v>
      </c>
      <c r="Y324" s="249">
        <v>46157</v>
      </c>
      <c r="Z324" s="249">
        <v>46157</v>
      </c>
      <c r="AA324" s="224">
        <v>145968</v>
      </c>
      <c r="AB324" s="74"/>
      <c r="AC324" s="74"/>
      <c r="AD324" s="256">
        <v>0</v>
      </c>
    </row>
    <row r="325" spans="1:30" s="251" customFormat="1" ht="18" customHeight="1">
      <c r="A325" s="102">
        <v>30138</v>
      </c>
      <c r="B325" s="256">
        <v>1</v>
      </c>
      <c r="C325" s="201">
        <v>46141</v>
      </c>
      <c r="D325" s="105">
        <f t="shared" ref="D325:D388" ca="1" si="13">TODAY()-C325</f>
        <v>86</v>
      </c>
      <c r="E325" s="138" t="str">
        <f t="shared" si="12"/>
        <v>ADMITIDO</v>
      </c>
      <c r="F325" s="117" t="s">
        <v>42</v>
      </c>
      <c r="G325" s="117" t="s">
        <v>29</v>
      </c>
      <c r="H325" s="117" t="s">
        <v>40</v>
      </c>
      <c r="I325" s="117" t="str">
        <f>IF(X325="ADMITIDO","ADMITIDO",IF(X325="CANCELADA","CANCELADA",IF(H325="","",IFERROR(_xlfn.XLOOKUP(H325,Listas!I:I,Listas!J:J),"OUTROS"))))</f>
        <v>ADMITIDO</v>
      </c>
      <c r="J325" s="359" t="s">
        <v>53</v>
      </c>
      <c r="K325" s="73" t="s">
        <v>54</v>
      </c>
      <c r="L325" s="73" t="s">
        <v>164</v>
      </c>
      <c r="M325" s="73"/>
      <c r="N325" s="73" t="s">
        <v>88</v>
      </c>
      <c r="O325" s="73" t="s">
        <v>34</v>
      </c>
      <c r="P325" s="73" t="s">
        <v>57</v>
      </c>
      <c r="Q325" s="73" t="s">
        <v>94</v>
      </c>
      <c r="R325" s="74"/>
      <c r="S325" s="228"/>
      <c r="T325" s="229" t="s">
        <v>1006</v>
      </c>
      <c r="U325" s="73" t="s">
        <v>38</v>
      </c>
      <c r="V325" s="220">
        <v>46154</v>
      </c>
      <c r="W325" s="203" t="s">
        <v>1007</v>
      </c>
      <c r="X325" s="117" t="s">
        <v>40</v>
      </c>
      <c r="Y325" s="249">
        <v>46155</v>
      </c>
      <c r="Z325" s="249">
        <v>46156</v>
      </c>
      <c r="AA325" s="224">
        <v>145945</v>
      </c>
      <c r="AB325" s="74"/>
      <c r="AC325" s="74"/>
      <c r="AD325" s="256">
        <v>0</v>
      </c>
    </row>
    <row r="326" spans="1:30" s="251" customFormat="1" ht="18" customHeight="1">
      <c r="A326" s="102">
        <v>30088</v>
      </c>
      <c r="B326" s="256">
        <v>1</v>
      </c>
      <c r="C326" s="201">
        <v>46141</v>
      </c>
      <c r="D326" s="105">
        <f t="shared" ca="1" si="13"/>
        <v>86</v>
      </c>
      <c r="E326" s="138" t="str">
        <f t="shared" si="12"/>
        <v>ADMITIDO</v>
      </c>
      <c r="F326" s="117" t="s">
        <v>42</v>
      </c>
      <c r="G326" s="117" t="s">
        <v>43</v>
      </c>
      <c r="H326" s="117" t="s">
        <v>40</v>
      </c>
      <c r="I326" s="117" t="str">
        <f>IF(X326="ADMITIDO","ADMITIDO",IF(X326="CANCELADA","CANCELADA",IF(H326="","",IFERROR(_xlfn.XLOOKUP(H326,Listas!I:I,Listas!J:J),"OUTROS"))))</f>
        <v>ADMITIDO</v>
      </c>
      <c r="J326" s="359" t="s">
        <v>53</v>
      </c>
      <c r="K326" s="73" t="s">
        <v>189</v>
      </c>
      <c r="L326" s="73" t="s">
        <v>511</v>
      </c>
      <c r="M326" s="73"/>
      <c r="N326" s="73" t="s">
        <v>512</v>
      </c>
      <c r="O326" s="73" t="s">
        <v>34</v>
      </c>
      <c r="P326" s="73" t="s">
        <v>48</v>
      </c>
      <c r="Q326" s="73" t="s">
        <v>414</v>
      </c>
      <c r="R326" s="271" t="s">
        <v>291</v>
      </c>
      <c r="S326" s="228" t="s">
        <v>1008</v>
      </c>
      <c r="T326" s="229">
        <v>11975626574</v>
      </c>
      <c r="U326" s="73" t="s">
        <v>67</v>
      </c>
      <c r="V326" s="220">
        <v>46154</v>
      </c>
      <c r="W326" s="118" t="s">
        <v>1009</v>
      </c>
      <c r="X326" s="119" t="s">
        <v>40</v>
      </c>
      <c r="Y326" s="249">
        <v>46163</v>
      </c>
      <c r="Z326" s="249">
        <v>46163</v>
      </c>
      <c r="AA326" s="224">
        <v>914303</v>
      </c>
      <c r="AB326" s="74" t="s">
        <v>1419</v>
      </c>
      <c r="AC326" s="74"/>
      <c r="AD326" s="256">
        <v>3</v>
      </c>
    </row>
    <row r="327" spans="1:30" s="251" customFormat="1" ht="18" customHeight="1">
      <c r="A327" s="102">
        <v>30115</v>
      </c>
      <c r="B327" s="256">
        <v>1</v>
      </c>
      <c r="C327" s="201">
        <v>46141</v>
      </c>
      <c r="D327" s="105">
        <f t="shared" ca="1" si="13"/>
        <v>86</v>
      </c>
      <c r="E327" s="138" t="str">
        <f t="shared" si="12"/>
        <v>ADMITIDO</v>
      </c>
      <c r="F327" s="117" t="s">
        <v>42</v>
      </c>
      <c r="G327" s="117" t="s">
        <v>240</v>
      </c>
      <c r="H327" s="117" t="s">
        <v>40</v>
      </c>
      <c r="I327" s="117" t="str">
        <f>IF(X327="ADMITIDO","ADMITIDO",IF(X327="CANCELADA","CANCELADA",IF(H327="","",IFERROR(_xlfn.XLOOKUP(H327,Listas!I:I,Listas!J:J),"OUTROS"))))</f>
        <v>ADMITIDO</v>
      </c>
      <c r="J327" s="359" t="s">
        <v>44</v>
      </c>
      <c r="K327" s="73" t="s">
        <v>241</v>
      </c>
      <c r="L327" s="73" t="s">
        <v>351</v>
      </c>
      <c r="M327" s="73"/>
      <c r="N327" s="73" t="s">
        <v>63</v>
      </c>
      <c r="O327" s="73" t="s">
        <v>34</v>
      </c>
      <c r="P327" s="73" t="s">
        <v>57</v>
      </c>
      <c r="Q327" s="73" t="s">
        <v>470</v>
      </c>
      <c r="R327" s="74" t="s">
        <v>1011</v>
      </c>
      <c r="S327" s="228" t="s">
        <v>1420</v>
      </c>
      <c r="T327" s="229" t="s">
        <v>1421</v>
      </c>
      <c r="U327" s="73" t="s">
        <v>109</v>
      </c>
      <c r="V327" s="220">
        <v>46188</v>
      </c>
      <c r="W327" s="203" t="s">
        <v>1422</v>
      </c>
      <c r="X327" s="227" t="s">
        <v>40</v>
      </c>
      <c r="Y327" s="249">
        <v>46190</v>
      </c>
      <c r="Z327" s="249">
        <v>46192</v>
      </c>
      <c r="AA327" s="224">
        <v>914454</v>
      </c>
      <c r="AB327" s="74"/>
      <c r="AC327" s="74"/>
      <c r="AD327" s="256">
        <v>0</v>
      </c>
    </row>
    <row r="328" spans="1:30" s="251" customFormat="1" ht="18" customHeight="1">
      <c r="A328" s="102">
        <v>30094</v>
      </c>
      <c r="B328" s="256">
        <v>1</v>
      </c>
      <c r="C328" s="201">
        <v>46141</v>
      </c>
      <c r="D328" s="105">
        <f t="shared" ca="1" si="13"/>
        <v>86</v>
      </c>
      <c r="E328" s="138" t="str">
        <f t="shared" si="12"/>
        <v>ADMITIDO</v>
      </c>
      <c r="F328" s="117" t="s">
        <v>42</v>
      </c>
      <c r="G328" s="117" t="s">
        <v>69</v>
      </c>
      <c r="H328" s="117" t="s">
        <v>40</v>
      </c>
      <c r="I328" s="117" t="str">
        <f>IF(X328="ADMITIDO","ADMITIDO",IF(X328="CANCELADA","CANCELADA",IF(H328="","",IFERROR(_xlfn.XLOOKUP(H328,Listas!I:I,Listas!J:J),"OUTROS"))))</f>
        <v>ADMITIDO</v>
      </c>
      <c r="J328" s="359" t="s">
        <v>44</v>
      </c>
      <c r="K328" s="73" t="s">
        <v>158</v>
      </c>
      <c r="L328" s="73" t="s">
        <v>1012</v>
      </c>
      <c r="M328" s="73"/>
      <c r="N328" s="73" t="s">
        <v>63</v>
      </c>
      <c r="O328" s="73" t="s">
        <v>34</v>
      </c>
      <c r="P328" s="73" t="s">
        <v>589</v>
      </c>
      <c r="Q328" s="73" t="s">
        <v>98</v>
      </c>
      <c r="R328" s="74"/>
      <c r="S328" s="228" t="s">
        <v>65</v>
      </c>
      <c r="T328" s="252"/>
      <c r="U328" s="73" t="s">
        <v>109</v>
      </c>
      <c r="V328" s="220">
        <v>46153</v>
      </c>
      <c r="W328" s="203" t="s">
        <v>1013</v>
      </c>
      <c r="X328" s="119" t="s">
        <v>40</v>
      </c>
      <c r="Y328" s="249">
        <v>46156</v>
      </c>
      <c r="Z328" s="249">
        <v>46160</v>
      </c>
      <c r="AA328" s="224">
        <v>145969</v>
      </c>
      <c r="AB328" s="74"/>
      <c r="AC328" s="74"/>
      <c r="AD328" s="256">
        <v>0</v>
      </c>
    </row>
    <row r="329" spans="1:30" s="251" customFormat="1" ht="18" customHeight="1">
      <c r="A329" s="377">
        <v>30106</v>
      </c>
      <c r="B329" s="378">
        <v>1</v>
      </c>
      <c r="C329" s="379">
        <v>46141</v>
      </c>
      <c r="D329" s="380">
        <f t="shared" ca="1" si="13"/>
        <v>86</v>
      </c>
      <c r="E329" s="381" t="str">
        <f t="shared" si="12"/>
        <v>CANCELADA</v>
      </c>
      <c r="F329" s="382" t="s">
        <v>42</v>
      </c>
      <c r="G329" s="382" t="s">
        <v>69</v>
      </c>
      <c r="H329" s="382" t="s">
        <v>52</v>
      </c>
      <c r="I329" s="382" t="str">
        <f>IF(X329="ADMITIDO","ADMITIDO",IF(X329="CANCELADA","CANCELADA",IF(H329="","",IFERROR(_xlfn.XLOOKUP(H329,Listas!I:I,Listas!J:J),"OUTROS"))))</f>
        <v>CANCELADA</v>
      </c>
      <c r="J329" s="248" t="s">
        <v>53</v>
      </c>
      <c r="K329" s="73" t="s">
        <v>70</v>
      </c>
      <c r="L329" s="73" t="s">
        <v>747</v>
      </c>
      <c r="M329" s="73"/>
      <c r="N329" s="73" t="s">
        <v>63</v>
      </c>
      <c r="O329" s="73" t="s">
        <v>34</v>
      </c>
      <c r="P329" s="73" t="s">
        <v>57</v>
      </c>
      <c r="Q329" s="73" t="s">
        <v>561</v>
      </c>
      <c r="R329" s="74" t="s">
        <v>1014</v>
      </c>
      <c r="S329" s="228"/>
      <c r="T329" s="229"/>
      <c r="U329" s="73"/>
      <c r="V329" s="220"/>
      <c r="W329" s="203"/>
      <c r="X329" s="73" t="s">
        <v>52</v>
      </c>
      <c r="Y329" s="249"/>
      <c r="Z329" s="249"/>
      <c r="AA329" s="224"/>
      <c r="AB329" s="74"/>
      <c r="AC329" s="74"/>
      <c r="AD329" s="256">
        <v>0</v>
      </c>
    </row>
    <row r="330" spans="1:30" s="251" customFormat="1" ht="18" customHeight="1">
      <c r="A330" s="102">
        <v>30105</v>
      </c>
      <c r="B330" s="256">
        <v>1</v>
      </c>
      <c r="C330" s="201">
        <v>46141</v>
      </c>
      <c r="D330" s="105">
        <f t="shared" ca="1" si="13"/>
        <v>86</v>
      </c>
      <c r="E330" s="138" t="str">
        <f t="shared" si="12"/>
        <v>ADMITIDO</v>
      </c>
      <c r="F330" s="117" t="s">
        <v>28</v>
      </c>
      <c r="G330" s="117" t="s">
        <v>240</v>
      </c>
      <c r="H330" s="117" t="s">
        <v>40</v>
      </c>
      <c r="I330" s="117" t="str">
        <f>IF(X330="ADMITIDO","ADMITIDO",IF(X330="CANCELADA","CANCELADA",IF(H330="","",IFERROR(_xlfn.XLOOKUP(H330,Listas!I:I,Listas!J:J),"OUTROS"))))</f>
        <v>ADMITIDO</v>
      </c>
      <c r="J330" s="359" t="s">
        <v>268</v>
      </c>
      <c r="K330" s="73" t="s">
        <v>676</v>
      </c>
      <c r="L330" s="73" t="s">
        <v>424</v>
      </c>
      <c r="M330" s="73"/>
      <c r="N330" s="73" t="s">
        <v>243</v>
      </c>
      <c r="O330" s="73" t="s">
        <v>56</v>
      </c>
      <c r="P330" s="73" t="s">
        <v>35</v>
      </c>
      <c r="Q330" s="73" t="s">
        <v>176</v>
      </c>
      <c r="R330" s="74"/>
      <c r="S330" s="228"/>
      <c r="T330" s="229" t="s">
        <v>1423</v>
      </c>
      <c r="U330" s="73" t="s">
        <v>132</v>
      </c>
      <c r="V330" s="220">
        <v>46160</v>
      </c>
      <c r="W330" s="203" t="s">
        <v>1424</v>
      </c>
      <c r="X330" s="227" t="s">
        <v>40</v>
      </c>
      <c r="Y330" s="249">
        <v>46162</v>
      </c>
      <c r="Z330" s="249">
        <v>46163</v>
      </c>
      <c r="AA330" s="224">
        <v>914316</v>
      </c>
      <c r="AB330" s="74"/>
      <c r="AC330" s="74"/>
      <c r="AD330" s="256">
        <v>0</v>
      </c>
    </row>
    <row r="331" spans="1:30" s="251" customFormat="1" ht="18" customHeight="1">
      <c r="A331" s="364">
        <v>30118</v>
      </c>
      <c r="B331" s="365">
        <v>1</v>
      </c>
      <c r="C331" s="366">
        <v>46141</v>
      </c>
      <c r="D331" s="367">
        <f t="shared" ca="1" si="13"/>
        <v>86</v>
      </c>
      <c r="E331" s="368" t="str">
        <f t="shared" si="12"/>
        <v>ADMITIDO</v>
      </c>
      <c r="F331" s="146" t="s">
        <v>28</v>
      </c>
      <c r="G331" s="146" t="s">
        <v>29</v>
      </c>
      <c r="H331" s="146" t="s">
        <v>40</v>
      </c>
      <c r="I331" s="146" t="str">
        <f>IF(X331="ADMITIDO","ADMITIDO",IF(X331="CANCELADA","CANCELADA",IF(H331="","",IFERROR(_xlfn.XLOOKUP(H331,Listas!I:I,Listas!J:J),"OUTROS"))))</f>
        <v>ADMITIDO</v>
      </c>
      <c r="J331" s="408" t="s">
        <v>202</v>
      </c>
      <c r="K331" s="326" t="s">
        <v>31</v>
      </c>
      <c r="L331" s="326" t="s">
        <v>204</v>
      </c>
      <c r="M331" s="326"/>
      <c r="N331" s="326" t="s">
        <v>205</v>
      </c>
      <c r="O331" s="326" t="s">
        <v>34</v>
      </c>
      <c r="P331" s="326" t="s">
        <v>35</v>
      </c>
      <c r="Q331" s="326" t="s">
        <v>36</v>
      </c>
      <c r="R331" s="409"/>
      <c r="S331" s="410"/>
      <c r="T331" s="411" t="s">
        <v>1015</v>
      </c>
      <c r="U331" s="326" t="s">
        <v>38</v>
      </c>
      <c r="V331" s="335">
        <v>46147</v>
      </c>
      <c r="W331" s="336" t="s">
        <v>1016</v>
      </c>
      <c r="X331" s="146" t="s">
        <v>40</v>
      </c>
      <c r="Y331" s="354">
        <v>46153</v>
      </c>
      <c r="Z331" s="354">
        <v>46154</v>
      </c>
      <c r="AA331" s="355">
        <v>914254</v>
      </c>
      <c r="AB331" s="409"/>
      <c r="AC331" s="409"/>
      <c r="AD331" s="365">
        <v>0</v>
      </c>
    </row>
    <row r="332" spans="1:30" s="251" customFormat="1" ht="18" customHeight="1">
      <c r="A332" s="102">
        <v>30136</v>
      </c>
      <c r="B332" s="256">
        <v>1</v>
      </c>
      <c r="C332" s="201">
        <v>46141</v>
      </c>
      <c r="D332" s="105">
        <f t="shared" ca="1" si="13"/>
        <v>86</v>
      </c>
      <c r="E332" s="138" t="str">
        <f t="shared" si="12"/>
        <v>ADMITIDO</v>
      </c>
      <c r="F332" s="117" t="s">
        <v>42</v>
      </c>
      <c r="G332" s="117" t="s">
        <v>663</v>
      </c>
      <c r="H332" s="146" t="s">
        <v>40</v>
      </c>
      <c r="I332" s="117" t="str">
        <f>IF(X332="ADMITIDO","ADMITIDO",IF(X332="CANCELADA","CANCELADA",IF(H332="","",IFERROR(_xlfn.XLOOKUP(H332,Listas!I:I,Listas!J:J),"OUTROS"))))</f>
        <v>ADMITIDO</v>
      </c>
      <c r="J332" s="248" t="s">
        <v>53</v>
      </c>
      <c r="K332" s="73" t="s">
        <v>54</v>
      </c>
      <c r="L332" s="73" t="s">
        <v>1017</v>
      </c>
      <c r="M332" s="73"/>
      <c r="N332" s="73" t="s">
        <v>435</v>
      </c>
      <c r="O332" s="73" t="s">
        <v>34</v>
      </c>
      <c r="P332" s="73" t="s">
        <v>57</v>
      </c>
      <c r="Q332" s="73" t="s">
        <v>308</v>
      </c>
      <c r="R332" s="74"/>
      <c r="S332" s="228"/>
      <c r="T332" s="229" t="s">
        <v>1425</v>
      </c>
      <c r="U332" s="73" t="s">
        <v>38</v>
      </c>
      <c r="V332" s="220">
        <v>46198</v>
      </c>
      <c r="W332" s="236" t="s">
        <v>1426</v>
      </c>
      <c r="X332" s="227" t="s">
        <v>40</v>
      </c>
      <c r="Y332" s="249">
        <v>46202</v>
      </c>
      <c r="Z332" s="249">
        <v>46203</v>
      </c>
      <c r="AA332" s="224">
        <v>146167</v>
      </c>
      <c r="AB332" s="125" t="s">
        <v>1427</v>
      </c>
      <c r="AC332" s="74"/>
      <c r="AD332" s="256">
        <v>1</v>
      </c>
    </row>
    <row r="333" spans="1:30" s="251" customFormat="1" ht="18" customHeight="1">
      <c r="A333" s="388">
        <v>30129</v>
      </c>
      <c r="B333" s="384">
        <v>1</v>
      </c>
      <c r="C333" s="385">
        <v>46141</v>
      </c>
      <c r="D333" s="386">
        <f t="shared" ca="1" si="13"/>
        <v>86</v>
      </c>
      <c r="E333" s="170" t="str">
        <f t="shared" si="12"/>
        <v>ADMITIDO</v>
      </c>
      <c r="F333" s="139" t="s">
        <v>42</v>
      </c>
      <c r="G333" s="139" t="s">
        <v>663</v>
      </c>
      <c r="H333" s="139" t="s">
        <v>40</v>
      </c>
      <c r="I333" s="139" t="str">
        <f>IF(X333="ADMITIDO","ADMITIDO",IF(X333="CANCELADA","CANCELADA",IF(H333="","",IFERROR(_xlfn.XLOOKUP(H333,Listas!I:I,Listas!J:J),"OUTROS"))))</f>
        <v>ADMITIDO</v>
      </c>
      <c r="J333" s="421" t="s">
        <v>44</v>
      </c>
      <c r="K333" s="327" t="s">
        <v>54</v>
      </c>
      <c r="L333" s="327" t="s">
        <v>1017</v>
      </c>
      <c r="M333" s="327"/>
      <c r="N333" s="327" t="s">
        <v>435</v>
      </c>
      <c r="O333" s="327" t="s">
        <v>34</v>
      </c>
      <c r="P333" s="327" t="s">
        <v>57</v>
      </c>
      <c r="Q333" s="327" t="s">
        <v>308</v>
      </c>
      <c r="R333" s="422"/>
      <c r="S333" s="423"/>
      <c r="T333" s="424" t="s">
        <v>1428</v>
      </c>
      <c r="U333" s="327" t="s">
        <v>38</v>
      </c>
      <c r="V333" s="337">
        <v>46169</v>
      </c>
      <c r="W333" s="340" t="s">
        <v>1429</v>
      </c>
      <c r="X333" s="356" t="s">
        <v>40</v>
      </c>
      <c r="Y333" s="357">
        <v>46171</v>
      </c>
      <c r="Z333" s="357">
        <v>46172</v>
      </c>
      <c r="AA333" s="358">
        <v>146034</v>
      </c>
      <c r="AB333" s="422"/>
      <c r="AC333" s="422"/>
      <c r="AD333" s="384">
        <v>0</v>
      </c>
    </row>
    <row r="334" spans="1:30" s="251" customFormat="1" ht="18" customHeight="1">
      <c r="A334" s="102">
        <v>30089</v>
      </c>
      <c r="B334" s="256">
        <v>1</v>
      </c>
      <c r="C334" s="201">
        <v>46141</v>
      </c>
      <c r="D334" s="105">
        <f t="shared" ca="1" si="13"/>
        <v>86</v>
      </c>
      <c r="E334" s="138" t="str">
        <f t="shared" si="12"/>
        <v>ADMITIDO</v>
      </c>
      <c r="F334" s="117" t="s">
        <v>171</v>
      </c>
      <c r="G334" s="117" t="s">
        <v>29</v>
      </c>
      <c r="H334" s="117" t="s">
        <v>40</v>
      </c>
      <c r="I334" s="117" t="str">
        <f>IF(X334="ADMITIDO","ADMITIDO",IF(X334="CANCELADA","CANCELADA",IF(H334="","",IFERROR(_xlfn.XLOOKUP(H334,Listas!I:I,Listas!J:J),"OUTROS"))))</f>
        <v>ADMITIDO</v>
      </c>
      <c r="J334" s="359" t="s">
        <v>172</v>
      </c>
      <c r="K334" s="73" t="s">
        <v>203</v>
      </c>
      <c r="L334" s="73" t="s">
        <v>1018</v>
      </c>
      <c r="M334" s="73"/>
      <c r="N334" s="73" t="s">
        <v>205</v>
      </c>
      <c r="O334" s="73" t="s">
        <v>56</v>
      </c>
      <c r="P334" s="73" t="s">
        <v>35</v>
      </c>
      <c r="Q334" s="73" t="s">
        <v>176</v>
      </c>
      <c r="R334" s="74" t="s">
        <v>1019</v>
      </c>
      <c r="S334" s="228"/>
      <c r="T334" s="229" t="s">
        <v>1020</v>
      </c>
      <c r="U334" s="73" t="s">
        <v>38</v>
      </c>
      <c r="V334" s="220">
        <v>46153</v>
      </c>
      <c r="W334" s="271" t="s">
        <v>1021</v>
      </c>
      <c r="X334" s="119" t="s">
        <v>40</v>
      </c>
      <c r="Y334" s="249">
        <v>46155</v>
      </c>
      <c r="Z334" s="249">
        <v>46156</v>
      </c>
      <c r="AA334" s="224">
        <v>83282</v>
      </c>
      <c r="AB334" s="74"/>
      <c r="AC334" s="74"/>
      <c r="AD334" s="256">
        <v>0</v>
      </c>
    </row>
    <row r="335" spans="1:30" s="251" customFormat="1" ht="18" customHeight="1">
      <c r="A335" s="122">
        <v>30102</v>
      </c>
      <c r="B335" s="256">
        <v>1</v>
      </c>
      <c r="C335" s="201">
        <v>46141</v>
      </c>
      <c r="D335" s="105">
        <f t="shared" ca="1" si="13"/>
        <v>86</v>
      </c>
      <c r="E335" s="138" t="str">
        <f t="shared" si="12"/>
        <v>ADMITIDO</v>
      </c>
      <c r="F335" s="117" t="s">
        <v>28</v>
      </c>
      <c r="G335" s="117" t="s">
        <v>60</v>
      </c>
      <c r="H335" s="117" t="s">
        <v>40</v>
      </c>
      <c r="I335" s="117" t="str">
        <f>IF(X335="ADMITIDO","ADMITIDO",IF(X335="CANCELADA","CANCELADA",IF(H335="","",IFERROR(_xlfn.XLOOKUP(H335,Listas!I:I,Listas!J:J),"OUTROS"))))</f>
        <v>ADMITIDO</v>
      </c>
      <c r="J335" s="359" t="s">
        <v>268</v>
      </c>
      <c r="K335" s="73" t="s">
        <v>318</v>
      </c>
      <c r="L335" s="73" t="s">
        <v>237</v>
      </c>
      <c r="M335" s="73"/>
      <c r="N335" s="73" t="s">
        <v>63</v>
      </c>
      <c r="O335" s="73" t="s">
        <v>56</v>
      </c>
      <c r="P335" s="73" t="s">
        <v>35</v>
      </c>
      <c r="Q335" s="73" t="s">
        <v>176</v>
      </c>
      <c r="R335" s="74" t="s">
        <v>1022</v>
      </c>
      <c r="S335" s="228"/>
      <c r="T335" s="229"/>
      <c r="U335" s="73" t="s">
        <v>76</v>
      </c>
      <c r="V335" s="220">
        <v>46149</v>
      </c>
      <c r="W335" s="203" t="s">
        <v>1023</v>
      </c>
      <c r="X335" s="117" t="s">
        <v>40</v>
      </c>
      <c r="Y335" s="249">
        <v>46153</v>
      </c>
      <c r="Z335" s="249">
        <v>46154</v>
      </c>
      <c r="AA335" s="224">
        <v>914258</v>
      </c>
      <c r="AB335" s="74"/>
      <c r="AC335" s="74"/>
      <c r="AD335" s="256">
        <v>0</v>
      </c>
    </row>
    <row r="336" spans="1:30" s="251" customFormat="1" ht="18" customHeight="1">
      <c r="A336" s="102">
        <v>30126</v>
      </c>
      <c r="B336" s="256">
        <v>1</v>
      </c>
      <c r="C336" s="201">
        <v>46141</v>
      </c>
      <c r="D336" s="105">
        <f t="shared" ca="1" si="13"/>
        <v>86</v>
      </c>
      <c r="E336" s="138" t="str">
        <f t="shared" si="12"/>
        <v>ADMITIDO</v>
      </c>
      <c r="F336" s="117" t="s">
        <v>28</v>
      </c>
      <c r="G336" s="117" t="s">
        <v>60</v>
      </c>
      <c r="H336" s="117" t="s">
        <v>40</v>
      </c>
      <c r="I336" s="117" t="str">
        <f>IF(X336="ADMITIDO","ADMITIDO",IF(X336="CANCELADA","CANCELADA",IF(H336="","",IFERROR(_xlfn.XLOOKUP(H336,Listas!I:I,Listas!J:J),"OUTROS"))))</f>
        <v>ADMITIDO</v>
      </c>
      <c r="J336" s="359" t="s">
        <v>1024</v>
      </c>
      <c r="K336" s="73" t="s">
        <v>952</v>
      </c>
      <c r="L336" s="73" t="s">
        <v>600</v>
      </c>
      <c r="M336" s="73"/>
      <c r="N336" s="73" t="s">
        <v>63</v>
      </c>
      <c r="O336" s="73" t="s">
        <v>34</v>
      </c>
      <c r="P336" s="73" t="s">
        <v>35</v>
      </c>
      <c r="Q336" s="73" t="s">
        <v>565</v>
      </c>
      <c r="R336" s="74" t="s">
        <v>1025</v>
      </c>
      <c r="S336" s="228"/>
      <c r="T336" s="229"/>
      <c r="U336" s="73" t="s">
        <v>76</v>
      </c>
      <c r="V336" s="220">
        <v>46147</v>
      </c>
      <c r="W336" s="203" t="s">
        <v>1026</v>
      </c>
      <c r="X336" s="117" t="s">
        <v>40</v>
      </c>
      <c r="Y336" s="249">
        <v>46149</v>
      </c>
      <c r="Z336" s="249">
        <v>46150</v>
      </c>
      <c r="AA336" s="224">
        <v>914237</v>
      </c>
      <c r="AB336" s="74"/>
      <c r="AC336" s="74"/>
      <c r="AD336" s="256">
        <v>0</v>
      </c>
    </row>
    <row r="337" spans="1:30" s="251" customFormat="1" ht="18" customHeight="1">
      <c r="A337" s="102">
        <v>30110</v>
      </c>
      <c r="B337" s="256">
        <v>1</v>
      </c>
      <c r="C337" s="201">
        <v>46141</v>
      </c>
      <c r="D337" s="105">
        <f t="shared" ca="1" si="13"/>
        <v>86</v>
      </c>
      <c r="E337" s="232" t="str">
        <f t="shared" si="12"/>
        <v>ADMITIDO</v>
      </c>
      <c r="F337" s="117" t="s">
        <v>28</v>
      </c>
      <c r="G337" s="117" t="s">
        <v>552</v>
      </c>
      <c r="H337" s="117" t="s">
        <v>40</v>
      </c>
      <c r="I337" s="117" t="str">
        <f>IF(X337="ADMITIDO","ADMITIDO",IF(X337="CANCELADA","CANCELADA",IF(H337="","",IFERROR(_xlfn.XLOOKUP(H337,Listas!I:I,Listas!J:J),"OUTROS"))))</f>
        <v>ADMITIDO</v>
      </c>
      <c r="J337" s="359" t="s">
        <v>146</v>
      </c>
      <c r="K337" s="73" t="s">
        <v>553</v>
      </c>
      <c r="L337" s="73" t="s">
        <v>1028</v>
      </c>
      <c r="M337" s="73"/>
      <c r="N337" s="73" t="s">
        <v>1029</v>
      </c>
      <c r="O337" s="73" t="s">
        <v>34</v>
      </c>
      <c r="P337" s="73" t="s">
        <v>35</v>
      </c>
      <c r="Q337" s="73" t="s">
        <v>36</v>
      </c>
      <c r="R337" s="74"/>
      <c r="S337" s="228"/>
      <c r="T337" s="229"/>
      <c r="U337" s="73" t="s">
        <v>552</v>
      </c>
      <c r="V337" s="220">
        <v>46149</v>
      </c>
      <c r="W337" s="203" t="s">
        <v>1030</v>
      </c>
      <c r="X337" s="227" t="s">
        <v>40</v>
      </c>
      <c r="Y337" s="249">
        <v>46156</v>
      </c>
      <c r="Z337" s="249">
        <v>46157</v>
      </c>
      <c r="AA337" s="224">
        <v>914287</v>
      </c>
      <c r="AB337" s="74"/>
      <c r="AC337" s="74"/>
      <c r="AD337" s="256">
        <v>0</v>
      </c>
    </row>
    <row r="338" spans="1:30" s="251" customFormat="1" ht="18" customHeight="1">
      <c r="A338" s="102">
        <v>30096</v>
      </c>
      <c r="B338" s="256">
        <v>1</v>
      </c>
      <c r="C338" s="201">
        <v>46141</v>
      </c>
      <c r="D338" s="105">
        <f t="shared" ca="1" si="13"/>
        <v>86</v>
      </c>
      <c r="E338" s="232" t="str">
        <f t="shared" si="12"/>
        <v>ADMITIDO</v>
      </c>
      <c r="F338" s="117" t="s">
        <v>42</v>
      </c>
      <c r="G338" s="117" t="s">
        <v>43</v>
      </c>
      <c r="H338" s="117" t="s">
        <v>40</v>
      </c>
      <c r="I338" s="117" t="str">
        <f>IF(X338="ADMITIDO","ADMITIDO",IF(X338="CANCELADA","CANCELADA",IF(H338="","",IFERROR(_xlfn.XLOOKUP(H338,Listas!I:I,Listas!J:J),"OUTROS"))))</f>
        <v>ADMITIDO</v>
      </c>
      <c r="J338" s="359" t="s">
        <v>53</v>
      </c>
      <c r="K338" s="73" t="s">
        <v>189</v>
      </c>
      <c r="L338" s="73" t="s">
        <v>208</v>
      </c>
      <c r="M338" s="73"/>
      <c r="N338" s="73" t="s">
        <v>209</v>
      </c>
      <c r="O338" s="73" t="s">
        <v>34</v>
      </c>
      <c r="P338" s="73" t="s">
        <v>48</v>
      </c>
      <c r="Q338" s="73" t="s">
        <v>1032</v>
      </c>
      <c r="R338" s="74"/>
      <c r="S338" s="228" t="s">
        <v>1430</v>
      </c>
      <c r="T338" s="229">
        <v>15997739100</v>
      </c>
      <c r="U338" s="73" t="s">
        <v>67</v>
      </c>
      <c r="V338" s="220">
        <v>46183</v>
      </c>
      <c r="W338" s="203" t="s">
        <v>1431</v>
      </c>
      <c r="X338" s="227" t="s">
        <v>40</v>
      </c>
      <c r="Y338" s="249">
        <v>46195</v>
      </c>
      <c r="Z338" s="249">
        <v>46195</v>
      </c>
      <c r="AA338" s="224">
        <v>146116</v>
      </c>
      <c r="AB338" s="74"/>
      <c r="AC338" s="74"/>
      <c r="AD338" s="256">
        <v>0</v>
      </c>
    </row>
    <row r="339" spans="1:30" s="251" customFormat="1" ht="18" customHeight="1">
      <c r="A339" s="102">
        <v>30098</v>
      </c>
      <c r="B339" s="256">
        <v>1</v>
      </c>
      <c r="C339" s="201">
        <v>46141</v>
      </c>
      <c r="D339" s="105">
        <f t="shared" ca="1" si="13"/>
        <v>86</v>
      </c>
      <c r="E339" s="138" t="str">
        <f t="shared" si="12"/>
        <v>ADMITIDO</v>
      </c>
      <c r="F339" s="117" t="s">
        <v>28</v>
      </c>
      <c r="G339" s="117" t="s">
        <v>29</v>
      </c>
      <c r="H339" s="117" t="s">
        <v>40</v>
      </c>
      <c r="I339" s="117" t="str">
        <f>IF(X339="ADMITIDO","ADMITIDO",IF(X339="CANCELADA","CANCELADA",IF(H339="","",IFERROR(_xlfn.XLOOKUP(H339,Listas!I:I,Listas!J:J),"OUTROS"))))</f>
        <v>ADMITIDO</v>
      </c>
      <c r="J339" s="359" t="s">
        <v>609</v>
      </c>
      <c r="K339" s="73" t="s">
        <v>203</v>
      </c>
      <c r="L339" s="73" t="s">
        <v>92</v>
      </c>
      <c r="M339" s="73"/>
      <c r="N339" s="73" t="s">
        <v>93</v>
      </c>
      <c r="O339" s="73" t="s">
        <v>56</v>
      </c>
      <c r="P339" s="73" t="s">
        <v>35</v>
      </c>
      <c r="Q339" s="73" t="s">
        <v>176</v>
      </c>
      <c r="R339" s="74"/>
      <c r="S339" s="228"/>
      <c r="T339" s="229"/>
      <c r="U339" s="73" t="s">
        <v>38</v>
      </c>
      <c r="V339" s="220">
        <v>46142</v>
      </c>
      <c r="W339" s="203" t="s">
        <v>1033</v>
      </c>
      <c r="X339" s="266" t="s">
        <v>40</v>
      </c>
      <c r="Y339" s="249">
        <v>46148</v>
      </c>
      <c r="Z339" s="249">
        <v>46149</v>
      </c>
      <c r="AA339" s="224">
        <v>914226</v>
      </c>
      <c r="AB339" s="74"/>
      <c r="AC339" s="74"/>
      <c r="AD339" s="256">
        <v>0</v>
      </c>
    </row>
    <row r="340" spans="1:30" s="251" customFormat="1" ht="18" customHeight="1">
      <c r="A340" s="383">
        <v>30100</v>
      </c>
      <c r="B340" s="384">
        <v>1</v>
      </c>
      <c r="C340" s="385">
        <v>46141</v>
      </c>
      <c r="D340" s="386">
        <f t="shared" ca="1" si="13"/>
        <v>86</v>
      </c>
      <c r="E340" s="387" t="str">
        <f t="shared" si="12"/>
        <v>CANCELADA</v>
      </c>
      <c r="F340" s="139" t="s">
        <v>28</v>
      </c>
      <c r="G340" s="139" t="s">
        <v>60</v>
      </c>
      <c r="H340" s="139" t="s">
        <v>52</v>
      </c>
      <c r="I340" s="139" t="str">
        <f>IF(X340="ADMITIDO","ADMITIDO",IF(X340="CANCELADA","CANCELADA",IF(H340="","",IFERROR(_xlfn.XLOOKUP(H340,Listas!I:I,Listas!J:J),"OUTROS"))))</f>
        <v>CANCELADA</v>
      </c>
      <c r="J340" s="248" t="s">
        <v>268</v>
      </c>
      <c r="K340" s="73" t="s">
        <v>676</v>
      </c>
      <c r="L340" s="73" t="s">
        <v>855</v>
      </c>
      <c r="M340" s="73"/>
      <c r="N340" s="73" t="s">
        <v>63</v>
      </c>
      <c r="O340" s="73" t="s">
        <v>56</v>
      </c>
      <c r="P340" s="73" t="s">
        <v>35</v>
      </c>
      <c r="Q340" s="73" t="s">
        <v>176</v>
      </c>
      <c r="R340" s="74" t="s">
        <v>1432</v>
      </c>
      <c r="S340" s="228"/>
      <c r="T340" s="229"/>
      <c r="U340" s="73"/>
      <c r="V340" s="220"/>
      <c r="W340" s="203"/>
      <c r="X340" s="227" t="s">
        <v>52</v>
      </c>
      <c r="Y340" s="249"/>
      <c r="Z340" s="249"/>
      <c r="AA340" s="224"/>
      <c r="AB340" s="276" t="s">
        <v>1433</v>
      </c>
      <c r="AC340" s="74"/>
      <c r="AD340" s="256">
        <v>0</v>
      </c>
    </row>
    <row r="341" spans="1:30" s="251" customFormat="1" ht="18" customHeight="1">
      <c r="A341" s="102">
        <v>30090</v>
      </c>
      <c r="B341" s="256">
        <v>1</v>
      </c>
      <c r="C341" s="201">
        <v>46141</v>
      </c>
      <c r="D341" s="105">
        <f t="shared" ca="1" si="13"/>
        <v>86</v>
      </c>
      <c r="E341" s="138" t="str">
        <f t="shared" si="12"/>
        <v>CANCELADA</v>
      </c>
      <c r="F341" s="117" t="s">
        <v>42</v>
      </c>
      <c r="G341" s="117" t="s">
        <v>60</v>
      </c>
      <c r="H341" s="117" t="s">
        <v>52</v>
      </c>
      <c r="I341" s="117" t="str">
        <f>IF(X341="ADMITIDO","ADMITIDO",IF(X341="CANCELADA","CANCELADA",IF(H341="","",IFERROR(_xlfn.XLOOKUP(H341,Listas!I:I,Listas!J:J),"OUTROS"))))</f>
        <v>CANCELADA</v>
      </c>
      <c r="J341" s="248" t="s">
        <v>53</v>
      </c>
      <c r="K341" s="73" t="s">
        <v>61</v>
      </c>
      <c r="L341" s="73" t="s">
        <v>255</v>
      </c>
      <c r="M341" s="73"/>
      <c r="N341" s="73" t="s">
        <v>63</v>
      </c>
      <c r="O341" s="73" t="s">
        <v>34</v>
      </c>
      <c r="P341" s="73" t="s">
        <v>219</v>
      </c>
      <c r="Q341" s="73" t="s">
        <v>73</v>
      </c>
      <c r="R341" s="74"/>
      <c r="S341" s="228"/>
      <c r="T341" s="229"/>
      <c r="U341" s="73"/>
      <c r="V341" s="220"/>
      <c r="W341" s="203"/>
      <c r="X341" s="73" t="s">
        <v>52</v>
      </c>
      <c r="Y341" s="249"/>
      <c r="Z341" s="249"/>
      <c r="AA341" s="224"/>
      <c r="AB341" s="276" t="s">
        <v>1434</v>
      </c>
      <c r="AC341" s="74"/>
      <c r="AD341" s="256">
        <v>0</v>
      </c>
    </row>
    <row r="342" spans="1:30" s="251" customFormat="1" ht="18" customHeight="1">
      <c r="A342" s="364">
        <v>30092</v>
      </c>
      <c r="B342" s="365">
        <v>1</v>
      </c>
      <c r="C342" s="366">
        <v>46141</v>
      </c>
      <c r="D342" s="367">
        <f t="shared" ca="1" si="13"/>
        <v>86</v>
      </c>
      <c r="E342" s="368" t="str">
        <f t="shared" si="12"/>
        <v>CANCELADA</v>
      </c>
      <c r="F342" s="146" t="s">
        <v>42</v>
      </c>
      <c r="G342" s="146" t="s">
        <v>60</v>
      </c>
      <c r="H342" s="146" t="s">
        <v>52</v>
      </c>
      <c r="I342" s="146" t="str">
        <f>IF(X342="ADMITIDO","ADMITIDO",IF(X342="CANCELADA","CANCELADA",IF(H342="","",IFERROR(_xlfn.XLOOKUP(H342,Listas!I:I,Listas!J:J),"OUTROS"))))</f>
        <v>CANCELADA</v>
      </c>
      <c r="J342" s="248" t="s">
        <v>44</v>
      </c>
      <c r="K342" s="73" t="s">
        <v>61</v>
      </c>
      <c r="L342" s="73" t="s">
        <v>255</v>
      </c>
      <c r="M342" s="73"/>
      <c r="N342" s="73" t="s">
        <v>63</v>
      </c>
      <c r="O342" s="73" t="s">
        <v>34</v>
      </c>
      <c r="P342" s="73" t="s">
        <v>57</v>
      </c>
      <c r="Q342" s="73" t="s">
        <v>98</v>
      </c>
      <c r="R342" s="74"/>
      <c r="S342" s="228"/>
      <c r="T342" s="229"/>
      <c r="U342" s="73"/>
      <c r="V342" s="220"/>
      <c r="W342" s="203"/>
      <c r="X342" s="73" t="s">
        <v>52</v>
      </c>
      <c r="Y342" s="249"/>
      <c r="Z342" s="249"/>
      <c r="AA342" s="224"/>
      <c r="AB342" s="74"/>
      <c r="AC342" s="74"/>
      <c r="AD342" s="256">
        <v>0</v>
      </c>
    </row>
    <row r="343" spans="1:30" s="251" customFormat="1" ht="18" customHeight="1">
      <c r="A343" s="102">
        <v>30107</v>
      </c>
      <c r="B343" s="256">
        <v>1</v>
      </c>
      <c r="C343" s="201">
        <v>46141</v>
      </c>
      <c r="D343" s="105">
        <f t="shared" ca="1" si="13"/>
        <v>86</v>
      </c>
      <c r="E343" s="138" t="str">
        <f t="shared" si="12"/>
        <v>ADMITIDO</v>
      </c>
      <c r="F343" s="117" t="s">
        <v>28</v>
      </c>
      <c r="G343" s="117" t="s">
        <v>145</v>
      </c>
      <c r="H343" s="117" t="s">
        <v>40</v>
      </c>
      <c r="I343" s="117" t="str">
        <f>IF(X343="ADMITIDO","ADMITIDO",IF(X343="CANCELADA","CANCELADA",IF(H343="","",IFERROR(_xlfn.XLOOKUP(H343,Listas!I:I,Listas!J:J),"OUTROS"))))</f>
        <v>ADMITIDO</v>
      </c>
      <c r="J343" s="359" t="s">
        <v>683</v>
      </c>
      <c r="K343" s="73" t="s">
        <v>371</v>
      </c>
      <c r="L343" s="73" t="s">
        <v>1034</v>
      </c>
      <c r="M343" s="73"/>
      <c r="N343" s="73" t="s">
        <v>63</v>
      </c>
      <c r="O343" s="73" t="s">
        <v>34</v>
      </c>
      <c r="P343" s="73" t="s">
        <v>35</v>
      </c>
      <c r="Q343" s="73" t="s">
        <v>612</v>
      </c>
      <c r="R343" s="74" t="s">
        <v>1035</v>
      </c>
      <c r="S343" s="228" t="s">
        <v>107</v>
      </c>
      <c r="T343" s="229"/>
      <c r="U343" s="73" t="s">
        <v>132</v>
      </c>
      <c r="V343" s="220">
        <v>46149</v>
      </c>
      <c r="W343" s="118" t="s">
        <v>1036</v>
      </c>
      <c r="X343" s="117" t="s">
        <v>40</v>
      </c>
      <c r="Y343" s="249">
        <v>46154</v>
      </c>
      <c r="Z343" s="249">
        <v>46156</v>
      </c>
      <c r="AA343" s="224">
        <v>914260</v>
      </c>
      <c r="AB343" s="74"/>
      <c r="AC343" s="74"/>
      <c r="AD343" s="256">
        <v>0</v>
      </c>
    </row>
    <row r="344" spans="1:30" s="251" customFormat="1" ht="18" customHeight="1">
      <c r="A344" s="377">
        <v>30093</v>
      </c>
      <c r="B344" s="378">
        <v>1</v>
      </c>
      <c r="C344" s="379">
        <v>46141</v>
      </c>
      <c r="D344" s="380">
        <f t="shared" ca="1" si="13"/>
        <v>86</v>
      </c>
      <c r="E344" s="381" t="str">
        <f t="shared" si="12"/>
        <v>CANCELADA</v>
      </c>
      <c r="F344" s="382" t="s">
        <v>42</v>
      </c>
      <c r="G344" s="382" t="s">
        <v>29</v>
      </c>
      <c r="H344" s="382" t="s">
        <v>52</v>
      </c>
      <c r="I344" s="382" t="str">
        <f>IF(X344="ADMITIDO","ADMITIDO",IF(X344="CANCELADA","CANCELADA",IF(H344="","",IFERROR(_xlfn.XLOOKUP(H344,Listas!I:I,Listas!J:J),"OUTROS"))))</f>
        <v>CANCELADA</v>
      </c>
      <c r="J344" s="248" t="s">
        <v>163</v>
      </c>
      <c r="K344" s="73" t="s">
        <v>54</v>
      </c>
      <c r="L344" s="73" t="s">
        <v>1037</v>
      </c>
      <c r="M344" s="73"/>
      <c r="N344" s="73" t="s">
        <v>93</v>
      </c>
      <c r="O344" s="73" t="s">
        <v>34</v>
      </c>
      <c r="P344" s="73" t="s">
        <v>48</v>
      </c>
      <c r="Q344" s="73" t="s">
        <v>1038</v>
      </c>
      <c r="R344" s="74"/>
      <c r="S344" s="228"/>
      <c r="T344" s="229"/>
      <c r="U344" s="73"/>
      <c r="V344" s="220"/>
      <c r="W344" s="203"/>
      <c r="X344" s="73" t="s">
        <v>52</v>
      </c>
      <c r="Y344" s="249"/>
      <c r="Z344" s="249"/>
      <c r="AA344" s="224"/>
      <c r="AB344" s="74"/>
      <c r="AC344" s="74"/>
      <c r="AD344" s="256">
        <v>0</v>
      </c>
    </row>
    <row r="345" spans="1:30" s="251" customFormat="1" ht="18" customHeight="1">
      <c r="A345" s="122">
        <v>30091</v>
      </c>
      <c r="B345" s="256">
        <v>1</v>
      </c>
      <c r="C345" s="201">
        <v>46141</v>
      </c>
      <c r="D345" s="105">
        <f t="shared" ca="1" si="13"/>
        <v>86</v>
      </c>
      <c r="E345" s="138" t="str">
        <f t="shared" si="12"/>
        <v>ADMITIDO</v>
      </c>
      <c r="F345" s="117" t="s">
        <v>42</v>
      </c>
      <c r="G345" s="117" t="s">
        <v>60</v>
      </c>
      <c r="H345" s="117" t="s">
        <v>40</v>
      </c>
      <c r="I345" s="117" t="str">
        <f>IF(X345="ADMITIDO","ADMITIDO",IF(X345="CANCELADA","CANCELADA",IF(H345="","",IFERROR(_xlfn.XLOOKUP(H345,Listas!I:I,Listas!J:J),"OUTROS"))))</f>
        <v>ADMITIDO</v>
      </c>
      <c r="J345" s="359" t="s">
        <v>53</v>
      </c>
      <c r="K345" s="73" t="s">
        <v>61</v>
      </c>
      <c r="L345" s="73" t="s">
        <v>62</v>
      </c>
      <c r="M345" s="73"/>
      <c r="N345" s="73" t="s">
        <v>63</v>
      </c>
      <c r="O345" s="73" t="s">
        <v>34</v>
      </c>
      <c r="P345" s="73" t="s">
        <v>219</v>
      </c>
      <c r="Q345" s="73" t="s">
        <v>244</v>
      </c>
      <c r="R345" s="74"/>
      <c r="S345" s="228"/>
      <c r="T345" s="229"/>
      <c r="U345" s="73" t="s">
        <v>132</v>
      </c>
      <c r="V345" s="220">
        <v>46170</v>
      </c>
      <c r="W345" s="203" t="s">
        <v>1435</v>
      </c>
      <c r="X345" s="227" t="s">
        <v>40</v>
      </c>
      <c r="Y345" s="249">
        <v>46174</v>
      </c>
      <c r="Z345" s="249">
        <v>46175</v>
      </c>
      <c r="AA345" s="224">
        <v>146040</v>
      </c>
      <c r="AB345" s="74"/>
      <c r="AC345" s="74"/>
      <c r="AD345" s="256">
        <v>0</v>
      </c>
    </row>
    <row r="346" spans="1:30" s="251" customFormat="1" ht="18" customHeight="1">
      <c r="A346" s="102">
        <v>30119</v>
      </c>
      <c r="B346" s="256">
        <v>1</v>
      </c>
      <c r="C346" s="201">
        <v>46141</v>
      </c>
      <c r="D346" s="105">
        <f t="shared" ca="1" si="13"/>
        <v>86</v>
      </c>
      <c r="E346" s="138" t="str">
        <f t="shared" si="12"/>
        <v>ADMITIDO</v>
      </c>
      <c r="F346" s="117" t="s">
        <v>42</v>
      </c>
      <c r="G346" s="117" t="s">
        <v>69</v>
      </c>
      <c r="H346" s="117" t="s">
        <v>40</v>
      </c>
      <c r="I346" s="117" t="str">
        <f>IF(X346="ADMITIDO","ADMITIDO",IF(X346="CANCELADA","CANCELADA",IF(H346="","",IFERROR(_xlfn.XLOOKUP(H346,Listas!I:I,Listas!J:J),"OUTROS"))))</f>
        <v>ADMITIDO</v>
      </c>
      <c r="J346" s="359" t="s">
        <v>1039</v>
      </c>
      <c r="K346" s="73" t="s">
        <v>158</v>
      </c>
      <c r="L346" s="73" t="s">
        <v>1040</v>
      </c>
      <c r="M346" s="73"/>
      <c r="N346" s="73" t="s">
        <v>63</v>
      </c>
      <c r="O346" s="73" t="s">
        <v>34</v>
      </c>
      <c r="P346" s="73" t="s">
        <v>72</v>
      </c>
      <c r="Q346" s="73" t="s">
        <v>238</v>
      </c>
      <c r="R346" s="74"/>
      <c r="S346" s="228" t="s">
        <v>373</v>
      </c>
      <c r="T346" s="229"/>
      <c r="U346" s="73" t="s">
        <v>132</v>
      </c>
      <c r="V346" s="220">
        <v>46149</v>
      </c>
      <c r="W346" s="203" t="s">
        <v>1041</v>
      </c>
      <c r="X346" s="117" t="s">
        <v>40</v>
      </c>
      <c r="Y346" s="249">
        <v>46153</v>
      </c>
      <c r="Z346" s="249">
        <v>46154</v>
      </c>
      <c r="AA346" s="224">
        <v>914264</v>
      </c>
      <c r="AB346" s="74"/>
      <c r="AC346" s="74"/>
      <c r="AD346" s="256">
        <v>0</v>
      </c>
    </row>
    <row r="347" spans="1:30" s="251" customFormat="1" ht="18" customHeight="1">
      <c r="A347" s="102">
        <v>30108</v>
      </c>
      <c r="B347" s="256">
        <v>1</v>
      </c>
      <c r="C347" s="201">
        <v>46141</v>
      </c>
      <c r="D347" s="105">
        <f t="shared" ca="1" si="13"/>
        <v>86</v>
      </c>
      <c r="E347" s="138" t="str">
        <f t="shared" si="12"/>
        <v>ADMITIDO</v>
      </c>
      <c r="F347" s="117" t="s">
        <v>28</v>
      </c>
      <c r="G347" s="117" t="s">
        <v>145</v>
      </c>
      <c r="H347" s="117" t="s">
        <v>40</v>
      </c>
      <c r="I347" s="117" t="str">
        <f>IF(X347="ADMITIDO","ADMITIDO",IF(X347="CANCELADA","CANCELADA",IF(H347="","",IFERROR(_xlfn.XLOOKUP(H347,Listas!I:I,Listas!J:J),"OUTROS"))))</f>
        <v>ADMITIDO</v>
      </c>
      <c r="J347" s="359" t="s">
        <v>268</v>
      </c>
      <c r="K347" s="73" t="s">
        <v>371</v>
      </c>
      <c r="L347" s="73" t="s">
        <v>728</v>
      </c>
      <c r="M347" s="73"/>
      <c r="N347" s="73" t="s">
        <v>63</v>
      </c>
      <c r="O347" s="73" t="s">
        <v>34</v>
      </c>
      <c r="P347" s="73" t="s">
        <v>35</v>
      </c>
      <c r="Q347" s="73" t="s">
        <v>36</v>
      </c>
      <c r="R347" s="279" t="s">
        <v>1042</v>
      </c>
      <c r="S347" s="228" t="s">
        <v>107</v>
      </c>
      <c r="T347" s="229"/>
      <c r="U347" s="73" t="s">
        <v>132</v>
      </c>
      <c r="V347" s="220">
        <v>46150</v>
      </c>
      <c r="W347" s="118" t="s">
        <v>1043</v>
      </c>
      <c r="X347" s="117" t="s">
        <v>40</v>
      </c>
      <c r="Y347" s="249">
        <v>46155</v>
      </c>
      <c r="Z347" s="249">
        <v>46157</v>
      </c>
      <c r="AA347" s="224">
        <v>914274</v>
      </c>
      <c r="AB347" s="74"/>
      <c r="AC347" s="74"/>
      <c r="AD347" s="256">
        <v>0</v>
      </c>
    </row>
    <row r="348" spans="1:30" s="251" customFormat="1" ht="18" customHeight="1">
      <c r="A348" s="102">
        <v>30109</v>
      </c>
      <c r="B348" s="256">
        <v>1</v>
      </c>
      <c r="C348" s="201">
        <v>46141</v>
      </c>
      <c r="D348" s="105">
        <f t="shared" ca="1" si="13"/>
        <v>86</v>
      </c>
      <c r="E348" s="138" t="str">
        <f t="shared" si="12"/>
        <v>ADMITIDO</v>
      </c>
      <c r="F348" s="117" t="s">
        <v>171</v>
      </c>
      <c r="G348" s="117" t="s">
        <v>145</v>
      </c>
      <c r="H348" s="117" t="s">
        <v>40</v>
      </c>
      <c r="I348" s="117" t="str">
        <f>IF(X348="ADMITIDO","ADMITIDO",IF(X348="CANCELADA","CANCELADA",IF(H348="","",IFERROR(_xlfn.XLOOKUP(H348,Listas!I:I,Listas!J:J),"OUTROS"))))</f>
        <v>ADMITIDO</v>
      </c>
      <c r="J348" s="359" t="s">
        <v>172</v>
      </c>
      <c r="K348" s="73" t="s">
        <v>371</v>
      </c>
      <c r="L348" s="73" t="s">
        <v>728</v>
      </c>
      <c r="M348" s="73"/>
      <c r="N348" s="73" t="s">
        <v>63</v>
      </c>
      <c r="O348" s="73" t="s">
        <v>34</v>
      </c>
      <c r="P348" s="73" t="s">
        <v>35</v>
      </c>
      <c r="Q348" s="73" t="s">
        <v>36</v>
      </c>
      <c r="R348" s="74" t="s">
        <v>1044</v>
      </c>
      <c r="S348" s="228" t="s">
        <v>107</v>
      </c>
      <c r="T348" s="229"/>
      <c r="U348" s="73" t="s">
        <v>132</v>
      </c>
      <c r="V348" s="220">
        <v>46147</v>
      </c>
      <c r="W348" s="203" t="s">
        <v>1045</v>
      </c>
      <c r="X348" s="117" t="s">
        <v>40</v>
      </c>
      <c r="Y348" s="249">
        <v>46153</v>
      </c>
      <c r="Z348" s="249">
        <v>46156</v>
      </c>
      <c r="AA348" s="224">
        <v>83284</v>
      </c>
      <c r="AB348" s="267" t="s">
        <v>1046</v>
      </c>
      <c r="AC348" s="267"/>
      <c r="AD348" s="256">
        <v>0</v>
      </c>
    </row>
    <row r="349" spans="1:30" s="251" customFormat="1" ht="18" customHeight="1">
      <c r="A349" s="102">
        <v>30097</v>
      </c>
      <c r="B349" s="256">
        <v>1</v>
      </c>
      <c r="C349" s="201">
        <v>46141</v>
      </c>
      <c r="D349" s="105">
        <f t="shared" ca="1" si="13"/>
        <v>86</v>
      </c>
      <c r="E349" s="138" t="str">
        <f t="shared" si="12"/>
        <v>ADMITIDO</v>
      </c>
      <c r="F349" s="117" t="s">
        <v>28</v>
      </c>
      <c r="G349" s="117" t="s">
        <v>29</v>
      </c>
      <c r="H349" s="117" t="s">
        <v>40</v>
      </c>
      <c r="I349" s="117" t="str">
        <f>IF(X349="ADMITIDO","ADMITIDO",IF(X349="CANCELADA","CANCELADA",IF(H349="","",IFERROR(_xlfn.XLOOKUP(H349,Listas!I:I,Listas!J:J),"OUTROS"))))</f>
        <v>ADMITIDO</v>
      </c>
      <c r="J349" s="359" t="s">
        <v>146</v>
      </c>
      <c r="K349" s="73" t="s">
        <v>203</v>
      </c>
      <c r="L349" s="73" t="s">
        <v>147</v>
      </c>
      <c r="M349" s="73"/>
      <c r="N349" s="73" t="s">
        <v>148</v>
      </c>
      <c r="O349" s="73" t="s">
        <v>56</v>
      </c>
      <c r="P349" s="73" t="s">
        <v>35</v>
      </c>
      <c r="Q349" s="73" t="s">
        <v>176</v>
      </c>
      <c r="R349" s="74"/>
      <c r="S349" s="228"/>
      <c r="T349" s="125" t="s">
        <v>1047</v>
      </c>
      <c r="U349" s="73" t="s">
        <v>38</v>
      </c>
      <c r="V349" s="220">
        <v>46147</v>
      </c>
      <c r="W349" s="125" t="s">
        <v>1048</v>
      </c>
      <c r="X349" s="117" t="s">
        <v>40</v>
      </c>
      <c r="Y349" s="249">
        <v>46153</v>
      </c>
      <c r="Z349" s="249">
        <v>46154</v>
      </c>
      <c r="AA349" s="224">
        <v>914253</v>
      </c>
      <c r="AB349" s="74"/>
      <c r="AC349" s="74"/>
      <c r="AD349" s="256">
        <v>0</v>
      </c>
    </row>
    <row r="350" spans="1:30" s="251" customFormat="1" ht="18" customHeight="1">
      <c r="A350" s="122">
        <v>30146</v>
      </c>
      <c r="B350" s="256">
        <v>1</v>
      </c>
      <c r="C350" s="201">
        <v>46142</v>
      </c>
      <c r="D350" s="105">
        <f t="shared" ca="1" si="13"/>
        <v>85</v>
      </c>
      <c r="E350" s="138" t="str">
        <f t="shared" si="12"/>
        <v>ADMITIDO</v>
      </c>
      <c r="F350" s="117" t="s">
        <v>42</v>
      </c>
      <c r="G350" s="117" t="s">
        <v>102</v>
      </c>
      <c r="H350" s="117" t="s">
        <v>40</v>
      </c>
      <c r="I350" s="117" t="str">
        <f>IF(X350="ADMITIDO","ADMITIDO",IF(X350="CANCELADA","CANCELADA",IF(H350="","",IFERROR(_xlfn.XLOOKUP(H350,Listas!I:I,Listas!J:J),"OUTROS"))))</f>
        <v>ADMITIDO</v>
      </c>
      <c r="J350" s="360" t="s">
        <v>1049</v>
      </c>
      <c r="K350" s="73" t="s">
        <v>103</v>
      </c>
      <c r="L350" s="248" t="s">
        <v>104</v>
      </c>
      <c r="M350" s="248"/>
      <c r="N350" s="73" t="s">
        <v>33</v>
      </c>
      <c r="O350" s="73" t="s">
        <v>34</v>
      </c>
      <c r="P350" s="73" t="s">
        <v>57</v>
      </c>
      <c r="Q350" s="73" t="s">
        <v>1050</v>
      </c>
      <c r="R350" s="74"/>
      <c r="S350" s="228"/>
      <c r="T350" s="229" t="s">
        <v>1051</v>
      </c>
      <c r="U350" s="73" t="s">
        <v>67</v>
      </c>
      <c r="V350" s="220">
        <v>46146</v>
      </c>
      <c r="W350" s="203" t="s">
        <v>1052</v>
      </c>
      <c r="X350" s="119" t="s">
        <v>40</v>
      </c>
      <c r="Y350" s="249">
        <v>46149</v>
      </c>
      <c r="Z350" s="249">
        <v>46150</v>
      </c>
      <c r="AA350" s="224">
        <v>145930</v>
      </c>
      <c r="AB350" s="74"/>
      <c r="AC350" s="74"/>
      <c r="AD350" s="256">
        <v>0</v>
      </c>
    </row>
    <row r="351" spans="1:30" s="251" customFormat="1" ht="18" customHeight="1">
      <c r="A351" s="102">
        <v>30141</v>
      </c>
      <c r="B351" s="256">
        <v>1</v>
      </c>
      <c r="C351" s="201">
        <v>46142</v>
      </c>
      <c r="D351" s="105">
        <f t="shared" ca="1" si="13"/>
        <v>85</v>
      </c>
      <c r="E351" s="138" t="str">
        <f t="shared" si="12"/>
        <v>ADMITIDO</v>
      </c>
      <c r="F351" s="117" t="s">
        <v>42</v>
      </c>
      <c r="G351" s="117" t="s">
        <v>29</v>
      </c>
      <c r="H351" s="117" t="s">
        <v>40</v>
      </c>
      <c r="I351" s="117" t="str">
        <f>IF(X351="ADMITIDO","ADMITIDO",IF(X351="CANCELADA","CANCELADA",IF(H351="","",IFERROR(_xlfn.XLOOKUP(H351,Listas!I:I,Listas!J:J),"OUTROS"))))</f>
        <v>ADMITIDO</v>
      </c>
      <c r="J351" s="360" t="s">
        <v>53</v>
      </c>
      <c r="K351" s="73" t="s">
        <v>54</v>
      </c>
      <c r="L351" s="248" t="s">
        <v>164</v>
      </c>
      <c r="M351" s="248"/>
      <c r="N351" s="73" t="s">
        <v>88</v>
      </c>
      <c r="O351" s="73" t="s">
        <v>34</v>
      </c>
      <c r="P351" s="73" t="s">
        <v>57</v>
      </c>
      <c r="Q351" s="73" t="s">
        <v>231</v>
      </c>
      <c r="R351" s="74"/>
      <c r="S351" s="228"/>
      <c r="T351" s="125" t="s">
        <v>1053</v>
      </c>
      <c r="U351" s="73" t="s">
        <v>38</v>
      </c>
      <c r="V351" s="220">
        <v>46155</v>
      </c>
      <c r="W351" s="125" t="s">
        <v>1054</v>
      </c>
      <c r="X351" s="119" t="s">
        <v>40</v>
      </c>
      <c r="Y351" s="249">
        <v>46157</v>
      </c>
      <c r="Z351" s="249">
        <v>46158</v>
      </c>
      <c r="AA351" s="224">
        <v>145973</v>
      </c>
      <c r="AB351" s="74" t="s">
        <v>1055</v>
      </c>
      <c r="AC351" s="74"/>
      <c r="AD351" s="256">
        <v>0</v>
      </c>
    </row>
    <row r="352" spans="1:30" s="251" customFormat="1" ht="18" customHeight="1">
      <c r="A352" s="102">
        <v>30143</v>
      </c>
      <c r="B352" s="256">
        <v>1</v>
      </c>
      <c r="C352" s="201">
        <v>46142</v>
      </c>
      <c r="D352" s="105">
        <f t="shared" ca="1" si="13"/>
        <v>85</v>
      </c>
      <c r="E352" s="138" t="str">
        <f t="shared" si="12"/>
        <v>ADMITIDO</v>
      </c>
      <c r="F352" s="117" t="s">
        <v>42</v>
      </c>
      <c r="G352" s="117" t="s">
        <v>663</v>
      </c>
      <c r="H352" s="117" t="s">
        <v>40</v>
      </c>
      <c r="I352" s="117" t="str">
        <f>IF(X352="ADMITIDO","ADMITIDO",IF(X352="CANCELADA","CANCELADA",IF(H352="","",IFERROR(_xlfn.XLOOKUP(H352,Listas!I:I,Listas!J:J),"OUTROS"))))</f>
        <v>ADMITIDO</v>
      </c>
      <c r="J352" s="360" t="s">
        <v>53</v>
      </c>
      <c r="K352" s="73" t="s">
        <v>54</v>
      </c>
      <c r="L352" s="248" t="s">
        <v>164</v>
      </c>
      <c r="M352" s="248"/>
      <c r="N352" s="73" t="s">
        <v>88</v>
      </c>
      <c r="O352" s="73" t="s">
        <v>34</v>
      </c>
      <c r="P352" s="73" t="s">
        <v>57</v>
      </c>
      <c r="Q352" s="73" t="s">
        <v>94</v>
      </c>
      <c r="R352" s="74"/>
      <c r="S352" s="228"/>
      <c r="T352" s="553" t="s">
        <v>1056</v>
      </c>
      <c r="U352" s="73" t="s">
        <v>38</v>
      </c>
      <c r="V352" s="220">
        <v>46161</v>
      </c>
      <c r="W352" s="233" t="s">
        <v>1057</v>
      </c>
      <c r="X352" s="227" t="s">
        <v>40</v>
      </c>
      <c r="Y352" s="249">
        <v>46164</v>
      </c>
      <c r="Z352" s="249">
        <v>46165</v>
      </c>
      <c r="AA352" s="224">
        <v>145989</v>
      </c>
      <c r="AB352" s="74"/>
      <c r="AC352" s="74"/>
      <c r="AD352" s="256">
        <v>0</v>
      </c>
    </row>
    <row r="353" spans="1:30" s="251" customFormat="1" ht="18" customHeight="1">
      <c r="A353" s="377">
        <v>30142</v>
      </c>
      <c r="B353" s="378">
        <v>1</v>
      </c>
      <c r="C353" s="379">
        <v>46142</v>
      </c>
      <c r="D353" s="380">
        <f t="shared" ca="1" si="13"/>
        <v>85</v>
      </c>
      <c r="E353" s="381" t="str">
        <f t="shared" si="12"/>
        <v>CANCELADA</v>
      </c>
      <c r="F353" s="382" t="s">
        <v>42</v>
      </c>
      <c r="G353" s="382" t="s">
        <v>663</v>
      </c>
      <c r="H353" s="382" t="s">
        <v>52</v>
      </c>
      <c r="I353" s="382" t="str">
        <f>IF(X353="ADMITIDO","ADMITIDO",IF(X353="CANCELADA","CANCELADA",IF(H353="","",IFERROR(_xlfn.XLOOKUP(H353,Listas!I:I,Listas!J:J),"OUTROS"))))</f>
        <v>CANCELADA</v>
      </c>
      <c r="J353" s="326" t="s">
        <v>1058</v>
      </c>
      <c r="K353" s="326" t="s">
        <v>54</v>
      </c>
      <c r="L353" s="412" t="s">
        <v>164</v>
      </c>
      <c r="M353" s="412"/>
      <c r="N353" s="326" t="s">
        <v>88</v>
      </c>
      <c r="O353" s="326" t="s">
        <v>34</v>
      </c>
      <c r="P353" s="326" t="s">
        <v>57</v>
      </c>
      <c r="Q353" s="326" t="s">
        <v>231</v>
      </c>
      <c r="R353" s="409"/>
      <c r="S353" s="410"/>
      <c r="T353" s="554" t="s">
        <v>1059</v>
      </c>
      <c r="U353" s="73" t="s">
        <v>38</v>
      </c>
      <c r="V353" s="220">
        <v>46160</v>
      </c>
      <c r="W353" s="233"/>
      <c r="X353" s="227" t="s">
        <v>52</v>
      </c>
      <c r="Y353" s="249"/>
      <c r="Z353" s="354"/>
      <c r="AA353" s="355"/>
      <c r="AB353" s="409" t="s">
        <v>1436</v>
      </c>
      <c r="AC353" s="409" t="s">
        <v>1295</v>
      </c>
      <c r="AD353" s="365">
        <v>0</v>
      </c>
    </row>
    <row r="354" spans="1:30" s="251" customFormat="1" ht="18" customHeight="1">
      <c r="A354" s="102">
        <v>30135</v>
      </c>
      <c r="B354" s="256">
        <v>1</v>
      </c>
      <c r="C354" s="201">
        <v>46142</v>
      </c>
      <c r="D354" s="105">
        <f t="shared" ca="1" si="13"/>
        <v>85</v>
      </c>
      <c r="E354" s="138" t="str">
        <f t="shared" si="12"/>
        <v>ADMITIDO</v>
      </c>
      <c r="F354" s="117" t="s">
        <v>42</v>
      </c>
      <c r="G354" s="117" t="s">
        <v>663</v>
      </c>
      <c r="H354" s="117" t="s">
        <v>40</v>
      </c>
      <c r="I354" s="117" t="str">
        <f>IF(X354="ADMITIDO","ADMITIDO",IF(X354="CANCELADA","CANCELADA",IF(H354="","",IFERROR(_xlfn.XLOOKUP(H354,Listas!I:I,Listas!J:J),"OUTROS"))))</f>
        <v>ADMITIDO</v>
      </c>
      <c r="J354" s="73" t="s">
        <v>53</v>
      </c>
      <c r="K354" s="73" t="s">
        <v>54</v>
      </c>
      <c r="L354" s="248" t="s">
        <v>1017</v>
      </c>
      <c r="M354" s="248"/>
      <c r="N354" s="73" t="s">
        <v>435</v>
      </c>
      <c r="O354" s="73" t="s">
        <v>34</v>
      </c>
      <c r="P354" s="73" t="s">
        <v>57</v>
      </c>
      <c r="Q354" s="73" t="s">
        <v>1437</v>
      </c>
      <c r="R354" s="74"/>
      <c r="S354" s="228" t="s">
        <v>1438</v>
      </c>
      <c r="T354" s="553" t="s">
        <v>1439</v>
      </c>
      <c r="U354" s="73" t="s">
        <v>38</v>
      </c>
      <c r="V354" s="220" t="s">
        <v>1440</v>
      </c>
      <c r="W354" s="341" t="s">
        <v>1441</v>
      </c>
      <c r="X354" s="413" t="s">
        <v>40</v>
      </c>
      <c r="Y354" s="354">
        <v>46223</v>
      </c>
      <c r="Z354" s="354">
        <v>46224</v>
      </c>
      <c r="AA354" s="355">
        <v>146258</v>
      </c>
      <c r="AB354" s="74"/>
      <c r="AC354" s="74"/>
      <c r="AD354" s="256">
        <v>0</v>
      </c>
    </row>
    <row r="355" spans="1:30" s="251" customFormat="1" ht="18" customHeight="1">
      <c r="A355" s="122">
        <v>30134</v>
      </c>
      <c r="B355" s="256">
        <v>1</v>
      </c>
      <c r="C355" s="201">
        <v>46142</v>
      </c>
      <c r="D355" s="105">
        <f t="shared" ca="1" si="13"/>
        <v>85</v>
      </c>
      <c r="E355" s="138" t="str">
        <f ca="1">IF(X355="ADMITIDO","ADMITIDO",IF(X355="CANCELADA","CANCELADA",IF(H355="","",IF(H355="ADMITIDO","ADMITIDO",IF(H355="CANCELADA","CANCELADA",IF(OR(H355="ANALISE CANCELAMENTO",H355="ANÁLISE CANCELAMENTO"),"EM ANÁLISE",IF(D355="","",IF(D355&lt;=7,"NO PRAZO",IF(D355&lt;=14,"ATENÇÃO","CRÍTICO")))))))))</f>
        <v>CRÍTICO</v>
      </c>
      <c r="F355" s="117" t="s">
        <v>42</v>
      </c>
      <c r="G355" s="117" t="s">
        <v>663</v>
      </c>
      <c r="H355" s="117" t="s">
        <v>91</v>
      </c>
      <c r="I355" s="117" t="str">
        <f>IF(X355="ADMITIDO","ADMITIDO",IF(X355="CANCELADA","CANCELADA",IF(H355="","",IFERROR(_xlfn.XLOOKUP(H355,Listas!I:I,Listas!J:J),"OUTROS"))))</f>
        <v>TRIAGEM</v>
      </c>
      <c r="J355" s="73" t="s">
        <v>44</v>
      </c>
      <c r="K355" s="73" t="s">
        <v>54</v>
      </c>
      <c r="L355" s="248" t="s">
        <v>1017</v>
      </c>
      <c r="M355" s="248"/>
      <c r="N355" s="73" t="s">
        <v>435</v>
      </c>
      <c r="O355" s="73" t="s">
        <v>34</v>
      </c>
      <c r="P355" s="73" t="s">
        <v>57</v>
      </c>
      <c r="Q355" s="73" t="s">
        <v>1437</v>
      </c>
      <c r="R355" s="234" t="s">
        <v>1442</v>
      </c>
      <c r="S355" s="273"/>
      <c r="T355" s="274"/>
      <c r="U355" s="73"/>
      <c r="V355" s="216"/>
      <c r="X355" s="584"/>
      <c r="Y355" s="249"/>
      <c r="Z355" s="249"/>
      <c r="AA355" s="224"/>
      <c r="AB355" s="593" t="s">
        <v>1443</v>
      </c>
      <c r="AC355" s="74"/>
      <c r="AD355" s="256">
        <v>2</v>
      </c>
    </row>
    <row r="356" spans="1:30" s="251" customFormat="1" ht="18" customHeight="1">
      <c r="A356" s="388">
        <v>30140</v>
      </c>
      <c r="B356" s="384">
        <v>1</v>
      </c>
      <c r="C356" s="385">
        <v>46142</v>
      </c>
      <c r="D356" s="386">
        <f t="shared" ca="1" si="13"/>
        <v>85</v>
      </c>
      <c r="E356" s="170" t="str">
        <f t="shared" si="12"/>
        <v>ADMITIDO</v>
      </c>
      <c r="F356" s="139" t="s">
        <v>28</v>
      </c>
      <c r="G356" s="139" t="s">
        <v>145</v>
      </c>
      <c r="H356" s="139" t="s">
        <v>40</v>
      </c>
      <c r="I356" s="139" t="str">
        <f>IF(X356="ADMITIDO","ADMITIDO",IF(X356="CANCELADA","CANCELADA",IF(H356="","",IFERROR(_xlfn.XLOOKUP(H356,Listas!I:I,Listas!J:J),"OUTROS"))))</f>
        <v>ADMITIDO</v>
      </c>
      <c r="J356" s="425" t="s">
        <v>1024</v>
      </c>
      <c r="K356" s="327" t="s">
        <v>563</v>
      </c>
      <c r="L356" s="426" t="s">
        <v>1061</v>
      </c>
      <c r="M356" s="426"/>
      <c r="N356" s="327" t="s">
        <v>63</v>
      </c>
      <c r="O356" s="327" t="s">
        <v>34</v>
      </c>
      <c r="P356" s="327" t="s">
        <v>210</v>
      </c>
      <c r="Q356" s="327" t="s">
        <v>1062</v>
      </c>
      <c r="R356" s="422" t="s">
        <v>1063</v>
      </c>
      <c r="S356" s="423"/>
      <c r="T356" s="555"/>
      <c r="U356" s="73" t="s">
        <v>76</v>
      </c>
      <c r="V356" s="220" t="s">
        <v>1444</v>
      </c>
      <c r="W356"/>
      <c r="X356"/>
      <c r="Y356" s="357">
        <v>46168</v>
      </c>
      <c r="Z356" s="357">
        <v>46169</v>
      </c>
      <c r="AA356" s="358">
        <v>914352</v>
      </c>
      <c r="AB356" s="422" t="s">
        <v>1445</v>
      </c>
      <c r="AC356" s="422" t="s">
        <v>1393</v>
      </c>
      <c r="AD356" s="384">
        <v>2</v>
      </c>
    </row>
    <row r="357" spans="1:30" s="251" customFormat="1" ht="18" customHeight="1">
      <c r="A357" s="102">
        <v>30103</v>
      </c>
      <c r="B357" s="256">
        <v>1</v>
      </c>
      <c r="C357" s="201">
        <v>46142</v>
      </c>
      <c r="D357" s="105">
        <f t="shared" ca="1" si="13"/>
        <v>85</v>
      </c>
      <c r="E357" s="138" t="str">
        <f t="shared" si="12"/>
        <v>ADMITIDO</v>
      </c>
      <c r="F357" s="117" t="s">
        <v>28</v>
      </c>
      <c r="G357" s="117" t="s">
        <v>145</v>
      </c>
      <c r="H357" s="117" t="s">
        <v>40</v>
      </c>
      <c r="I357" s="117" t="str">
        <f>IF(X357="ADMITIDO","ADMITIDO",IF(X357="CANCELADA","CANCELADA",IF(H357="","",IFERROR(_xlfn.XLOOKUP(H357,Listas!I:I,Listas!J:J),"OUTROS"))))</f>
        <v>ADMITIDO</v>
      </c>
      <c r="J357" s="360" t="s">
        <v>616</v>
      </c>
      <c r="K357" s="73" t="s">
        <v>676</v>
      </c>
      <c r="L357" s="248" t="s">
        <v>1065</v>
      </c>
      <c r="M357" s="248"/>
      <c r="N357" s="73" t="s">
        <v>63</v>
      </c>
      <c r="O357" s="73" t="s">
        <v>56</v>
      </c>
      <c r="P357" s="73" t="s">
        <v>35</v>
      </c>
      <c r="Q357" s="73" t="s">
        <v>176</v>
      </c>
      <c r="R357" s="74" t="s">
        <v>1066</v>
      </c>
      <c r="S357" s="228"/>
      <c r="T357" s="553"/>
      <c r="U357" s="73" t="s">
        <v>132</v>
      </c>
      <c r="V357" s="220">
        <v>46147</v>
      </c>
      <c r="W357" s="203" t="s">
        <v>1067</v>
      </c>
      <c r="X357" s="117" t="s">
        <v>40</v>
      </c>
      <c r="Y357" s="249">
        <v>46149</v>
      </c>
      <c r="Z357" s="249">
        <v>46150</v>
      </c>
      <c r="AA357" s="224">
        <v>145929</v>
      </c>
      <c r="AB357" s="74"/>
      <c r="AC357" s="74"/>
      <c r="AD357" s="256">
        <v>0</v>
      </c>
    </row>
    <row r="358" spans="1:30" s="251" customFormat="1" ht="18" customHeight="1">
      <c r="A358" s="102">
        <v>30104</v>
      </c>
      <c r="B358" s="256">
        <v>1</v>
      </c>
      <c r="C358" s="201">
        <v>46142</v>
      </c>
      <c r="D358" s="105">
        <f t="shared" ca="1" si="13"/>
        <v>85</v>
      </c>
      <c r="E358" s="138" t="str">
        <f t="shared" si="12"/>
        <v>ADMITIDO</v>
      </c>
      <c r="F358" s="117" t="s">
        <v>28</v>
      </c>
      <c r="G358" s="117" t="s">
        <v>145</v>
      </c>
      <c r="H358" s="117" t="s">
        <v>40</v>
      </c>
      <c r="I358" s="117" t="str">
        <f>IF(X358="ADMITIDO","ADMITIDO",IF(X358="CANCELADA","CANCELADA",IF(H358="","",IFERROR(_xlfn.XLOOKUP(H358,Listas!I:I,Listas!J:J),"OUTROS"))))</f>
        <v>ADMITIDO</v>
      </c>
      <c r="J358" s="360" t="s">
        <v>268</v>
      </c>
      <c r="K358" s="73" t="s">
        <v>676</v>
      </c>
      <c r="L358" s="248" t="s">
        <v>1068</v>
      </c>
      <c r="M358" s="248"/>
      <c r="N358" s="73" t="s">
        <v>63</v>
      </c>
      <c r="O358" s="73" t="s">
        <v>56</v>
      </c>
      <c r="P358" s="73" t="s">
        <v>35</v>
      </c>
      <c r="Q358" s="73" t="s">
        <v>176</v>
      </c>
      <c r="R358" s="74"/>
      <c r="S358" s="228"/>
      <c r="T358" s="229"/>
      <c r="U358" s="73" t="s">
        <v>132</v>
      </c>
      <c r="V358" s="220">
        <v>46146</v>
      </c>
      <c r="W358" s="203" t="s">
        <v>1069</v>
      </c>
      <c r="X358" s="117" t="s">
        <v>40</v>
      </c>
      <c r="Y358" s="249">
        <v>46148</v>
      </c>
      <c r="Z358" s="249">
        <v>46150</v>
      </c>
      <c r="AA358" s="224">
        <v>914231</v>
      </c>
      <c r="AB358" s="74"/>
      <c r="AC358" s="74"/>
      <c r="AD358" s="256">
        <v>0</v>
      </c>
    </row>
    <row r="359" spans="1:30" s="251" customFormat="1" ht="18" customHeight="1">
      <c r="A359" s="102">
        <v>30161</v>
      </c>
      <c r="B359" s="256">
        <v>1</v>
      </c>
      <c r="C359" s="201">
        <v>46145</v>
      </c>
      <c r="D359" s="105">
        <f t="shared" ca="1" si="13"/>
        <v>82</v>
      </c>
      <c r="E359" s="138" t="str">
        <f t="shared" si="12"/>
        <v>ADMITIDO</v>
      </c>
      <c r="F359" s="117" t="s">
        <v>42</v>
      </c>
      <c r="G359" s="117" t="s">
        <v>60</v>
      </c>
      <c r="H359" s="117" t="s">
        <v>40</v>
      </c>
      <c r="I359" s="117" t="str">
        <f>IF(X359="ADMITIDO","ADMITIDO",IF(X359="CANCELADA","CANCELADA",IF(H359="","",IFERROR(_xlfn.XLOOKUP(H359,Listas!I:I,Listas!J:J),"OUTROS"))))</f>
        <v>ADMITIDO</v>
      </c>
      <c r="J359" s="360" t="s">
        <v>53</v>
      </c>
      <c r="K359" s="73" t="s">
        <v>61</v>
      </c>
      <c r="L359" s="248" t="s">
        <v>255</v>
      </c>
      <c r="M359" s="248"/>
      <c r="N359" s="73" t="s">
        <v>63</v>
      </c>
      <c r="O359" s="73" t="s">
        <v>34</v>
      </c>
      <c r="P359" s="73" t="s">
        <v>219</v>
      </c>
      <c r="Q359" s="73" t="s">
        <v>73</v>
      </c>
      <c r="R359" s="74" t="s">
        <v>1070</v>
      </c>
      <c r="S359" s="228"/>
      <c r="T359" s="229">
        <v>19995054133</v>
      </c>
      <c r="U359" s="73" t="s">
        <v>67</v>
      </c>
      <c r="V359" s="220">
        <v>46147</v>
      </c>
      <c r="W359" s="203" t="s">
        <v>1071</v>
      </c>
      <c r="X359" s="119" t="s">
        <v>40</v>
      </c>
      <c r="Y359" s="249">
        <v>46150</v>
      </c>
      <c r="Z359" s="249">
        <v>46153</v>
      </c>
      <c r="AA359" s="224">
        <v>914252</v>
      </c>
      <c r="AB359" s="74"/>
      <c r="AC359" s="74"/>
      <c r="AD359" s="256">
        <v>0</v>
      </c>
    </row>
    <row r="360" spans="1:30" s="251" customFormat="1" ht="18" customHeight="1">
      <c r="A360" s="102">
        <v>30162</v>
      </c>
      <c r="B360" s="256">
        <v>1</v>
      </c>
      <c r="C360" s="201">
        <v>46145</v>
      </c>
      <c r="D360" s="105">
        <f t="shared" ca="1" si="13"/>
        <v>82</v>
      </c>
      <c r="E360" s="138" t="str">
        <f t="shared" si="12"/>
        <v>ADMITIDO</v>
      </c>
      <c r="F360" s="117" t="s">
        <v>42</v>
      </c>
      <c r="G360" s="117" t="s">
        <v>60</v>
      </c>
      <c r="H360" s="117" t="s">
        <v>40</v>
      </c>
      <c r="I360" s="117" t="str">
        <f>IF(X360="ADMITIDO","ADMITIDO",IF(X360="CANCELADA","CANCELADA",IF(H360="","",IFERROR(_xlfn.XLOOKUP(H360,Listas!I:I,Listas!J:J),"OUTROS"))))</f>
        <v>ADMITIDO</v>
      </c>
      <c r="J360" s="360" t="s">
        <v>53</v>
      </c>
      <c r="K360" s="73" t="s">
        <v>61</v>
      </c>
      <c r="L360" s="248" t="s">
        <v>255</v>
      </c>
      <c r="M360" s="248"/>
      <c r="N360" s="73" t="s">
        <v>63</v>
      </c>
      <c r="O360" s="73" t="s">
        <v>34</v>
      </c>
      <c r="P360" s="73" t="s">
        <v>219</v>
      </c>
      <c r="Q360" s="73" t="s">
        <v>73</v>
      </c>
      <c r="R360" s="279" t="s">
        <v>1072</v>
      </c>
      <c r="S360" s="228"/>
      <c r="T360" s="229"/>
      <c r="U360" s="73" t="s">
        <v>67</v>
      </c>
      <c r="V360" s="220">
        <v>46147</v>
      </c>
      <c r="W360" s="203" t="s">
        <v>1073</v>
      </c>
      <c r="X360" s="119" t="s">
        <v>40</v>
      </c>
      <c r="Y360" s="249">
        <v>46150</v>
      </c>
      <c r="Z360" s="249">
        <v>46153</v>
      </c>
      <c r="AA360" s="224">
        <v>914251</v>
      </c>
      <c r="AB360" s="74"/>
      <c r="AC360" s="74"/>
      <c r="AD360" s="256">
        <v>0</v>
      </c>
    </row>
    <row r="361" spans="1:30" s="251" customFormat="1" ht="18" customHeight="1">
      <c r="A361" s="102">
        <v>30163</v>
      </c>
      <c r="B361" s="256">
        <v>1</v>
      </c>
      <c r="C361" s="201">
        <v>46145</v>
      </c>
      <c r="D361" s="105">
        <f t="shared" ca="1" si="13"/>
        <v>82</v>
      </c>
      <c r="E361" s="138" t="str">
        <f t="shared" si="12"/>
        <v>ADMITIDO</v>
      </c>
      <c r="F361" s="117" t="s">
        <v>42</v>
      </c>
      <c r="G361" s="117" t="s">
        <v>60</v>
      </c>
      <c r="H361" s="117" t="s">
        <v>40</v>
      </c>
      <c r="I361" s="117" t="str">
        <f>IF(X361="ADMITIDO","ADMITIDO",IF(X361="CANCELADA","CANCELADA",IF(H361="","",IFERROR(_xlfn.XLOOKUP(H361,Listas!I:I,Listas!J:J),"OUTROS"))))</f>
        <v>ADMITIDO</v>
      </c>
      <c r="J361" s="360" t="s">
        <v>53</v>
      </c>
      <c r="K361" s="73" t="s">
        <v>61</v>
      </c>
      <c r="L361" s="248" t="s">
        <v>255</v>
      </c>
      <c r="M361" s="248"/>
      <c r="N361" s="73" t="s">
        <v>63</v>
      </c>
      <c r="O361" s="73" t="s">
        <v>34</v>
      </c>
      <c r="P361" s="73" t="s">
        <v>219</v>
      </c>
      <c r="Q361" s="73" t="s">
        <v>633</v>
      </c>
      <c r="R361" s="74" t="s">
        <v>1074</v>
      </c>
      <c r="S361" s="228"/>
      <c r="T361" s="229" t="s">
        <v>1075</v>
      </c>
      <c r="U361" s="73" t="s">
        <v>109</v>
      </c>
      <c r="V361" s="220">
        <v>46156</v>
      </c>
      <c r="W361" s="203" t="s">
        <v>1076</v>
      </c>
      <c r="X361" s="227" t="s">
        <v>40</v>
      </c>
      <c r="Y361" s="249">
        <v>46161</v>
      </c>
      <c r="Z361" s="249">
        <v>46162</v>
      </c>
      <c r="AA361" s="224">
        <v>914302</v>
      </c>
      <c r="AB361" s="74"/>
      <c r="AC361" s="74"/>
      <c r="AD361" s="256">
        <v>0</v>
      </c>
    </row>
    <row r="362" spans="1:30" s="251" customFormat="1" ht="18" customHeight="1">
      <c r="A362" s="389">
        <v>30164</v>
      </c>
      <c r="B362" s="378">
        <v>1</v>
      </c>
      <c r="C362" s="379">
        <v>46145</v>
      </c>
      <c r="D362" s="380">
        <f t="shared" ca="1" si="13"/>
        <v>82</v>
      </c>
      <c r="E362" s="381" t="str">
        <f>IF(X362="ADMITIDO","ADMITIDO",IF(X362="CANCELADA","CANCELADA",IF(H362="","",IF(H362="ADMITIDO","ADMITIDO",IF(H362="CANCELADA","CANCELADA",IF(OR(H362="ANALISE CANCELAMENTO",H362="ANÁLISE CANCELAMENTO"),"EM ANÁLISE",IF(D362="","",IF(D362&lt;=7,"NO PRAZO",IF(D362&lt;=14,"ATENÇÃO","CRÍTICO")))))))))</f>
        <v>CANCELADA</v>
      </c>
      <c r="F362" s="382" t="s">
        <v>42</v>
      </c>
      <c r="G362" s="382" t="s">
        <v>60</v>
      </c>
      <c r="H362" s="382" t="s">
        <v>52</v>
      </c>
      <c r="I362" s="382" t="str">
        <f>IF(X362="ADMITIDO","ADMITIDO",IF(X362="CANCELADA","CANCELADA",IF(H362="","",IFERROR(_xlfn.XLOOKUP(H362,Listas!I:I,Listas!J:J),"OUTROS"))))</f>
        <v>CANCELADA</v>
      </c>
      <c r="J362" s="73" t="s">
        <v>53</v>
      </c>
      <c r="K362" s="73" t="s">
        <v>61</v>
      </c>
      <c r="L362" s="248" t="s">
        <v>255</v>
      </c>
      <c r="M362" s="248"/>
      <c r="N362" s="73" t="s">
        <v>63</v>
      </c>
      <c r="O362" s="73" t="s">
        <v>34</v>
      </c>
      <c r="P362" s="73" t="s">
        <v>219</v>
      </c>
      <c r="Q362" s="73" t="s">
        <v>73</v>
      </c>
      <c r="R362" s="74" t="s">
        <v>1446</v>
      </c>
      <c r="S362" s="228"/>
      <c r="T362" s="229" t="s">
        <v>1447</v>
      </c>
      <c r="U362" s="73"/>
      <c r="V362" s="220"/>
      <c r="W362" s="257"/>
      <c r="X362" s="119" t="s">
        <v>52</v>
      </c>
      <c r="Y362" s="249"/>
      <c r="Z362" s="249"/>
      <c r="AA362" s="224"/>
      <c r="AB362" s="74" t="s">
        <v>1448</v>
      </c>
      <c r="AC362" s="74"/>
      <c r="AD362" s="256">
        <v>1</v>
      </c>
    </row>
    <row r="363" spans="1:30" s="251" customFormat="1" ht="18" customHeight="1">
      <c r="A363" s="122">
        <v>30165</v>
      </c>
      <c r="B363" s="256">
        <v>1</v>
      </c>
      <c r="C363" s="201">
        <v>46145</v>
      </c>
      <c r="D363" s="105">
        <f t="shared" ca="1" si="13"/>
        <v>82</v>
      </c>
      <c r="E363" s="138" t="str">
        <f t="shared" si="12"/>
        <v>ADMITIDO</v>
      </c>
      <c r="F363" s="117" t="s">
        <v>42</v>
      </c>
      <c r="G363" s="117" t="s">
        <v>60</v>
      </c>
      <c r="H363" s="117" t="s">
        <v>40</v>
      </c>
      <c r="I363" s="117" t="str">
        <f>IF(X363="ADMITIDO","ADMITIDO",IF(X363="CANCELADA","CANCELADA",IF(H363="","",IFERROR(_xlfn.XLOOKUP(H363,Listas!I:I,Listas!J:J),"OUTROS"))))</f>
        <v>ADMITIDO</v>
      </c>
      <c r="J363" s="360" t="s">
        <v>44</v>
      </c>
      <c r="K363" s="73" t="s">
        <v>61</v>
      </c>
      <c r="L363" s="248" t="s">
        <v>255</v>
      </c>
      <c r="M363" s="248"/>
      <c r="N363" s="73" t="s">
        <v>63</v>
      </c>
      <c r="O363" s="73" t="s">
        <v>34</v>
      </c>
      <c r="P363" s="73" t="s">
        <v>57</v>
      </c>
      <c r="Q363" s="73" t="s">
        <v>98</v>
      </c>
      <c r="R363" s="74" t="s">
        <v>1081</v>
      </c>
      <c r="S363" s="228"/>
      <c r="T363" s="229"/>
      <c r="U363" s="73" t="s">
        <v>132</v>
      </c>
      <c r="V363" s="220">
        <v>46149</v>
      </c>
      <c r="W363" s="203" t="s">
        <v>1082</v>
      </c>
      <c r="X363" s="117" t="s">
        <v>40</v>
      </c>
      <c r="Y363" s="249">
        <v>46156</v>
      </c>
      <c r="Z363" s="249">
        <v>46157</v>
      </c>
      <c r="AA363" s="224">
        <v>914282</v>
      </c>
      <c r="AB363" s="74"/>
      <c r="AC363" s="74"/>
      <c r="AD363" s="256">
        <v>0</v>
      </c>
    </row>
    <row r="364" spans="1:30" s="251" customFormat="1" ht="18" customHeight="1">
      <c r="A364" s="102">
        <v>30166</v>
      </c>
      <c r="B364" s="256">
        <v>1</v>
      </c>
      <c r="C364" s="201">
        <v>46145</v>
      </c>
      <c r="D364" s="105">
        <f t="shared" ca="1" si="13"/>
        <v>82</v>
      </c>
      <c r="E364" s="138" t="str">
        <f t="shared" si="12"/>
        <v>ADMITIDO</v>
      </c>
      <c r="F364" s="117" t="s">
        <v>42</v>
      </c>
      <c r="G364" s="117" t="s">
        <v>60</v>
      </c>
      <c r="H364" s="117" t="s">
        <v>40</v>
      </c>
      <c r="I364" s="117" t="str">
        <f>IF(X364="ADMITIDO","ADMITIDO",IF(X364="CANCELADA","CANCELADA",IF(H364="","",IFERROR(_xlfn.XLOOKUP(H364,Listas!I:I,Listas!J:J),"OUTROS"))))</f>
        <v>ADMITIDO</v>
      </c>
      <c r="J364" s="360" t="s">
        <v>44</v>
      </c>
      <c r="K364" s="73" t="s">
        <v>61</v>
      </c>
      <c r="L364" s="248" t="s">
        <v>255</v>
      </c>
      <c r="M364" s="248"/>
      <c r="N364" s="73" t="s">
        <v>63</v>
      </c>
      <c r="O364" s="73" t="s">
        <v>34</v>
      </c>
      <c r="P364" s="73" t="s">
        <v>57</v>
      </c>
      <c r="Q364" s="73" t="s">
        <v>98</v>
      </c>
      <c r="R364" s="74" t="s">
        <v>1083</v>
      </c>
      <c r="S364" s="228"/>
      <c r="T364" s="229" t="s">
        <v>1084</v>
      </c>
      <c r="U364" s="73" t="s">
        <v>67</v>
      </c>
      <c r="V364" s="220">
        <v>46147</v>
      </c>
      <c r="W364" s="203" t="s">
        <v>1085</v>
      </c>
      <c r="X364" s="119" t="s">
        <v>40</v>
      </c>
      <c r="Y364" s="249">
        <v>46150</v>
      </c>
      <c r="Z364" s="249">
        <v>46153</v>
      </c>
      <c r="AA364" s="224">
        <v>914249</v>
      </c>
      <c r="AB364" s="74"/>
      <c r="AC364" s="74"/>
      <c r="AD364" s="256">
        <v>0</v>
      </c>
    </row>
    <row r="365" spans="1:30" s="251" customFormat="1" ht="18" customHeight="1">
      <c r="A365" s="102">
        <v>30152</v>
      </c>
      <c r="B365" s="256">
        <v>1</v>
      </c>
      <c r="C365" s="201">
        <v>46146</v>
      </c>
      <c r="D365" s="105">
        <f t="shared" ca="1" si="13"/>
        <v>81</v>
      </c>
      <c r="E365" s="138" t="str">
        <f t="shared" si="12"/>
        <v>ADMITIDO</v>
      </c>
      <c r="F365" s="117" t="s">
        <v>42</v>
      </c>
      <c r="G365" s="117" t="s">
        <v>43</v>
      </c>
      <c r="H365" s="117" t="s">
        <v>40</v>
      </c>
      <c r="I365" s="117" t="str">
        <f>IF(X365="ADMITIDO","ADMITIDO",IF(X365="CANCELADA","CANCELADA",IF(H365="","",IFERROR(_xlfn.XLOOKUP(H365,Listas!I:I,Listas!J:J),"OUTROS"))))</f>
        <v>ADMITIDO</v>
      </c>
      <c r="J365" s="359" t="s">
        <v>53</v>
      </c>
      <c r="K365" s="73" t="s">
        <v>45</v>
      </c>
      <c r="L365" s="73" t="s">
        <v>156</v>
      </c>
      <c r="M365" s="73"/>
      <c r="N365" s="73" t="s">
        <v>97</v>
      </c>
      <c r="O365" s="73" t="s">
        <v>34</v>
      </c>
      <c r="P365" s="73" t="s">
        <v>57</v>
      </c>
      <c r="Q365" s="73" t="s">
        <v>94</v>
      </c>
      <c r="R365" s="74"/>
      <c r="S365" s="228"/>
      <c r="T365" s="229">
        <v>11954878082</v>
      </c>
      <c r="U365" s="73" t="s">
        <v>50</v>
      </c>
      <c r="V365" s="220">
        <v>46148</v>
      </c>
      <c r="W365" s="118" t="s">
        <v>1086</v>
      </c>
      <c r="X365" s="119" t="s">
        <v>40</v>
      </c>
      <c r="Y365" s="249">
        <v>46155</v>
      </c>
      <c r="Z365" s="249">
        <v>46156</v>
      </c>
      <c r="AA365" s="224">
        <v>914265</v>
      </c>
      <c r="AB365" s="74"/>
      <c r="AC365" s="74"/>
      <c r="AD365" s="256">
        <v>0</v>
      </c>
    </row>
    <row r="366" spans="1:30" s="251" customFormat="1" ht="18" customHeight="1">
      <c r="A366" s="102">
        <v>30153</v>
      </c>
      <c r="B366" s="256">
        <v>1</v>
      </c>
      <c r="C366" s="201">
        <v>46146</v>
      </c>
      <c r="D366" s="105">
        <f t="shared" ca="1" si="13"/>
        <v>81</v>
      </c>
      <c r="E366" s="138" t="str">
        <f t="shared" si="12"/>
        <v>ADMITIDO</v>
      </c>
      <c r="F366" s="117" t="s">
        <v>42</v>
      </c>
      <c r="G366" s="117" t="s">
        <v>43</v>
      </c>
      <c r="H366" s="117" t="s">
        <v>40</v>
      </c>
      <c r="I366" s="117" t="str">
        <f>IF(X366="ADMITIDO","ADMITIDO",IF(X366="CANCELADA","CANCELADA",IF(H366="","",IFERROR(_xlfn.XLOOKUP(H366,Listas!I:I,Listas!J:J),"OUTROS"))))</f>
        <v>ADMITIDO</v>
      </c>
      <c r="J366" s="359" t="s">
        <v>53</v>
      </c>
      <c r="K366" s="73" t="s">
        <v>45</v>
      </c>
      <c r="L366" s="73" t="s">
        <v>156</v>
      </c>
      <c r="M366" s="73"/>
      <c r="N366" s="73" t="s">
        <v>97</v>
      </c>
      <c r="O366" s="73" t="s">
        <v>34</v>
      </c>
      <c r="P366" s="73" t="s">
        <v>57</v>
      </c>
      <c r="Q366" s="73" t="s">
        <v>94</v>
      </c>
      <c r="R366" s="74" t="s">
        <v>1087</v>
      </c>
      <c r="S366" s="228" t="s">
        <v>1449</v>
      </c>
      <c r="T366" s="252">
        <v>11977629847</v>
      </c>
      <c r="U366" s="73" t="s">
        <v>50</v>
      </c>
      <c r="V366" s="220">
        <v>46171</v>
      </c>
      <c r="W366" s="203" t="s">
        <v>1450</v>
      </c>
      <c r="X366" s="227" t="s">
        <v>40</v>
      </c>
      <c r="Y366" s="249">
        <v>46188</v>
      </c>
      <c r="Z366" s="249">
        <v>46189</v>
      </c>
      <c r="AA366" s="224">
        <v>914411</v>
      </c>
      <c r="AB366" s="74"/>
      <c r="AC366" s="74"/>
      <c r="AD366" s="256">
        <v>0</v>
      </c>
    </row>
    <row r="367" spans="1:30" s="251" customFormat="1" ht="18" customHeight="1">
      <c r="A367" s="102">
        <v>30173</v>
      </c>
      <c r="B367" s="256">
        <v>1</v>
      </c>
      <c r="C367" s="201">
        <v>46146</v>
      </c>
      <c r="D367" s="105">
        <f t="shared" ca="1" si="13"/>
        <v>81</v>
      </c>
      <c r="E367" s="138" t="str">
        <f t="shared" si="12"/>
        <v>ADMITIDO</v>
      </c>
      <c r="F367" s="117" t="s">
        <v>42</v>
      </c>
      <c r="G367" s="117" t="s">
        <v>29</v>
      </c>
      <c r="H367" s="117" t="s">
        <v>40</v>
      </c>
      <c r="I367" s="117" t="str">
        <f>IF(X367="ADMITIDO","ADMITIDO",IF(X367="CANCELADA","CANCELADA",IF(H367="","",IFERROR(_xlfn.XLOOKUP(H367,Listas!I:I,Listas!J:J),"OUTROS"))))</f>
        <v>ADMITIDO</v>
      </c>
      <c r="J367" s="359" t="s">
        <v>227</v>
      </c>
      <c r="K367" s="73" t="s">
        <v>228</v>
      </c>
      <c r="L367" s="73" t="s">
        <v>229</v>
      </c>
      <c r="M367" s="73"/>
      <c r="N367" s="73" t="s">
        <v>88</v>
      </c>
      <c r="O367" s="73" t="s">
        <v>34</v>
      </c>
      <c r="P367" s="73" t="s">
        <v>35</v>
      </c>
      <c r="Q367" s="73" t="s">
        <v>36</v>
      </c>
      <c r="R367" s="74"/>
      <c r="S367" s="228"/>
      <c r="T367" s="229" t="s">
        <v>1451</v>
      </c>
      <c r="U367" s="73" t="s">
        <v>38</v>
      </c>
      <c r="V367" s="220">
        <v>46161</v>
      </c>
      <c r="W367" s="118" t="s">
        <v>1452</v>
      </c>
      <c r="X367" s="119" t="s">
        <v>40</v>
      </c>
      <c r="Y367" s="249">
        <v>46164</v>
      </c>
      <c r="Z367" s="249">
        <v>46165</v>
      </c>
      <c r="AA367" s="224">
        <v>146004</v>
      </c>
      <c r="AB367" s="74" t="s">
        <v>1088</v>
      </c>
      <c r="AC367" s="74"/>
      <c r="AD367" s="256">
        <v>0</v>
      </c>
    </row>
    <row r="368" spans="1:30" s="251" customFormat="1" ht="18" customHeight="1">
      <c r="A368" s="122">
        <v>30174</v>
      </c>
      <c r="B368" s="256">
        <v>1</v>
      </c>
      <c r="C368" s="201">
        <v>46146</v>
      </c>
      <c r="D368" s="105">
        <f t="shared" ca="1" si="13"/>
        <v>81</v>
      </c>
      <c r="E368" s="138" t="str">
        <f t="shared" si="12"/>
        <v>ADMITIDO</v>
      </c>
      <c r="F368" s="117" t="s">
        <v>42</v>
      </c>
      <c r="G368" s="117" t="s">
        <v>29</v>
      </c>
      <c r="H368" s="117" t="s">
        <v>40</v>
      </c>
      <c r="I368" s="117" t="str">
        <f>IF(X368="ADMITIDO","ADMITIDO",IF(X368="CANCELADA","CANCELADA",IF(H368="","",IFERROR(_xlfn.XLOOKUP(H368,Listas!I:I,Listas!J:J),"OUTROS"))))</f>
        <v>ADMITIDO</v>
      </c>
      <c r="J368" s="359" t="s">
        <v>227</v>
      </c>
      <c r="K368" s="73" t="s">
        <v>228</v>
      </c>
      <c r="L368" s="73" t="s">
        <v>229</v>
      </c>
      <c r="M368" s="73"/>
      <c r="N368" s="73" t="s">
        <v>88</v>
      </c>
      <c r="O368" s="73" t="s">
        <v>34</v>
      </c>
      <c r="P368" s="73" t="s">
        <v>35</v>
      </c>
      <c r="Q368" s="73" t="s">
        <v>36</v>
      </c>
      <c r="R368" s="74"/>
      <c r="S368" s="228"/>
      <c r="T368" s="229"/>
      <c r="U368" s="73" t="s">
        <v>38</v>
      </c>
      <c r="V368" s="220">
        <v>46149</v>
      </c>
      <c r="W368" s="203" t="s">
        <v>1089</v>
      </c>
      <c r="X368" s="119" t="s">
        <v>40</v>
      </c>
      <c r="Y368" s="249">
        <v>46160</v>
      </c>
      <c r="Z368" s="249">
        <v>46161</v>
      </c>
      <c r="AA368" s="224">
        <v>145965</v>
      </c>
      <c r="AB368" s="74"/>
      <c r="AC368" s="74"/>
      <c r="AD368" s="256">
        <v>0</v>
      </c>
    </row>
    <row r="369" spans="1:30" s="251" customFormat="1" ht="18" customHeight="1">
      <c r="A369" s="102">
        <v>30170</v>
      </c>
      <c r="B369" s="256">
        <v>1</v>
      </c>
      <c r="C369" s="201">
        <v>46146</v>
      </c>
      <c r="D369" s="105">
        <f t="shared" ca="1" si="13"/>
        <v>81</v>
      </c>
      <c r="E369" s="138" t="str">
        <f t="shared" si="12"/>
        <v>ADMITIDO</v>
      </c>
      <c r="F369" s="117" t="s">
        <v>42</v>
      </c>
      <c r="G369" s="117" t="s">
        <v>29</v>
      </c>
      <c r="H369" s="117" t="s">
        <v>40</v>
      </c>
      <c r="I369" s="117" t="str">
        <f>IF(X369="ADMITIDO","ADMITIDO",IF(X369="CANCELADA","CANCELADA",IF(H369="","",IFERROR(_xlfn.XLOOKUP(H369,Listas!I:I,Listas!J:J),"OUTROS"))))</f>
        <v>ADMITIDO</v>
      </c>
      <c r="J369" s="359" t="s">
        <v>992</v>
      </c>
      <c r="K369" s="73" t="s">
        <v>228</v>
      </c>
      <c r="L369" s="73" t="s">
        <v>229</v>
      </c>
      <c r="M369" s="73"/>
      <c r="N369" s="73" t="s">
        <v>88</v>
      </c>
      <c r="O369" s="73" t="s">
        <v>56</v>
      </c>
      <c r="P369" s="73" t="s">
        <v>35</v>
      </c>
      <c r="Q369" s="73" t="s">
        <v>357</v>
      </c>
      <c r="R369" s="74"/>
      <c r="S369" s="228"/>
      <c r="T369" s="229" t="s">
        <v>1453</v>
      </c>
      <c r="U369" s="73" t="s">
        <v>38</v>
      </c>
      <c r="V369" s="220">
        <v>46163</v>
      </c>
      <c r="W369" s="118" t="s">
        <v>1454</v>
      </c>
      <c r="X369" s="119" t="s">
        <v>40</v>
      </c>
      <c r="Y369" s="249">
        <v>46169</v>
      </c>
      <c r="Z369" s="249">
        <v>46170</v>
      </c>
      <c r="AA369" s="224">
        <v>146014</v>
      </c>
      <c r="AB369" s="74" t="s">
        <v>1090</v>
      </c>
      <c r="AC369" s="74"/>
      <c r="AD369" s="256">
        <v>0</v>
      </c>
    </row>
    <row r="370" spans="1:30" s="251" customFormat="1" ht="18" customHeight="1">
      <c r="A370" s="102">
        <v>30167</v>
      </c>
      <c r="B370" s="256">
        <v>1</v>
      </c>
      <c r="C370" s="201">
        <v>46146</v>
      </c>
      <c r="D370" s="105">
        <f t="shared" ca="1" si="13"/>
        <v>81</v>
      </c>
      <c r="E370" s="138" t="str">
        <f t="shared" si="12"/>
        <v>ADMITIDO</v>
      </c>
      <c r="F370" s="117" t="s">
        <v>42</v>
      </c>
      <c r="G370" s="117" t="s">
        <v>240</v>
      </c>
      <c r="H370" s="117" t="s">
        <v>40</v>
      </c>
      <c r="I370" s="117" t="str">
        <f>IF(X370="ADMITIDO","ADMITIDO",IF(X370="CANCELADA","CANCELADA",IF(H370="","",IFERROR(_xlfn.XLOOKUP(H370,Listas!I:I,Listas!J:J),"OUTROS"))))</f>
        <v>ADMITIDO</v>
      </c>
      <c r="J370" s="359" t="s">
        <v>53</v>
      </c>
      <c r="K370" s="73" t="s">
        <v>241</v>
      </c>
      <c r="L370" s="73" t="s">
        <v>996</v>
      </c>
      <c r="M370" s="73"/>
      <c r="N370" s="73" t="s">
        <v>63</v>
      </c>
      <c r="O370" s="73" t="s">
        <v>34</v>
      </c>
      <c r="P370" s="73" t="s">
        <v>35</v>
      </c>
      <c r="Q370" s="73" t="s">
        <v>36</v>
      </c>
      <c r="R370" s="74"/>
      <c r="S370" s="228"/>
      <c r="T370" s="229"/>
      <c r="U370" s="73" t="s">
        <v>76</v>
      </c>
      <c r="V370" s="220">
        <v>46149</v>
      </c>
      <c r="W370" s="203" t="s">
        <v>1091</v>
      </c>
      <c r="X370" s="117" t="s">
        <v>40</v>
      </c>
      <c r="Y370" s="249">
        <v>46154</v>
      </c>
      <c r="Z370" s="249">
        <v>46155</v>
      </c>
      <c r="AA370" s="224">
        <v>145948</v>
      </c>
      <c r="AB370" s="74"/>
      <c r="AC370" s="74"/>
      <c r="AD370" s="256">
        <v>0</v>
      </c>
    </row>
    <row r="371" spans="1:30" s="251" customFormat="1" ht="18" customHeight="1">
      <c r="A371" s="102">
        <v>30178</v>
      </c>
      <c r="B371" s="256">
        <v>1</v>
      </c>
      <c r="C371" s="201">
        <v>46146</v>
      </c>
      <c r="D371" s="105">
        <f t="shared" ca="1" si="13"/>
        <v>81</v>
      </c>
      <c r="E371" s="138" t="str">
        <f t="shared" si="12"/>
        <v>ADMITIDO</v>
      </c>
      <c r="F371" s="117" t="s">
        <v>42</v>
      </c>
      <c r="G371" s="117" t="s">
        <v>240</v>
      </c>
      <c r="H371" s="117" t="s">
        <v>40</v>
      </c>
      <c r="I371" s="117" t="str">
        <f>IF(X371="ADMITIDO","ADMITIDO",IF(X371="CANCELADA","CANCELADA",IF(H371="","",IFERROR(_xlfn.XLOOKUP(H371,Listas!I:I,Listas!J:J),"OUTROS"))))</f>
        <v>ADMITIDO</v>
      </c>
      <c r="J371" s="359" t="s">
        <v>53</v>
      </c>
      <c r="K371" s="73" t="s">
        <v>241</v>
      </c>
      <c r="L371" s="73" t="s">
        <v>307</v>
      </c>
      <c r="M371" s="73"/>
      <c r="N371" s="73" t="s">
        <v>243</v>
      </c>
      <c r="O371" s="73" t="s">
        <v>34</v>
      </c>
      <c r="P371" s="73" t="s">
        <v>57</v>
      </c>
      <c r="Q371" s="73" t="s">
        <v>308</v>
      </c>
      <c r="R371" s="74"/>
      <c r="S371" s="228"/>
      <c r="T371" s="229" t="s">
        <v>1092</v>
      </c>
      <c r="U371" s="73"/>
      <c r="V371" s="220">
        <v>46147</v>
      </c>
      <c r="W371" s="203" t="s">
        <v>1093</v>
      </c>
      <c r="X371" s="117" t="s">
        <v>40</v>
      </c>
      <c r="Y371" s="249">
        <v>46149</v>
      </c>
      <c r="Z371" s="249">
        <v>46153</v>
      </c>
      <c r="AA371" s="224">
        <v>145926</v>
      </c>
      <c r="AB371" s="74"/>
      <c r="AC371" s="74"/>
      <c r="AD371" s="256">
        <v>0</v>
      </c>
    </row>
    <row r="372" spans="1:30" s="251" customFormat="1" ht="18" customHeight="1">
      <c r="A372" s="102">
        <v>30181</v>
      </c>
      <c r="B372" s="256">
        <v>1</v>
      </c>
      <c r="C372" s="201">
        <v>46146</v>
      </c>
      <c r="D372" s="105">
        <f t="shared" ca="1" si="13"/>
        <v>81</v>
      </c>
      <c r="E372" s="138" t="str">
        <f t="shared" si="12"/>
        <v>ADMITIDO</v>
      </c>
      <c r="F372" s="117" t="s">
        <v>42</v>
      </c>
      <c r="G372" s="117" t="s">
        <v>240</v>
      </c>
      <c r="H372" s="117" t="s">
        <v>40</v>
      </c>
      <c r="I372" s="117" t="str">
        <f>IF(X372="ADMITIDO","ADMITIDO",IF(X372="CANCELADA","CANCELADA",IF(H372="","",IFERROR(_xlfn.XLOOKUP(H372,Listas!I:I,Listas!J:J),"OUTROS"))))</f>
        <v>ADMITIDO</v>
      </c>
      <c r="J372" s="359" t="s">
        <v>53</v>
      </c>
      <c r="K372" s="73" t="s">
        <v>241</v>
      </c>
      <c r="L372" s="73" t="s">
        <v>1094</v>
      </c>
      <c r="M372" s="73"/>
      <c r="N372" s="73" t="s">
        <v>243</v>
      </c>
      <c r="O372" s="73" t="s">
        <v>34</v>
      </c>
      <c r="P372" s="73" t="s">
        <v>57</v>
      </c>
      <c r="Q372" s="73" t="s">
        <v>366</v>
      </c>
      <c r="R372" s="74"/>
      <c r="S372" s="228"/>
      <c r="T372" s="229" t="s">
        <v>1095</v>
      </c>
      <c r="U372" s="73"/>
      <c r="V372" s="220">
        <v>46148</v>
      </c>
      <c r="W372" s="203" t="s">
        <v>1096</v>
      </c>
      <c r="X372" s="119" t="s">
        <v>40</v>
      </c>
      <c r="Y372" s="249">
        <v>46149</v>
      </c>
      <c r="Z372" s="249">
        <v>46153</v>
      </c>
      <c r="AA372" s="224">
        <v>145932</v>
      </c>
      <c r="AB372" s="74"/>
      <c r="AC372" s="74"/>
      <c r="AD372" s="256">
        <v>0</v>
      </c>
    </row>
    <row r="373" spans="1:30" s="251" customFormat="1" ht="18" customHeight="1">
      <c r="A373" s="122">
        <v>30148</v>
      </c>
      <c r="B373" s="256">
        <v>1</v>
      </c>
      <c r="C373" s="201">
        <v>46178</v>
      </c>
      <c r="D373" s="105">
        <f t="shared" ca="1" si="13"/>
        <v>49</v>
      </c>
      <c r="E373" s="138" t="str">
        <f t="shared" si="12"/>
        <v>ADMITIDO</v>
      </c>
      <c r="F373" s="117" t="s">
        <v>28</v>
      </c>
      <c r="G373" s="117" t="s">
        <v>145</v>
      </c>
      <c r="H373" s="117" t="s">
        <v>40</v>
      </c>
      <c r="I373" s="117" t="str">
        <f>IF(X373="ADMITIDO","ADMITIDO",IF(X373="CANCELADA","CANCELADA",IF(H373="","",IFERROR(_xlfn.XLOOKUP(H373,Listas!I:I,Listas!J:J),"OUTROS"))))</f>
        <v>ADMITIDO</v>
      </c>
      <c r="J373" s="359" t="s">
        <v>616</v>
      </c>
      <c r="K373" s="73" t="s">
        <v>563</v>
      </c>
      <c r="L373" s="73" t="s">
        <v>1097</v>
      </c>
      <c r="M373" s="73"/>
      <c r="N373" s="73" t="s">
        <v>63</v>
      </c>
      <c r="O373" s="73" t="s">
        <v>34</v>
      </c>
      <c r="P373" s="73" t="s">
        <v>35</v>
      </c>
      <c r="Q373" s="73" t="s">
        <v>36</v>
      </c>
      <c r="R373" s="74"/>
      <c r="S373" s="410"/>
      <c r="T373" s="229"/>
      <c r="U373" s="73" t="s">
        <v>109</v>
      </c>
      <c r="V373" s="220">
        <v>46155</v>
      </c>
      <c r="W373" s="203" t="s">
        <v>1098</v>
      </c>
      <c r="X373" s="119" t="s">
        <v>40</v>
      </c>
      <c r="Y373" s="249">
        <v>46157</v>
      </c>
      <c r="Z373" s="249">
        <v>46161</v>
      </c>
      <c r="AA373" s="224">
        <v>914286</v>
      </c>
      <c r="AB373" s="74"/>
      <c r="AC373" s="74"/>
      <c r="AD373" s="256">
        <v>0</v>
      </c>
    </row>
    <row r="374" spans="1:30" s="251" customFormat="1" ht="18" customHeight="1">
      <c r="A374" s="102">
        <v>30168</v>
      </c>
      <c r="B374" s="256">
        <v>1</v>
      </c>
      <c r="C374" s="201">
        <v>46146</v>
      </c>
      <c r="D374" s="105">
        <f t="shared" ca="1" si="13"/>
        <v>81</v>
      </c>
      <c r="E374" s="138" t="str">
        <f t="shared" si="12"/>
        <v>ADMITIDO</v>
      </c>
      <c r="F374" s="117" t="s">
        <v>42</v>
      </c>
      <c r="G374" s="117" t="s">
        <v>240</v>
      </c>
      <c r="H374" s="117" t="s">
        <v>40</v>
      </c>
      <c r="I374" s="117" t="str">
        <f>IF(X374="ADMITIDO","ADMITIDO",IF(X374="CANCELADA","CANCELADA",IF(H374="","",IFERROR(_xlfn.XLOOKUP(H374,Listas!I:I,Listas!J:J),"OUTROS"))))</f>
        <v>ADMITIDO</v>
      </c>
      <c r="J374" s="359" t="s">
        <v>479</v>
      </c>
      <c r="K374" s="73" t="s">
        <v>241</v>
      </c>
      <c r="L374" s="73" t="s">
        <v>351</v>
      </c>
      <c r="M374" s="73"/>
      <c r="N374" s="73" t="s">
        <v>63</v>
      </c>
      <c r="O374" s="73" t="s">
        <v>34</v>
      </c>
      <c r="P374" s="73" t="s">
        <v>57</v>
      </c>
      <c r="Q374" s="73" t="s">
        <v>352</v>
      </c>
      <c r="R374" s="556"/>
      <c r="S374" s="228" t="s">
        <v>1099</v>
      </c>
      <c r="T374" s="560"/>
      <c r="U374" s="73" t="s">
        <v>109</v>
      </c>
      <c r="V374" s="335">
        <v>46171</v>
      </c>
      <c r="W374" s="336" t="s">
        <v>1455</v>
      </c>
      <c r="X374" s="413" t="s">
        <v>40</v>
      </c>
      <c r="Y374" s="249">
        <v>46182</v>
      </c>
      <c r="Z374" s="249">
        <v>46184</v>
      </c>
      <c r="AA374" s="224">
        <v>914416</v>
      </c>
      <c r="AB374" s="74" t="s">
        <v>1456</v>
      </c>
      <c r="AC374" s="74"/>
      <c r="AD374" s="256">
        <v>3</v>
      </c>
    </row>
    <row r="375" spans="1:30" s="251" customFormat="1" ht="18" customHeight="1">
      <c r="A375" s="102">
        <v>30169</v>
      </c>
      <c r="B375" s="256">
        <v>1</v>
      </c>
      <c r="C375" s="201">
        <v>46178</v>
      </c>
      <c r="D375" s="105">
        <f t="shared" ca="1" si="13"/>
        <v>49</v>
      </c>
      <c r="E375" s="138" t="str">
        <f t="shared" si="12"/>
        <v>ADMITIDO</v>
      </c>
      <c r="F375" s="117" t="s">
        <v>28</v>
      </c>
      <c r="G375" s="117" t="s">
        <v>145</v>
      </c>
      <c r="H375" s="117" t="s">
        <v>40</v>
      </c>
      <c r="I375" s="117" t="str">
        <f>IF(X375="ADMITIDO","ADMITIDO",IF(X375="CANCELADA","CANCELADA",IF(H375="","",IFERROR(_xlfn.XLOOKUP(H375,Listas!I:I,Listas!J:J),"OUTROS"))))</f>
        <v>ADMITIDO</v>
      </c>
      <c r="J375" s="359" t="s">
        <v>268</v>
      </c>
      <c r="K375" s="73" t="s">
        <v>173</v>
      </c>
      <c r="L375" s="73" t="s">
        <v>588</v>
      </c>
      <c r="M375" s="73"/>
      <c r="N375" s="73" t="s">
        <v>63</v>
      </c>
      <c r="O375" s="73" t="s">
        <v>56</v>
      </c>
      <c r="P375" s="73" t="s">
        <v>35</v>
      </c>
      <c r="Q375" s="73" t="s">
        <v>176</v>
      </c>
      <c r="R375" s="556"/>
      <c r="S375" s="228"/>
      <c r="T375" s="560"/>
      <c r="U375" s="311" t="s">
        <v>132</v>
      </c>
      <c r="V375" s="220">
        <v>46147</v>
      </c>
      <c r="W375" s="203" t="s">
        <v>1101</v>
      </c>
      <c r="X375" s="117" t="s">
        <v>40</v>
      </c>
      <c r="Y375" s="565">
        <v>46150</v>
      </c>
      <c r="Z375" s="249">
        <v>46153</v>
      </c>
      <c r="AA375" s="224">
        <v>914247</v>
      </c>
      <c r="AB375" s="74"/>
      <c r="AC375" s="74"/>
      <c r="AD375" s="256">
        <v>0</v>
      </c>
    </row>
    <row r="376" spans="1:30" s="251" customFormat="1" ht="18" customHeight="1">
      <c r="A376" s="102">
        <v>30150</v>
      </c>
      <c r="B376" s="256">
        <v>1</v>
      </c>
      <c r="C376" s="201">
        <v>46146</v>
      </c>
      <c r="D376" s="105">
        <f t="shared" ca="1" si="13"/>
        <v>81</v>
      </c>
      <c r="E376" s="138" t="str">
        <f t="shared" si="12"/>
        <v>ADMITIDO</v>
      </c>
      <c r="F376" s="117" t="s">
        <v>42</v>
      </c>
      <c r="G376" s="117" t="s">
        <v>663</v>
      </c>
      <c r="H376" s="117" t="s">
        <v>40</v>
      </c>
      <c r="I376" s="117" t="str">
        <f>IF(X376="ADMITIDO","ADMITIDO",IF(X376="CANCELADA","CANCELADA",IF(H376="","",IFERROR(_xlfn.XLOOKUP(H376,Listas!I:I,Listas!J:J),"OUTROS"))))</f>
        <v>ADMITIDO</v>
      </c>
      <c r="J376" s="359" t="s">
        <v>53</v>
      </c>
      <c r="K376" s="73" t="s">
        <v>54</v>
      </c>
      <c r="L376" s="73" t="s">
        <v>1017</v>
      </c>
      <c r="M376" s="73"/>
      <c r="N376" s="73" t="s">
        <v>435</v>
      </c>
      <c r="O376" s="73" t="s">
        <v>34</v>
      </c>
      <c r="P376" s="73" t="s">
        <v>48</v>
      </c>
      <c r="Q376" s="73" t="s">
        <v>1102</v>
      </c>
      <c r="R376" s="556"/>
      <c r="S376" s="228"/>
      <c r="T376" s="560" t="s">
        <v>1457</v>
      </c>
      <c r="U376" s="311" t="s">
        <v>38</v>
      </c>
      <c r="V376" s="220">
        <v>46059</v>
      </c>
      <c r="W376" s="236" t="s">
        <v>1458</v>
      </c>
      <c r="X376" s="227" t="s">
        <v>40</v>
      </c>
      <c r="Y376" s="565">
        <v>46177</v>
      </c>
      <c r="Z376" s="249">
        <v>46181</v>
      </c>
      <c r="AA376" s="224">
        <v>146051</v>
      </c>
      <c r="AB376" s="74"/>
      <c r="AC376" s="74"/>
      <c r="AD376" s="256">
        <v>0</v>
      </c>
    </row>
    <row r="377" spans="1:30" s="251" customFormat="1" ht="18" customHeight="1">
      <c r="A377" s="364">
        <v>30172</v>
      </c>
      <c r="B377" s="365">
        <v>1</v>
      </c>
      <c r="C377" s="366">
        <v>46146</v>
      </c>
      <c r="D377" s="367">
        <f t="shared" ca="1" si="13"/>
        <v>81</v>
      </c>
      <c r="E377" s="368" t="str">
        <f t="shared" si="12"/>
        <v>ADMITIDO</v>
      </c>
      <c r="F377" s="146" t="s">
        <v>171</v>
      </c>
      <c r="G377" s="146" t="s">
        <v>29</v>
      </c>
      <c r="H377" s="146" t="s">
        <v>40</v>
      </c>
      <c r="I377" s="146" t="str">
        <f>IF(X377="ADMITIDO","ADMITIDO",IF(X377="CANCELADA","CANCELADA",IF(H377="","",IFERROR(_xlfn.XLOOKUP(H377,Listas!I:I,Listas!J:J),"OUTROS"))))</f>
        <v>ADMITIDO</v>
      </c>
      <c r="J377" s="408" t="s">
        <v>172</v>
      </c>
      <c r="K377" s="326" t="s">
        <v>31</v>
      </c>
      <c r="L377" s="326" t="s">
        <v>1103</v>
      </c>
      <c r="M377" s="326"/>
      <c r="N377" s="326" t="s">
        <v>93</v>
      </c>
      <c r="O377" s="326" t="s">
        <v>34</v>
      </c>
      <c r="P377" s="326" t="s">
        <v>35</v>
      </c>
      <c r="Q377" s="326" t="s">
        <v>362</v>
      </c>
      <c r="R377" s="557" t="s">
        <v>1459</v>
      </c>
      <c r="S377" s="228"/>
      <c r="T377" s="561" t="s">
        <v>1460</v>
      </c>
      <c r="U377" s="563" t="s">
        <v>38</v>
      </c>
      <c r="V377" s="220">
        <v>46167</v>
      </c>
      <c r="W377" s="203" t="s">
        <v>1461</v>
      </c>
      <c r="X377" s="227" t="s">
        <v>40</v>
      </c>
      <c r="Y377" s="566">
        <v>46171</v>
      </c>
      <c r="Z377" s="354">
        <v>46172</v>
      </c>
      <c r="AA377" s="355">
        <v>83308</v>
      </c>
      <c r="AB377" s="409" t="s">
        <v>1462</v>
      </c>
      <c r="AC377" s="409"/>
      <c r="AD377" s="365">
        <v>1</v>
      </c>
    </row>
    <row r="378" spans="1:30" s="251" customFormat="1" ht="18" customHeight="1">
      <c r="A378" s="102">
        <v>30157</v>
      </c>
      <c r="B378" s="256">
        <v>1</v>
      </c>
      <c r="C378" s="201">
        <v>46146</v>
      </c>
      <c r="D378" s="105">
        <f t="shared" ca="1" si="13"/>
        <v>81</v>
      </c>
      <c r="E378" s="138" t="str">
        <f t="shared" ca="1" si="12"/>
        <v>CRÍTICO</v>
      </c>
      <c r="F378" s="117" t="s">
        <v>42</v>
      </c>
      <c r="G378" s="117" t="s">
        <v>43</v>
      </c>
      <c r="H378" s="117" t="s">
        <v>279</v>
      </c>
      <c r="I378" s="117" t="str">
        <f>IF(X378="ADMITIDO","ADMITIDO",IF(X378="CANCELADA","CANCELADA",IF(H378="","",IFERROR(_xlfn.XLOOKUP(H378,Listas!I:I,Listas!J:J),"OUTROS"))))</f>
        <v>DOCUMENTAÇÃO</v>
      </c>
      <c r="J378" s="248" t="s">
        <v>1463</v>
      </c>
      <c r="K378" s="73" t="s">
        <v>189</v>
      </c>
      <c r="L378" s="73" t="s">
        <v>924</v>
      </c>
      <c r="M378" s="73"/>
      <c r="N378" s="73" t="s">
        <v>925</v>
      </c>
      <c r="O378" s="73" t="s">
        <v>34</v>
      </c>
      <c r="P378" s="73" t="s">
        <v>35</v>
      </c>
      <c r="Q378" s="73" t="s">
        <v>36</v>
      </c>
      <c r="R378" t="s">
        <v>1464</v>
      </c>
      <c r="S378" s="73" t="s">
        <v>772</v>
      </c>
      <c r="T378" s="560">
        <v>11994637790</v>
      </c>
      <c r="U378" s="311" t="s">
        <v>67</v>
      </c>
      <c r="V378" s="220">
        <v>46219</v>
      </c>
      <c r="W378" s="1" t="s">
        <v>1465</v>
      </c>
      <c r="X378" s="227" t="s">
        <v>284</v>
      </c>
      <c r="Y378" s="565"/>
      <c r="Z378" s="249"/>
      <c r="AA378" s="224"/>
      <c r="AB378"/>
      <c r="AC378" s="74"/>
      <c r="AD378" s="256">
        <v>5</v>
      </c>
    </row>
    <row r="379" spans="1:30" s="251" customFormat="1" ht="18" customHeight="1">
      <c r="A379" s="377">
        <v>30155</v>
      </c>
      <c r="B379" s="378">
        <v>1</v>
      </c>
      <c r="C379" s="379">
        <v>46146</v>
      </c>
      <c r="D379" s="380">
        <f t="shared" ca="1" si="13"/>
        <v>81</v>
      </c>
      <c r="E379" s="381" t="str">
        <f t="shared" si="12"/>
        <v>CANCELADA</v>
      </c>
      <c r="F379" s="382" t="s">
        <v>42</v>
      </c>
      <c r="G379" s="382" t="s">
        <v>43</v>
      </c>
      <c r="H379" s="382" t="s">
        <v>52</v>
      </c>
      <c r="I379" s="382" t="str">
        <f>IF(X379="ADMITIDO","ADMITIDO",IF(X379="CANCELADA","CANCELADA",IF(H379="","",IFERROR(_xlfn.XLOOKUP(H379,Listas!I:I,Listas!J:J),"OUTROS"))))</f>
        <v>CANCELADA</v>
      </c>
      <c r="J379" s="426" t="s">
        <v>53</v>
      </c>
      <c r="K379" s="327" t="s">
        <v>189</v>
      </c>
      <c r="L379" s="327" t="s">
        <v>924</v>
      </c>
      <c r="M379" s="327"/>
      <c r="N379" s="327" t="s">
        <v>925</v>
      </c>
      <c r="O379" s="327" t="s">
        <v>56</v>
      </c>
      <c r="P379" s="327" t="s">
        <v>35</v>
      </c>
      <c r="Q379" s="327" t="s">
        <v>176</v>
      </c>
      <c r="R379" s="558"/>
      <c r="S379" s="228"/>
      <c r="T379" s="562"/>
      <c r="U379" s="564"/>
      <c r="V379" s="220"/>
      <c r="W379" s="203"/>
      <c r="X379" s="73" t="s">
        <v>52</v>
      </c>
      <c r="Y379" s="567"/>
      <c r="Z379" s="357"/>
      <c r="AA379" s="358"/>
      <c r="AB379" s="422"/>
      <c r="AC379" s="422"/>
      <c r="AD379" s="384">
        <v>0</v>
      </c>
    </row>
    <row r="380" spans="1:30" s="251" customFormat="1" ht="18" customHeight="1">
      <c r="A380" s="102">
        <v>30149</v>
      </c>
      <c r="B380" s="256">
        <v>1</v>
      </c>
      <c r="C380" s="201">
        <v>46146</v>
      </c>
      <c r="D380" s="105">
        <f t="shared" ca="1" si="13"/>
        <v>81</v>
      </c>
      <c r="E380" s="138" t="str">
        <f t="shared" si="12"/>
        <v>ADMITIDO</v>
      </c>
      <c r="F380" s="117" t="s">
        <v>42</v>
      </c>
      <c r="G380" s="117" t="s">
        <v>102</v>
      </c>
      <c r="H380" s="117" t="s">
        <v>40</v>
      </c>
      <c r="I380" s="117" t="str">
        <f>IF(X380="ADMITIDO","ADMITIDO",IF(X380="CANCELADA","CANCELADA",IF(H380="","",IFERROR(_xlfn.XLOOKUP(H380,Listas!I:I,Listas!J:J),"OUTROS"))))</f>
        <v>ADMITIDO</v>
      </c>
      <c r="J380" s="359" t="s">
        <v>53</v>
      </c>
      <c r="K380" s="73" t="s">
        <v>103</v>
      </c>
      <c r="L380" s="73" t="s">
        <v>273</v>
      </c>
      <c r="M380" s="73"/>
      <c r="N380" s="73" t="s">
        <v>274</v>
      </c>
      <c r="O380" s="73" t="s">
        <v>34</v>
      </c>
      <c r="P380" s="73" t="s">
        <v>48</v>
      </c>
      <c r="Q380" s="73" t="s">
        <v>275</v>
      </c>
      <c r="R380" s="559" t="s">
        <v>1466</v>
      </c>
      <c r="S380" s="250" t="s">
        <v>1467</v>
      </c>
      <c r="T380" s="560" t="s">
        <v>1468</v>
      </c>
      <c r="U380" s="311" t="s">
        <v>132</v>
      </c>
      <c r="V380" s="220">
        <v>46183</v>
      </c>
      <c r="W380" s="203" t="s">
        <v>1469</v>
      </c>
      <c r="X380" s="227" t="s">
        <v>40</v>
      </c>
      <c r="Y380" s="565">
        <v>46185</v>
      </c>
      <c r="Z380" s="249">
        <v>46190</v>
      </c>
      <c r="AA380" s="224">
        <v>146095</v>
      </c>
      <c r="AB380" s="74" t="s">
        <v>1470</v>
      </c>
      <c r="AC380" s="74"/>
      <c r="AD380" s="256">
        <v>3</v>
      </c>
    </row>
    <row r="381" spans="1:30" s="251" customFormat="1" ht="18" customHeight="1">
      <c r="A381" s="102">
        <v>30171</v>
      </c>
      <c r="B381" s="256">
        <v>1</v>
      </c>
      <c r="C381" s="201">
        <v>46146</v>
      </c>
      <c r="D381" s="105">
        <f t="shared" ca="1" si="13"/>
        <v>81</v>
      </c>
      <c r="E381" s="138" t="str">
        <f t="shared" si="12"/>
        <v>ADMITIDO</v>
      </c>
      <c r="F381" s="117" t="s">
        <v>171</v>
      </c>
      <c r="G381" s="117" t="s">
        <v>663</v>
      </c>
      <c r="H381" s="117" t="s">
        <v>40</v>
      </c>
      <c r="I381" s="117" t="str">
        <f>IF(X381="ADMITIDO","ADMITIDO",IF(X381="CANCELADA","CANCELADA",IF(H381="","",IFERROR(_xlfn.XLOOKUP(H381,Listas!I:I,Listas!J:J),"OUTROS"))))</f>
        <v>ADMITIDO</v>
      </c>
      <c r="J381" s="359" t="s">
        <v>172</v>
      </c>
      <c r="K381" s="73" t="s">
        <v>31</v>
      </c>
      <c r="L381" s="73" t="s">
        <v>1018</v>
      </c>
      <c r="M381" s="73"/>
      <c r="N381" s="73" t="s">
        <v>205</v>
      </c>
      <c r="O381" s="73" t="s">
        <v>34</v>
      </c>
      <c r="P381" s="73" t="s">
        <v>35</v>
      </c>
      <c r="Q381" s="73" t="s">
        <v>36</v>
      </c>
      <c r="R381" s="556" t="s">
        <v>1471</v>
      </c>
      <c r="S381" s="228"/>
      <c r="T381" s="560" t="s">
        <v>1472</v>
      </c>
      <c r="U381" s="311" t="s">
        <v>38</v>
      </c>
      <c r="V381" s="220">
        <v>46148</v>
      </c>
      <c r="W381" s="278" t="s">
        <v>1473</v>
      </c>
      <c r="X381" s="227" t="s">
        <v>40</v>
      </c>
      <c r="Y381" s="565">
        <v>46185</v>
      </c>
      <c r="Z381" s="249">
        <v>46186</v>
      </c>
      <c r="AA381" s="224">
        <v>83342</v>
      </c>
      <c r="AB381" s="74" t="s">
        <v>1107</v>
      </c>
      <c r="AC381" s="74"/>
      <c r="AD381" s="256">
        <v>0</v>
      </c>
    </row>
    <row r="382" spans="1:30" s="251" customFormat="1" ht="18" customHeight="1">
      <c r="A382" s="102">
        <v>30185</v>
      </c>
      <c r="B382" s="256">
        <v>1</v>
      </c>
      <c r="C382" s="201">
        <v>46146</v>
      </c>
      <c r="D382" s="105">
        <f t="shared" ca="1" si="13"/>
        <v>81</v>
      </c>
      <c r="E382" s="138" t="str">
        <f t="shared" si="12"/>
        <v>ADMITIDO</v>
      </c>
      <c r="F382" s="117" t="s">
        <v>171</v>
      </c>
      <c r="G382" s="117" t="s">
        <v>43</v>
      </c>
      <c r="H382" s="117" t="s">
        <v>40</v>
      </c>
      <c r="I382" s="117" t="str">
        <f>IF(X382="ADMITIDO","ADMITIDO",IF(X382="CANCELADA","CANCELADA",IF(H382="","",IFERROR(_xlfn.XLOOKUP(H382,Listas!I:I,Listas!J:J),"OUTROS"))))</f>
        <v>ADMITIDO</v>
      </c>
      <c r="J382" s="359" t="s">
        <v>172</v>
      </c>
      <c r="K382" s="73" t="s">
        <v>383</v>
      </c>
      <c r="L382" s="73" t="s">
        <v>1108</v>
      </c>
      <c r="M382" s="73"/>
      <c r="N382" s="73" t="s">
        <v>378</v>
      </c>
      <c r="O382" s="73" t="s">
        <v>56</v>
      </c>
      <c r="P382" s="73" t="s">
        <v>35</v>
      </c>
      <c r="Q382" s="73" t="s">
        <v>357</v>
      </c>
      <c r="R382" s="556" t="s">
        <v>1109</v>
      </c>
      <c r="S382" s="228" t="s">
        <v>1110</v>
      </c>
      <c r="T382" s="560">
        <v>11969699815</v>
      </c>
      <c r="U382" s="311" t="s">
        <v>67</v>
      </c>
      <c r="V382" s="220">
        <v>46156</v>
      </c>
      <c r="W382" s="203" t="s">
        <v>1111</v>
      </c>
      <c r="X382" s="227" t="s">
        <v>40</v>
      </c>
      <c r="Y382" s="565">
        <v>46164</v>
      </c>
      <c r="Z382" s="249">
        <v>46167</v>
      </c>
      <c r="AA382" s="224">
        <v>83303</v>
      </c>
      <c r="AB382" s="74"/>
      <c r="AC382" s="74"/>
      <c r="AD382" s="256">
        <v>0</v>
      </c>
    </row>
    <row r="383" spans="1:30" s="251" customFormat="1" ht="18" customHeight="1">
      <c r="A383" s="102">
        <v>30151</v>
      </c>
      <c r="B383" s="256">
        <v>1</v>
      </c>
      <c r="C383" s="201">
        <v>46146</v>
      </c>
      <c r="D383" s="105">
        <f t="shared" ca="1" si="13"/>
        <v>81</v>
      </c>
      <c r="E383" s="138" t="str">
        <f t="shared" si="12"/>
        <v>ADMITIDO</v>
      </c>
      <c r="F383" s="117" t="s">
        <v>171</v>
      </c>
      <c r="G383" s="117" t="s">
        <v>43</v>
      </c>
      <c r="H383" s="117" t="s">
        <v>40</v>
      </c>
      <c r="I383" s="117" t="str">
        <f>IF(X383="ADMITIDO","ADMITIDO",IF(X383="CANCELADA","CANCELADA",IF(H383="","",IFERROR(_xlfn.XLOOKUP(H383,Listas!I:I,Listas!J:J),"OUTROS"))))</f>
        <v>ADMITIDO</v>
      </c>
      <c r="J383" s="359" t="s">
        <v>172</v>
      </c>
      <c r="K383" s="73" t="s">
        <v>383</v>
      </c>
      <c r="L383" s="73" t="s">
        <v>1112</v>
      </c>
      <c r="M383" s="73"/>
      <c r="N383" s="73" t="s">
        <v>431</v>
      </c>
      <c r="O383" s="73" t="s">
        <v>56</v>
      </c>
      <c r="P383" s="73" t="s">
        <v>35</v>
      </c>
      <c r="Q383" s="73" t="s">
        <v>176</v>
      </c>
      <c r="R383" s="556" t="s">
        <v>1113</v>
      </c>
      <c r="S383" s="228"/>
      <c r="T383" s="560"/>
      <c r="U383" s="73" t="s">
        <v>50</v>
      </c>
      <c r="V383" s="337">
        <v>46150</v>
      </c>
      <c r="W383" s="310" t="s">
        <v>1114</v>
      </c>
      <c r="X383" s="308" t="s">
        <v>40</v>
      </c>
      <c r="Y383" s="249">
        <v>46155</v>
      </c>
      <c r="Z383" s="249">
        <v>46155</v>
      </c>
      <c r="AA383" s="224">
        <v>83287</v>
      </c>
      <c r="AB383" s="74"/>
      <c r="AC383" s="74"/>
      <c r="AD383" s="256">
        <v>0</v>
      </c>
    </row>
    <row r="384" spans="1:30" s="251" customFormat="1" ht="18" customHeight="1">
      <c r="A384" s="102">
        <v>30175</v>
      </c>
      <c r="B384" s="256">
        <v>1</v>
      </c>
      <c r="C384" s="201">
        <v>46146</v>
      </c>
      <c r="D384" s="105">
        <f t="shared" ca="1" si="13"/>
        <v>81</v>
      </c>
      <c r="E384" s="138" t="str">
        <f t="shared" si="12"/>
        <v>ADMITIDO</v>
      </c>
      <c r="F384" s="117" t="s">
        <v>171</v>
      </c>
      <c r="G384" s="117" t="s">
        <v>29</v>
      </c>
      <c r="H384" s="117" t="s">
        <v>40</v>
      </c>
      <c r="I384" s="117" t="str">
        <f>IF(X384="ADMITIDO","ADMITIDO",IF(X384="CANCELADA","CANCELADA",IF(H384="","",IFERROR(_xlfn.XLOOKUP(H384,Listas!I:I,Listas!J:J),"OUTROS"))))</f>
        <v>ADMITIDO</v>
      </c>
      <c r="J384" s="359" t="s">
        <v>514</v>
      </c>
      <c r="K384" s="73" t="s">
        <v>31</v>
      </c>
      <c r="L384" s="73" t="s">
        <v>1115</v>
      </c>
      <c r="M384" s="73"/>
      <c r="N384" s="73" t="s">
        <v>88</v>
      </c>
      <c r="O384" s="73" t="s">
        <v>34</v>
      </c>
      <c r="P384" s="73" t="s">
        <v>35</v>
      </c>
      <c r="Q384" s="73" t="s">
        <v>36</v>
      </c>
      <c r="R384" s="74"/>
      <c r="S384" s="423"/>
      <c r="T384" s="229" t="s">
        <v>1116</v>
      </c>
      <c r="U384" s="73" t="s">
        <v>38</v>
      </c>
      <c r="V384" s="220">
        <v>46156</v>
      </c>
      <c r="W384" s="203" t="s">
        <v>1117</v>
      </c>
      <c r="X384" s="227" t="s">
        <v>40</v>
      </c>
      <c r="Y384" s="249">
        <v>46162</v>
      </c>
      <c r="Z384" s="249">
        <v>46163</v>
      </c>
      <c r="AA384" s="224">
        <v>83302</v>
      </c>
      <c r="AB384" s="74"/>
      <c r="AC384" s="74"/>
      <c r="AD384" s="256">
        <v>0</v>
      </c>
    </row>
    <row r="385" spans="1:30" s="251" customFormat="1" ht="18" customHeight="1">
      <c r="A385" s="102">
        <v>30176</v>
      </c>
      <c r="B385" s="256">
        <v>1</v>
      </c>
      <c r="C385" s="201">
        <v>46179</v>
      </c>
      <c r="D385" s="105">
        <f t="shared" ca="1" si="13"/>
        <v>48</v>
      </c>
      <c r="E385" s="138" t="str">
        <f t="shared" si="12"/>
        <v>ADMITIDO</v>
      </c>
      <c r="F385" s="117" t="s">
        <v>28</v>
      </c>
      <c r="G385" s="117" t="s">
        <v>145</v>
      </c>
      <c r="H385" s="117" t="s">
        <v>40</v>
      </c>
      <c r="I385" s="117" t="str">
        <f>IF(X385="ADMITIDO","ADMITIDO",IF(X385="CANCELADA","CANCELADA",IF(H385="","",IFERROR(_xlfn.XLOOKUP(H385,Listas!I:I,Listas!J:J),"OUTROS"))))</f>
        <v>ADMITIDO</v>
      </c>
      <c r="J385" s="359" t="s">
        <v>268</v>
      </c>
      <c r="K385" s="73" t="s">
        <v>371</v>
      </c>
      <c r="L385" s="73" t="s">
        <v>62</v>
      </c>
      <c r="M385" s="73"/>
      <c r="N385" s="73" t="s">
        <v>63</v>
      </c>
      <c r="O385" s="73" t="s">
        <v>34</v>
      </c>
      <c r="P385" s="73" t="s">
        <v>48</v>
      </c>
      <c r="Q385" s="73" t="s">
        <v>1118</v>
      </c>
      <c r="R385" s="279" t="s">
        <v>566</v>
      </c>
      <c r="S385" s="228"/>
      <c r="T385" s="229"/>
      <c r="U385" s="73" t="s">
        <v>109</v>
      </c>
      <c r="V385" s="220">
        <v>46149</v>
      </c>
      <c r="W385" s="118" t="s">
        <v>1119</v>
      </c>
      <c r="X385" s="119" t="s">
        <v>40</v>
      </c>
      <c r="Y385" s="249">
        <v>46155</v>
      </c>
      <c r="Z385" s="249">
        <v>46156</v>
      </c>
      <c r="AA385" s="224">
        <v>914272</v>
      </c>
      <c r="AB385" s="74"/>
      <c r="AC385" s="74"/>
      <c r="AD385" s="256">
        <v>0</v>
      </c>
    </row>
    <row r="386" spans="1:30" s="251" customFormat="1" ht="18" customHeight="1">
      <c r="A386" s="102">
        <v>30177</v>
      </c>
      <c r="B386" s="256">
        <v>1</v>
      </c>
      <c r="C386" s="201">
        <v>46146</v>
      </c>
      <c r="D386" s="105">
        <f t="shared" ca="1" si="13"/>
        <v>81</v>
      </c>
      <c r="E386" s="138" t="str">
        <f t="shared" ref="E386:E448" si="14">IF(X386="ADMITIDO","ADMITIDO",IF(X386="CANCELADA","CANCELADA",IF(H386="","",IF(H386="ADMITIDO","ADMITIDO",IF(H386="CANCELADA","CANCELADA",IF(OR(H386="ANALISE CANCELAMENTO",H386="ANÁLISE CANCELAMENTO"),"EM ANÁLISE",IF(D386="","",IF(D386&lt;=7,"NO PRAZO",IF(D386&lt;=14,"ATENÇÃO","CRÍTICO")))))))))</f>
        <v>ADMITIDO</v>
      </c>
      <c r="F386" s="117" t="s">
        <v>42</v>
      </c>
      <c r="G386" s="117" t="s">
        <v>102</v>
      </c>
      <c r="H386" s="117" t="s">
        <v>40</v>
      </c>
      <c r="I386" s="117" t="str">
        <f>IF(X386="ADMITIDO","ADMITIDO",IF(X386="CANCELADA","CANCELADA",IF(H386="","",IFERROR(_xlfn.XLOOKUP(H386,Listas!I:I,Listas!J:J),"OUTROS"))))</f>
        <v>ADMITIDO</v>
      </c>
      <c r="J386" s="359" t="s">
        <v>53</v>
      </c>
      <c r="K386" s="73" t="s">
        <v>103</v>
      </c>
      <c r="L386" s="73" t="s">
        <v>194</v>
      </c>
      <c r="M386" s="73"/>
      <c r="N386" s="73" t="s">
        <v>63</v>
      </c>
      <c r="O386" s="73" t="s">
        <v>34</v>
      </c>
      <c r="P386" s="73" t="s">
        <v>219</v>
      </c>
      <c r="Q386" s="73" t="s">
        <v>238</v>
      </c>
      <c r="R386" s="74" t="s">
        <v>1474</v>
      </c>
      <c r="S386" s="228" t="s">
        <v>1475</v>
      </c>
      <c r="T386" s="229" t="s">
        <v>1476</v>
      </c>
      <c r="U386" s="73" t="s">
        <v>132</v>
      </c>
      <c r="V386" s="220">
        <v>46164</v>
      </c>
      <c r="W386" s="203" t="s">
        <v>1477</v>
      </c>
      <c r="X386" s="227" t="s">
        <v>40</v>
      </c>
      <c r="Y386" s="249">
        <v>46169</v>
      </c>
      <c r="Z386" s="249">
        <v>46170</v>
      </c>
      <c r="AA386" s="224">
        <v>914362</v>
      </c>
      <c r="AB386" s="203" t="s">
        <v>1121</v>
      </c>
      <c r="AC386" s="203"/>
      <c r="AD386" s="256">
        <v>0</v>
      </c>
    </row>
    <row r="387" spans="1:30" s="251" customFormat="1" ht="18" customHeight="1">
      <c r="A387" s="102">
        <v>30206</v>
      </c>
      <c r="B387" s="256">
        <v>1</v>
      </c>
      <c r="C387" s="201">
        <v>46147</v>
      </c>
      <c r="D387" s="105">
        <f t="shared" ca="1" si="13"/>
        <v>80</v>
      </c>
      <c r="E387" s="138" t="str">
        <f t="shared" si="14"/>
        <v>ADMITIDO</v>
      </c>
      <c r="F387" s="117" t="s">
        <v>42</v>
      </c>
      <c r="G387" s="147" t="s">
        <v>240</v>
      </c>
      <c r="H387" s="117" t="s">
        <v>40</v>
      </c>
      <c r="I387" s="117" t="str">
        <f>IF(X387="ADMITIDO","ADMITIDO",IF(X387="CANCELADA","CANCELADA",IF(H387="","",IFERROR(_xlfn.XLOOKUP(H387,Listas!I:I,Listas!J:J),"OUTROS"))))</f>
        <v>ADMITIDO</v>
      </c>
      <c r="J387" s="359" t="s">
        <v>53</v>
      </c>
      <c r="K387" s="73" t="s">
        <v>241</v>
      </c>
      <c r="L387" s="73" t="s">
        <v>407</v>
      </c>
      <c r="M387" s="73"/>
      <c r="N387" s="73" t="s">
        <v>243</v>
      </c>
      <c r="O387" s="73" t="s">
        <v>34</v>
      </c>
      <c r="P387" s="73" t="s">
        <v>48</v>
      </c>
      <c r="Q387" s="73" t="s">
        <v>49</v>
      </c>
      <c r="R387" s="74"/>
      <c r="S387" s="228" t="s">
        <v>65</v>
      </c>
      <c r="T387" s="229" t="s">
        <v>1478</v>
      </c>
      <c r="U387" s="73" t="s">
        <v>132</v>
      </c>
      <c r="V387" s="220">
        <v>46160</v>
      </c>
      <c r="W387" s="118" t="s">
        <v>1479</v>
      </c>
      <c r="X387" s="119" t="s">
        <v>40</v>
      </c>
      <c r="Y387" s="249">
        <v>46163</v>
      </c>
      <c r="Z387" s="249">
        <v>46167</v>
      </c>
      <c r="AA387" s="224">
        <v>145994</v>
      </c>
      <c r="AB387" s="74" t="s">
        <v>1122</v>
      </c>
      <c r="AC387" s="74"/>
      <c r="AD387" s="256">
        <v>1</v>
      </c>
    </row>
    <row r="388" spans="1:30" s="251" customFormat="1" ht="18" customHeight="1">
      <c r="A388" s="377">
        <v>30197</v>
      </c>
      <c r="B388" s="378">
        <v>1</v>
      </c>
      <c r="C388" s="379">
        <v>46190</v>
      </c>
      <c r="D388" s="380">
        <f t="shared" ca="1" si="13"/>
        <v>37</v>
      </c>
      <c r="E388" s="381" t="str">
        <f t="shared" si="14"/>
        <v>CANCELADA</v>
      </c>
      <c r="F388" s="382" t="s">
        <v>28</v>
      </c>
      <c r="G388" s="390" t="s">
        <v>145</v>
      </c>
      <c r="H388" s="382" t="s">
        <v>52</v>
      </c>
      <c r="I388" s="382" t="str">
        <f>IF(X388="ADMITIDO","ADMITIDO",IF(X388="CANCELADA","CANCELADA",IF(H388="","",IFERROR(_xlfn.XLOOKUP(H388,Listas!I:I,Listas!J:J),"OUTROS"))))</f>
        <v>CANCELADA</v>
      </c>
      <c r="J388" s="248" t="s">
        <v>268</v>
      </c>
      <c r="K388" s="73" t="s">
        <v>676</v>
      </c>
      <c r="L388" s="73" t="s">
        <v>502</v>
      </c>
      <c r="M388" s="73"/>
      <c r="N388" s="73" t="s">
        <v>63</v>
      </c>
      <c r="O388" s="73" t="s">
        <v>56</v>
      </c>
      <c r="P388" s="73" t="s">
        <v>35</v>
      </c>
      <c r="Q388" s="73" t="s">
        <v>176</v>
      </c>
      <c r="R388" s="74"/>
      <c r="S388" s="228"/>
      <c r="T388" s="229"/>
      <c r="U388" s="73"/>
      <c r="V388" s="220"/>
      <c r="W388" s="203"/>
      <c r="X388" s="73" t="s">
        <v>52</v>
      </c>
      <c r="Y388" s="249"/>
      <c r="Z388" s="249"/>
      <c r="AA388" s="224"/>
      <c r="AB388" s="74"/>
      <c r="AC388" s="74"/>
      <c r="AD388" s="256">
        <v>0</v>
      </c>
    </row>
    <row r="389" spans="1:30" s="251" customFormat="1" ht="18" customHeight="1">
      <c r="A389" s="102">
        <v>30207</v>
      </c>
      <c r="B389" s="256">
        <v>1</v>
      </c>
      <c r="C389" s="587">
        <v>46147</v>
      </c>
      <c r="D389" s="105">
        <f t="shared" ref="D389:D452" ca="1" si="15">TODAY()-C389</f>
        <v>80</v>
      </c>
      <c r="E389" s="138" t="str">
        <f t="shared" si="14"/>
        <v>ADMITIDO</v>
      </c>
      <c r="F389" s="117" t="s">
        <v>42</v>
      </c>
      <c r="G389" s="147" t="s">
        <v>43</v>
      </c>
      <c r="H389" s="117" t="s">
        <v>40</v>
      </c>
      <c r="I389" s="576" t="str">
        <f>IF(X389="ADMITIDO","ADMITIDO",IF(X389="CANCELADA","CANCELADA",IF(H389="","",IFERROR(_xlfn.XLOOKUP(H389,Listas!I:I,Listas!J:J),"OUTROS"))))</f>
        <v>ADMITIDO</v>
      </c>
      <c r="J389" s="359" t="s">
        <v>53</v>
      </c>
      <c r="K389" s="73" t="s">
        <v>45</v>
      </c>
      <c r="L389" s="258" t="s">
        <v>1123</v>
      </c>
      <c r="M389" s="258"/>
      <c r="N389" s="73" t="s">
        <v>378</v>
      </c>
      <c r="O389" s="73" t="s">
        <v>34</v>
      </c>
      <c r="P389" s="73" t="s">
        <v>35</v>
      </c>
      <c r="Q389" s="73" t="s">
        <v>362</v>
      </c>
      <c r="R389" s="74" t="s">
        <v>1124</v>
      </c>
      <c r="S389" s="228" t="s">
        <v>1125</v>
      </c>
      <c r="T389" s="229">
        <v>11912223712</v>
      </c>
      <c r="U389" s="73" t="s">
        <v>67</v>
      </c>
      <c r="V389" s="220">
        <v>46154</v>
      </c>
      <c r="W389" s="203" t="s">
        <v>1126</v>
      </c>
      <c r="X389" s="119" t="s">
        <v>40</v>
      </c>
      <c r="Y389" s="249">
        <v>46164</v>
      </c>
      <c r="Z389" s="249">
        <v>46167</v>
      </c>
      <c r="AA389" s="224">
        <v>145990</v>
      </c>
      <c r="AB389" s="74"/>
      <c r="AC389" s="74"/>
      <c r="AD389" s="256">
        <v>0</v>
      </c>
    </row>
    <row r="390" spans="1:30" s="251" customFormat="1" ht="18" customHeight="1">
      <c r="A390" s="102">
        <v>30210</v>
      </c>
      <c r="B390" s="256">
        <v>1</v>
      </c>
      <c r="C390" s="201">
        <v>46147</v>
      </c>
      <c r="D390" s="386">
        <f t="shared" ca="1" si="15"/>
        <v>80</v>
      </c>
      <c r="E390" s="170" t="str">
        <f t="shared" si="14"/>
        <v>ADMITIDO</v>
      </c>
      <c r="F390" s="139" t="s">
        <v>28</v>
      </c>
      <c r="G390" s="139" t="s">
        <v>60</v>
      </c>
      <c r="H390" s="139" t="s">
        <v>40</v>
      </c>
      <c r="I390" s="117" t="str">
        <f>IF(X390="ADMITIDO","ADMITIDO",IF(X390="CANCELADA","CANCELADA",IF(H390="","",IFERROR(_xlfn.XLOOKUP(H390,Listas!I:I,Listas!J:J),"OUTROS"))))</f>
        <v>ADMITIDO</v>
      </c>
      <c r="J390" s="359" t="s">
        <v>1024</v>
      </c>
      <c r="K390" s="73" t="s">
        <v>330</v>
      </c>
      <c r="L390" s="73" t="s">
        <v>996</v>
      </c>
      <c r="M390" s="73"/>
      <c r="N390" s="73" t="s">
        <v>63</v>
      </c>
      <c r="O390" s="73" t="s">
        <v>34</v>
      </c>
      <c r="P390" s="73" t="s">
        <v>210</v>
      </c>
      <c r="Q390" s="73" t="s">
        <v>1128</v>
      </c>
      <c r="R390" s="74" t="s">
        <v>1129</v>
      </c>
      <c r="S390" s="228"/>
      <c r="T390" s="229" t="s">
        <v>1130</v>
      </c>
      <c r="U390" s="73" t="s">
        <v>109</v>
      </c>
      <c r="V390" s="220">
        <v>46156</v>
      </c>
      <c r="W390" s="203" t="s">
        <v>1131</v>
      </c>
      <c r="X390" s="119" t="s">
        <v>40</v>
      </c>
      <c r="Y390" s="249">
        <v>46157</v>
      </c>
      <c r="Z390" s="249">
        <v>46160</v>
      </c>
      <c r="AA390" s="224">
        <v>914294</v>
      </c>
      <c r="AB390" s="74"/>
      <c r="AC390" s="74"/>
      <c r="AD390" s="256">
        <v>0</v>
      </c>
    </row>
    <row r="391" spans="1:30" s="251" customFormat="1" ht="18" customHeight="1">
      <c r="A391" s="102">
        <v>30188</v>
      </c>
      <c r="B391" s="256">
        <v>1</v>
      </c>
      <c r="C391" s="201">
        <v>46179</v>
      </c>
      <c r="D391" s="105">
        <f t="shared" ca="1" si="15"/>
        <v>48</v>
      </c>
      <c r="E391" s="138" t="str">
        <f t="shared" si="14"/>
        <v>ADMITIDO</v>
      </c>
      <c r="F391" s="117" t="s">
        <v>28</v>
      </c>
      <c r="G391" s="147" t="s">
        <v>145</v>
      </c>
      <c r="H391" s="117" t="s">
        <v>40</v>
      </c>
      <c r="I391" s="117" t="str">
        <f>IF(X391="ADMITIDO","ADMITIDO",IF(X391="CANCELADA","CANCELADA",IF(H391="","",IFERROR(_xlfn.XLOOKUP(H391,Listas!I:I,Listas!J:J),"OUTROS"))))</f>
        <v>ADMITIDO</v>
      </c>
      <c r="J391" s="359" t="s">
        <v>268</v>
      </c>
      <c r="K391" s="73" t="s">
        <v>952</v>
      </c>
      <c r="L391" s="73" t="s">
        <v>1132</v>
      </c>
      <c r="M391" s="73"/>
      <c r="N391" s="73" t="s">
        <v>63</v>
      </c>
      <c r="O391" s="73" t="s">
        <v>34</v>
      </c>
      <c r="P391" s="73" t="s">
        <v>35</v>
      </c>
      <c r="Q391" s="73" t="s">
        <v>905</v>
      </c>
      <c r="R391" s="74"/>
      <c r="S391" s="228"/>
      <c r="T391" s="229"/>
      <c r="U391" s="73" t="s">
        <v>132</v>
      </c>
      <c r="V391" s="220">
        <v>46160</v>
      </c>
      <c r="W391" s="203" t="s">
        <v>1480</v>
      </c>
      <c r="X391" s="227" t="s">
        <v>40</v>
      </c>
      <c r="Y391" s="249">
        <v>46164</v>
      </c>
      <c r="Z391" s="249">
        <v>46168</v>
      </c>
      <c r="AA391" s="224">
        <v>914333</v>
      </c>
      <c r="AB391" s="74" t="s">
        <v>1133</v>
      </c>
      <c r="AC391" s="74"/>
      <c r="AD391" s="256">
        <v>0</v>
      </c>
    </row>
    <row r="392" spans="1:30" s="251" customFormat="1" ht="18" customHeight="1">
      <c r="A392" s="102">
        <v>30192</v>
      </c>
      <c r="B392" s="256">
        <v>1</v>
      </c>
      <c r="C392" s="201">
        <v>46147</v>
      </c>
      <c r="D392" s="105">
        <f t="shared" ca="1" si="15"/>
        <v>80</v>
      </c>
      <c r="E392" s="138" t="str">
        <f t="shared" si="14"/>
        <v>ADMITIDO</v>
      </c>
      <c r="F392" s="117" t="s">
        <v>42</v>
      </c>
      <c r="G392" s="147" t="s">
        <v>102</v>
      </c>
      <c r="H392" s="117" t="s">
        <v>40</v>
      </c>
      <c r="I392" s="117" t="str">
        <f>IF(X392="ADMITIDO","ADMITIDO",IF(X392="CANCELADA","CANCELADA",IF(H392="","",IFERROR(_xlfn.XLOOKUP(H392,Listas!I:I,Listas!J:J),"OUTROS"))))</f>
        <v>ADMITIDO</v>
      </c>
      <c r="J392" s="359" t="s">
        <v>53</v>
      </c>
      <c r="K392" s="73" t="s">
        <v>103</v>
      </c>
      <c r="L392" s="73" t="s">
        <v>297</v>
      </c>
      <c r="M392" s="73"/>
      <c r="N392" s="73" t="s">
        <v>33</v>
      </c>
      <c r="O392" s="73" t="s">
        <v>34</v>
      </c>
      <c r="P392" s="73" t="s">
        <v>48</v>
      </c>
      <c r="Q392" s="73" t="s">
        <v>120</v>
      </c>
      <c r="R392" s="74"/>
      <c r="S392" s="228"/>
      <c r="T392" s="229"/>
      <c r="U392" s="73" t="s">
        <v>132</v>
      </c>
      <c r="V392" s="220">
        <v>46183</v>
      </c>
      <c r="W392" s="203" t="s">
        <v>1481</v>
      </c>
      <c r="X392" s="227" t="s">
        <v>40</v>
      </c>
      <c r="Y392" s="249">
        <v>46185</v>
      </c>
      <c r="Z392" s="249">
        <v>46189</v>
      </c>
      <c r="AA392" s="224">
        <v>914438</v>
      </c>
      <c r="AB392" s="74"/>
      <c r="AC392" s="74"/>
      <c r="AD392" s="256">
        <v>0</v>
      </c>
    </row>
    <row r="393" spans="1:30" s="251" customFormat="1" ht="18" customHeight="1">
      <c r="A393" s="102">
        <v>30201</v>
      </c>
      <c r="B393" s="256">
        <v>1</v>
      </c>
      <c r="C393" s="201">
        <v>46147</v>
      </c>
      <c r="D393" s="105">
        <f t="shared" ca="1" si="15"/>
        <v>80</v>
      </c>
      <c r="E393" s="138" t="str">
        <f t="shared" si="14"/>
        <v>ADMITIDO</v>
      </c>
      <c r="F393" s="117" t="s">
        <v>28</v>
      </c>
      <c r="G393" s="147" t="s">
        <v>29</v>
      </c>
      <c r="H393" s="117" t="s">
        <v>40</v>
      </c>
      <c r="I393" s="117" t="str">
        <f>IF(X393="ADMITIDO","ADMITIDO",IF(X393="CANCELADA","CANCELADA",IF(H393="","",IFERROR(_xlfn.XLOOKUP(H393,Listas!I:I,Listas!J:J),"OUTROS"))))</f>
        <v>ADMITIDO</v>
      </c>
      <c r="J393" s="359" t="s">
        <v>146</v>
      </c>
      <c r="K393" s="73" t="s">
        <v>614</v>
      </c>
      <c r="L393" s="73" t="s">
        <v>183</v>
      </c>
      <c r="M393" s="73"/>
      <c r="N393" s="73" t="s">
        <v>184</v>
      </c>
      <c r="O393" s="73" t="s">
        <v>56</v>
      </c>
      <c r="P393" s="73" t="s">
        <v>35</v>
      </c>
      <c r="Q393" s="73" t="s">
        <v>760</v>
      </c>
      <c r="R393" s="74"/>
      <c r="S393" s="228"/>
      <c r="T393" s="229" t="s">
        <v>1134</v>
      </c>
      <c r="U393" s="73" t="s">
        <v>38</v>
      </c>
      <c r="V393" s="220">
        <v>46148</v>
      </c>
      <c r="W393" s="203" t="s">
        <v>1135</v>
      </c>
      <c r="X393" s="117" t="s">
        <v>40</v>
      </c>
      <c r="Y393" s="249">
        <v>46153</v>
      </c>
      <c r="Z393" s="249">
        <v>46154</v>
      </c>
      <c r="AA393" s="224">
        <v>914255</v>
      </c>
      <c r="AB393" s="74"/>
      <c r="AC393" s="74"/>
      <c r="AD393" s="256">
        <v>0</v>
      </c>
    </row>
    <row r="394" spans="1:30" s="251" customFormat="1" ht="18" customHeight="1">
      <c r="A394" s="102">
        <v>30203</v>
      </c>
      <c r="B394" s="256">
        <v>1</v>
      </c>
      <c r="C394" s="201">
        <v>46147</v>
      </c>
      <c r="D394" s="105">
        <f t="shared" ca="1" si="15"/>
        <v>80</v>
      </c>
      <c r="E394" s="138" t="str">
        <f t="shared" si="14"/>
        <v>ADMITIDO</v>
      </c>
      <c r="F394" s="117" t="s">
        <v>42</v>
      </c>
      <c r="G394" s="147" t="s">
        <v>69</v>
      </c>
      <c r="H394" s="117" t="s">
        <v>40</v>
      </c>
      <c r="I394" s="117" t="str">
        <f>IF(X394="ADMITIDO","ADMITIDO",IF(X394="CANCELADA","CANCELADA",IF(H394="","",IFERROR(_xlfn.XLOOKUP(H394,Listas!I:I,Listas!J:J),"OUTROS"))))</f>
        <v>ADMITIDO</v>
      </c>
      <c r="J394" s="359" t="s">
        <v>53</v>
      </c>
      <c r="K394" s="73" t="s">
        <v>158</v>
      </c>
      <c r="L394" s="73" t="s">
        <v>921</v>
      </c>
      <c r="M394" s="73"/>
      <c r="N394" s="73" t="s">
        <v>672</v>
      </c>
      <c r="O394" s="73" t="s">
        <v>34</v>
      </c>
      <c r="P394" s="73" t="s">
        <v>48</v>
      </c>
      <c r="Q394" s="73" t="s">
        <v>414</v>
      </c>
      <c r="R394" s="74"/>
      <c r="S394" s="228"/>
      <c r="T394" s="229"/>
      <c r="U394" s="73" t="s">
        <v>76</v>
      </c>
      <c r="V394" s="220">
        <v>46160</v>
      </c>
      <c r="W394" s="118" t="s">
        <v>1482</v>
      </c>
      <c r="X394" s="119" t="s">
        <v>40</v>
      </c>
      <c r="Y394" s="249">
        <v>46163</v>
      </c>
      <c r="Z394" s="249">
        <v>46167</v>
      </c>
      <c r="AA394" s="224">
        <v>914308</v>
      </c>
      <c r="AB394" s="74" t="s">
        <v>1136</v>
      </c>
      <c r="AC394" s="74"/>
      <c r="AD394" s="256">
        <v>1</v>
      </c>
    </row>
    <row r="395" spans="1:30" s="251" customFormat="1" ht="18" customHeight="1">
      <c r="A395" s="102">
        <v>30204</v>
      </c>
      <c r="B395" s="256">
        <v>1</v>
      </c>
      <c r="C395" s="201">
        <v>46147</v>
      </c>
      <c r="D395" s="105">
        <f t="shared" ca="1" si="15"/>
        <v>80</v>
      </c>
      <c r="E395" s="138" t="str">
        <f t="shared" si="14"/>
        <v>ADMITIDO</v>
      </c>
      <c r="F395" s="117" t="s">
        <v>42</v>
      </c>
      <c r="G395" s="147" t="s">
        <v>69</v>
      </c>
      <c r="H395" s="117" t="s">
        <v>40</v>
      </c>
      <c r="I395" s="117" t="str">
        <f>IF(X395="ADMITIDO","ADMITIDO",IF(X395="CANCELADA","CANCELADA",IF(H395="","",IFERROR(_xlfn.XLOOKUP(H395,Listas!I:I,Listas!J:J),"OUTROS"))))</f>
        <v>ADMITIDO</v>
      </c>
      <c r="J395" s="359" t="s">
        <v>53</v>
      </c>
      <c r="K395" s="73" t="s">
        <v>158</v>
      </c>
      <c r="L395" s="73" t="s">
        <v>921</v>
      </c>
      <c r="M395" s="73"/>
      <c r="N395" s="73" t="s">
        <v>672</v>
      </c>
      <c r="O395" s="73" t="s">
        <v>34</v>
      </c>
      <c r="P395" s="73" t="s">
        <v>48</v>
      </c>
      <c r="Q395" s="73" t="s">
        <v>131</v>
      </c>
      <c r="R395" s="74"/>
      <c r="S395" s="228"/>
      <c r="T395" s="229"/>
      <c r="U395" s="73" t="s">
        <v>76</v>
      </c>
      <c r="V395" s="220">
        <v>46176</v>
      </c>
      <c r="W395" s="203" t="s">
        <v>1483</v>
      </c>
      <c r="X395" s="227" t="s">
        <v>40</v>
      </c>
      <c r="Y395" s="249">
        <v>46182</v>
      </c>
      <c r="Z395" s="249">
        <v>46184</v>
      </c>
      <c r="AA395" s="224">
        <v>914415</v>
      </c>
      <c r="AB395" s="74" t="s">
        <v>1484</v>
      </c>
      <c r="AC395" s="74" t="s">
        <v>1362</v>
      </c>
      <c r="AD395" s="256">
        <v>2</v>
      </c>
    </row>
    <row r="396" spans="1:30" s="251" customFormat="1" ht="18" customHeight="1">
      <c r="A396" s="377">
        <v>30189</v>
      </c>
      <c r="B396" s="378">
        <v>1</v>
      </c>
      <c r="C396" s="379">
        <v>46147</v>
      </c>
      <c r="D396" s="380">
        <f t="shared" ca="1" si="15"/>
        <v>80</v>
      </c>
      <c r="E396" s="381" t="str">
        <f t="shared" si="14"/>
        <v>CANCELADA</v>
      </c>
      <c r="F396" s="382" t="s">
        <v>42</v>
      </c>
      <c r="G396" s="390" t="s">
        <v>69</v>
      </c>
      <c r="H396" s="382" t="s">
        <v>52</v>
      </c>
      <c r="I396" s="382" t="str">
        <f>IF(X396="ADMITIDO","ADMITIDO",IF(X396="CANCELADA","CANCELADA",IF(H396="","",IFERROR(_xlfn.XLOOKUP(H396,Listas!I:I,Listas!J:J),"OUTROS"))))</f>
        <v>CANCELADA</v>
      </c>
      <c r="J396" s="248" t="s">
        <v>53</v>
      </c>
      <c r="K396" s="73" t="s">
        <v>70</v>
      </c>
      <c r="L396" s="73" t="s">
        <v>588</v>
      </c>
      <c r="M396" s="73"/>
      <c r="N396" s="73" t="s">
        <v>63</v>
      </c>
      <c r="O396" s="73" t="s">
        <v>34</v>
      </c>
      <c r="P396" s="73" t="s">
        <v>589</v>
      </c>
      <c r="Q396" s="73" t="s">
        <v>532</v>
      </c>
      <c r="R396" s="74"/>
      <c r="S396" s="228"/>
      <c r="T396" s="229"/>
      <c r="U396" s="73"/>
      <c r="V396" s="220"/>
      <c r="W396" s="203"/>
      <c r="X396" s="227"/>
      <c r="Y396" s="249"/>
      <c r="Z396" s="249"/>
      <c r="AA396" s="224"/>
      <c r="AB396" s="74"/>
      <c r="AC396" s="74"/>
      <c r="AD396" s="256">
        <v>0</v>
      </c>
    </row>
    <row r="397" spans="1:30" s="251" customFormat="1" ht="18" customHeight="1">
      <c r="A397" s="102">
        <v>30198</v>
      </c>
      <c r="B397" s="256">
        <v>1</v>
      </c>
      <c r="C397" s="201">
        <v>46147</v>
      </c>
      <c r="D397" s="105">
        <f t="shared" ca="1" si="15"/>
        <v>80</v>
      </c>
      <c r="E397" s="138" t="str">
        <f t="shared" si="14"/>
        <v>ADMITIDO</v>
      </c>
      <c r="F397" s="117" t="s">
        <v>28</v>
      </c>
      <c r="G397" s="147" t="s">
        <v>240</v>
      </c>
      <c r="H397" s="117" t="s">
        <v>40</v>
      </c>
      <c r="I397" s="117" t="str">
        <f>IF(X397="ADMITIDO","ADMITIDO",IF(X397="CANCELADA","CANCELADA",IF(H397="","",IFERROR(_xlfn.XLOOKUP(H397,Listas!I:I,Listas!J:J),"OUTROS"))))</f>
        <v>ADMITIDO</v>
      </c>
      <c r="J397" s="359" t="s">
        <v>268</v>
      </c>
      <c r="K397" s="73" t="s">
        <v>676</v>
      </c>
      <c r="L397" s="73" t="s">
        <v>475</v>
      </c>
      <c r="M397" s="73"/>
      <c r="N397" s="73" t="s">
        <v>243</v>
      </c>
      <c r="O397" s="73" t="s">
        <v>56</v>
      </c>
      <c r="P397" s="73" t="s">
        <v>35</v>
      </c>
      <c r="Q397" s="73" t="s">
        <v>176</v>
      </c>
      <c r="R397" s="74"/>
      <c r="S397" s="228" t="s">
        <v>65</v>
      </c>
      <c r="T397" s="229"/>
      <c r="U397" s="73" t="s">
        <v>132</v>
      </c>
      <c r="V397" s="220">
        <v>46156</v>
      </c>
      <c r="W397" s="203" t="s">
        <v>1139</v>
      </c>
      <c r="X397" s="227" t="s">
        <v>40</v>
      </c>
      <c r="Y397" s="249">
        <v>46160</v>
      </c>
      <c r="Z397" s="249">
        <v>46163</v>
      </c>
      <c r="AA397" s="224">
        <v>914299</v>
      </c>
      <c r="AB397" s="74"/>
      <c r="AC397" s="74"/>
      <c r="AD397" s="256">
        <v>0</v>
      </c>
    </row>
    <row r="398" spans="1:30" s="251" customFormat="1" ht="18" customHeight="1">
      <c r="A398" s="389">
        <v>30196</v>
      </c>
      <c r="B398" s="378">
        <v>1</v>
      </c>
      <c r="C398" s="379">
        <v>46147</v>
      </c>
      <c r="D398" s="380">
        <f t="shared" ca="1" si="15"/>
        <v>80</v>
      </c>
      <c r="E398" s="381" t="str">
        <f t="shared" si="14"/>
        <v>CANCELADA</v>
      </c>
      <c r="F398" s="382" t="s">
        <v>42</v>
      </c>
      <c r="G398" s="390" t="s">
        <v>43</v>
      </c>
      <c r="H398" s="382" t="s">
        <v>52</v>
      </c>
      <c r="I398" s="382" t="str">
        <f>IF(X398="ADMITIDO","ADMITIDO",IF(X398="CANCELADA","CANCELADA",IF(H398="","",IFERROR(_xlfn.XLOOKUP(H398,Listas!I:I,Listas!J:J),"OUTROS"))))</f>
        <v>CANCELADA</v>
      </c>
      <c r="J398" s="248" t="s">
        <v>346</v>
      </c>
      <c r="K398" s="73" t="s">
        <v>189</v>
      </c>
      <c r="L398" s="73" t="s">
        <v>924</v>
      </c>
      <c r="M398" s="73"/>
      <c r="N398" s="73" t="s">
        <v>925</v>
      </c>
      <c r="O398" s="73" t="s">
        <v>56</v>
      </c>
      <c r="P398" s="73" t="s">
        <v>35</v>
      </c>
      <c r="Q398" s="73" t="s">
        <v>176</v>
      </c>
      <c r="R398" s="74" t="s">
        <v>1359</v>
      </c>
      <c r="S398" s="228"/>
      <c r="T398" s="229"/>
      <c r="U398" s="73"/>
      <c r="V398" s="220"/>
      <c r="W398" s="203"/>
      <c r="X398" s="227"/>
      <c r="Y398" s="249"/>
      <c r="Z398" s="249"/>
      <c r="AA398" s="224"/>
      <c r="AB398" s="74"/>
      <c r="AC398" s="74"/>
      <c r="AD398" s="256">
        <v>0</v>
      </c>
    </row>
    <row r="399" spans="1:30" s="251" customFormat="1" ht="18" customHeight="1">
      <c r="A399" s="102">
        <v>30190</v>
      </c>
      <c r="B399" s="256">
        <v>1</v>
      </c>
      <c r="C399" s="201">
        <v>46147</v>
      </c>
      <c r="D399" s="105">
        <f t="shared" ca="1" si="15"/>
        <v>80</v>
      </c>
      <c r="E399" s="138" t="str">
        <f t="shared" si="14"/>
        <v>ADMITIDO</v>
      </c>
      <c r="F399" s="117" t="s">
        <v>42</v>
      </c>
      <c r="G399" s="147" t="s">
        <v>69</v>
      </c>
      <c r="H399" s="117" t="s">
        <v>40</v>
      </c>
      <c r="I399" s="117" t="str">
        <f>IF(X399="ADMITIDO","ADMITIDO",IF(X399="CANCELADA","CANCELADA",IF(H399="","",IFERROR(_xlfn.XLOOKUP(H399,Listas!I:I,Listas!J:J),"OUTROS"))))</f>
        <v>ADMITIDO</v>
      </c>
      <c r="J399" s="359" t="s">
        <v>53</v>
      </c>
      <c r="K399" s="73" t="s">
        <v>70</v>
      </c>
      <c r="L399" s="73" t="s">
        <v>237</v>
      </c>
      <c r="M399" s="73"/>
      <c r="N399" s="73" t="s">
        <v>63</v>
      </c>
      <c r="O399" s="73" t="s">
        <v>34</v>
      </c>
      <c r="P399" s="73" t="s">
        <v>72</v>
      </c>
      <c r="Q399" s="73" t="s">
        <v>238</v>
      </c>
      <c r="R399" s="74"/>
      <c r="S399" s="228"/>
      <c r="T399" s="229"/>
      <c r="U399" s="73" t="s">
        <v>76</v>
      </c>
      <c r="V399" s="220">
        <v>46161</v>
      </c>
      <c r="W399" s="118" t="s">
        <v>1485</v>
      </c>
      <c r="X399" s="119" t="s">
        <v>40</v>
      </c>
      <c r="Y399" s="249">
        <v>46163</v>
      </c>
      <c r="Z399" s="249">
        <v>46167</v>
      </c>
      <c r="AA399" s="224">
        <v>914322</v>
      </c>
      <c r="AB399" s="74" t="s">
        <v>1486</v>
      </c>
      <c r="AC399" s="74"/>
      <c r="AD399" s="256">
        <v>0</v>
      </c>
    </row>
    <row r="400" spans="1:30" s="251" customFormat="1" ht="18" customHeight="1">
      <c r="A400" s="102">
        <v>30186</v>
      </c>
      <c r="B400" s="256">
        <v>1</v>
      </c>
      <c r="C400" s="201">
        <v>46147</v>
      </c>
      <c r="D400" s="105">
        <f t="shared" ca="1" si="15"/>
        <v>80</v>
      </c>
      <c r="E400" s="138" t="str">
        <f t="shared" si="14"/>
        <v>ADMITIDO</v>
      </c>
      <c r="F400" s="117" t="s">
        <v>42</v>
      </c>
      <c r="G400" s="147" t="s">
        <v>240</v>
      </c>
      <c r="H400" s="117" t="s">
        <v>40</v>
      </c>
      <c r="I400" s="117" t="str">
        <f>IF(X400="ADMITIDO","ADMITIDO",IF(X400="CANCELADA","CANCELADA",IF(H400="","",IFERROR(_xlfn.XLOOKUP(H400,Listas!I:I,Listas!J:J),"OUTROS"))))</f>
        <v>ADMITIDO</v>
      </c>
      <c r="J400" s="359" t="s">
        <v>53</v>
      </c>
      <c r="K400" s="73" t="s">
        <v>241</v>
      </c>
      <c r="L400" s="73" t="s">
        <v>312</v>
      </c>
      <c r="M400" s="73"/>
      <c r="N400" s="73" t="s">
        <v>243</v>
      </c>
      <c r="O400" s="73" t="s">
        <v>34</v>
      </c>
      <c r="P400" s="73" t="s">
        <v>57</v>
      </c>
      <c r="Q400" s="73" t="s">
        <v>1140</v>
      </c>
      <c r="R400" s="74"/>
      <c r="S400" s="228" t="s">
        <v>373</v>
      </c>
      <c r="T400" s="229" t="s">
        <v>1487</v>
      </c>
      <c r="U400" s="73" t="s">
        <v>76</v>
      </c>
      <c r="V400" s="220">
        <v>46190</v>
      </c>
      <c r="W400" s="203" t="s">
        <v>1488</v>
      </c>
      <c r="X400" s="227" t="s">
        <v>40</v>
      </c>
      <c r="Y400" s="249">
        <v>46192</v>
      </c>
      <c r="Z400" s="249">
        <v>46196</v>
      </c>
      <c r="AA400" s="224">
        <v>914485</v>
      </c>
      <c r="AB400" s="74"/>
      <c r="AC400" s="74"/>
      <c r="AD400" s="256">
        <v>0</v>
      </c>
    </row>
    <row r="401" spans="1:30" s="251" customFormat="1" ht="18" customHeight="1">
      <c r="A401" s="102">
        <v>30208</v>
      </c>
      <c r="B401" s="256">
        <v>1</v>
      </c>
      <c r="C401" s="201">
        <v>46147</v>
      </c>
      <c r="D401" s="105">
        <f t="shared" ca="1" si="15"/>
        <v>80</v>
      </c>
      <c r="E401" s="138" t="str">
        <f t="shared" si="14"/>
        <v>ADMITIDO</v>
      </c>
      <c r="F401" s="117" t="s">
        <v>42</v>
      </c>
      <c r="G401" s="147" t="s">
        <v>43</v>
      </c>
      <c r="H401" s="117" t="s">
        <v>40</v>
      </c>
      <c r="I401" s="117" t="str">
        <f>IF(X401="ADMITIDO","ADMITIDO",IF(X401="CANCELADA","CANCELADA",IF(H401="","",IFERROR(_xlfn.XLOOKUP(H401,Listas!I:I,Listas!J:J),"OUTROS"))))</f>
        <v>ADMITIDO</v>
      </c>
      <c r="J401" s="359" t="s">
        <v>53</v>
      </c>
      <c r="K401" s="73" t="s">
        <v>45</v>
      </c>
      <c r="L401" s="73" t="s">
        <v>1141</v>
      </c>
      <c r="M401" s="73"/>
      <c r="N401" s="73" t="s">
        <v>97</v>
      </c>
      <c r="O401" s="73" t="s">
        <v>34</v>
      </c>
      <c r="P401" s="73" t="s">
        <v>57</v>
      </c>
      <c r="Q401" s="73" t="s">
        <v>73</v>
      </c>
      <c r="R401" s="74"/>
      <c r="S401" s="228"/>
      <c r="T401" s="229">
        <v>11945500287</v>
      </c>
      <c r="U401" s="73" t="s">
        <v>67</v>
      </c>
      <c r="V401" s="220">
        <v>46148</v>
      </c>
      <c r="W401" s="203" t="s">
        <v>1142</v>
      </c>
      <c r="X401" s="117" t="s">
        <v>40</v>
      </c>
      <c r="Y401" s="249">
        <v>46150</v>
      </c>
      <c r="Z401" s="249">
        <v>46150</v>
      </c>
      <c r="AA401" s="224">
        <v>145931</v>
      </c>
      <c r="AB401" s="74"/>
      <c r="AC401" s="74"/>
      <c r="AD401" s="256">
        <v>0</v>
      </c>
    </row>
    <row r="402" spans="1:30" s="251" customFormat="1" ht="18" customHeight="1">
      <c r="A402" s="102">
        <v>30205</v>
      </c>
      <c r="B402" s="256">
        <v>1</v>
      </c>
      <c r="C402" s="201">
        <v>46147</v>
      </c>
      <c r="D402" s="105">
        <f t="shared" ca="1" si="15"/>
        <v>80</v>
      </c>
      <c r="E402" s="138" t="str">
        <f t="shared" si="14"/>
        <v>ADMITIDO</v>
      </c>
      <c r="F402" s="117" t="s">
        <v>42</v>
      </c>
      <c r="G402" s="147" t="s">
        <v>69</v>
      </c>
      <c r="H402" s="117" t="s">
        <v>40</v>
      </c>
      <c r="I402" s="117" t="str">
        <f>IF(X402="ADMITIDO","ADMITIDO",IF(X402="CANCELADA","CANCELADA",IF(H402="","",IFERROR(_xlfn.XLOOKUP(H402,Listas!I:I,Listas!J:J),"OUTROS"))))</f>
        <v>ADMITIDO</v>
      </c>
      <c r="J402" s="359" t="s">
        <v>53</v>
      </c>
      <c r="K402" s="73" t="s">
        <v>158</v>
      </c>
      <c r="L402" s="73" t="s">
        <v>1040</v>
      </c>
      <c r="M402" s="73"/>
      <c r="N402" s="73" t="s">
        <v>63</v>
      </c>
      <c r="O402" s="73" t="s">
        <v>34</v>
      </c>
      <c r="P402" s="73" t="s">
        <v>72</v>
      </c>
      <c r="Q402" s="73" t="s">
        <v>238</v>
      </c>
      <c r="R402" s="74"/>
      <c r="S402" s="228" t="s">
        <v>65</v>
      </c>
      <c r="T402" s="229"/>
      <c r="U402" s="73" t="s">
        <v>67</v>
      </c>
      <c r="V402" s="220">
        <v>46149</v>
      </c>
      <c r="W402" s="203" t="s">
        <v>1143</v>
      </c>
      <c r="X402" s="117" t="s">
        <v>40</v>
      </c>
      <c r="Y402" s="249">
        <v>46154</v>
      </c>
      <c r="Z402" s="249">
        <v>46155</v>
      </c>
      <c r="AA402" s="224">
        <v>914271</v>
      </c>
      <c r="AB402" s="74"/>
      <c r="AC402" s="74"/>
      <c r="AD402" s="256">
        <v>0</v>
      </c>
    </row>
    <row r="403" spans="1:30" s="251" customFormat="1" ht="18" customHeight="1">
      <c r="A403" s="102">
        <v>30193</v>
      </c>
      <c r="B403" s="256">
        <v>1</v>
      </c>
      <c r="C403" s="201">
        <v>46147</v>
      </c>
      <c r="D403" s="105">
        <f t="shared" ca="1" si="15"/>
        <v>80</v>
      </c>
      <c r="E403" s="138" t="str">
        <f t="shared" si="14"/>
        <v>ADMITIDO</v>
      </c>
      <c r="F403" s="117" t="s">
        <v>28</v>
      </c>
      <c r="G403" s="147" t="s">
        <v>43</v>
      </c>
      <c r="H403" s="117" t="s">
        <v>40</v>
      </c>
      <c r="I403" s="117" t="str">
        <f>IF(X403="ADMITIDO","ADMITIDO",IF(X403="CANCELADA","CANCELADA",IF(H403="","",IFERROR(_xlfn.XLOOKUP(H403,Listas!I:I,Listas!J:J),"OUTROS"))))</f>
        <v>ADMITIDO</v>
      </c>
      <c r="J403" s="359" t="s">
        <v>737</v>
      </c>
      <c r="K403" s="73" t="s">
        <v>1144</v>
      </c>
      <c r="L403" s="73" t="s">
        <v>96</v>
      </c>
      <c r="M403" s="73"/>
      <c r="N403" s="73" t="s">
        <v>97</v>
      </c>
      <c r="O403" s="73" t="s">
        <v>34</v>
      </c>
      <c r="P403" s="73" t="s">
        <v>35</v>
      </c>
      <c r="Q403" s="73" t="s">
        <v>362</v>
      </c>
      <c r="R403" s="74"/>
      <c r="S403" s="228"/>
      <c r="T403" s="229">
        <v>11974189745</v>
      </c>
      <c r="U403" s="73" t="s">
        <v>50</v>
      </c>
      <c r="V403" s="220">
        <v>46149</v>
      </c>
      <c r="W403" s="118" t="s">
        <v>1145</v>
      </c>
      <c r="X403" s="119" t="s">
        <v>40</v>
      </c>
      <c r="Y403" s="249">
        <v>46155</v>
      </c>
      <c r="Z403" s="249">
        <v>46155</v>
      </c>
      <c r="AA403" s="224">
        <v>914268</v>
      </c>
      <c r="AB403" s="74"/>
      <c r="AC403" s="74"/>
      <c r="AD403" s="256">
        <v>0</v>
      </c>
    </row>
    <row r="404" spans="1:30" s="251" customFormat="1" ht="18" customHeight="1">
      <c r="A404" s="102">
        <v>30194</v>
      </c>
      <c r="B404" s="256">
        <v>1</v>
      </c>
      <c r="C404" s="201">
        <v>46147</v>
      </c>
      <c r="D404" s="105">
        <f t="shared" ca="1" si="15"/>
        <v>80</v>
      </c>
      <c r="E404" s="138" t="str">
        <f t="shared" si="14"/>
        <v>ADMITIDO</v>
      </c>
      <c r="F404" s="117" t="s">
        <v>28</v>
      </c>
      <c r="G404" s="147" t="s">
        <v>43</v>
      </c>
      <c r="H404" s="117" t="s">
        <v>40</v>
      </c>
      <c r="I404" s="117" t="str">
        <f>IF(X404="ADMITIDO","ADMITIDO",IF(X404="CANCELADA","CANCELADA",IF(H404="","",IFERROR(_xlfn.XLOOKUP(H404,Listas!I:I,Listas!J:J),"OUTROS"))))</f>
        <v>ADMITIDO</v>
      </c>
      <c r="J404" s="359" t="s">
        <v>737</v>
      </c>
      <c r="K404" s="73" t="s">
        <v>1144</v>
      </c>
      <c r="L404" s="73" t="s">
        <v>96</v>
      </c>
      <c r="M404" s="73"/>
      <c r="N404" s="73" t="s">
        <v>97</v>
      </c>
      <c r="O404" s="73" t="s">
        <v>34</v>
      </c>
      <c r="P404" s="73" t="s">
        <v>35</v>
      </c>
      <c r="Q404" s="73" t="s">
        <v>362</v>
      </c>
      <c r="R404" s="74"/>
      <c r="S404" s="228"/>
      <c r="T404" s="229">
        <v>11974808637</v>
      </c>
      <c r="U404" s="73" t="s">
        <v>50</v>
      </c>
      <c r="V404" s="220">
        <v>46150</v>
      </c>
      <c r="W404" s="118" t="s">
        <v>1146</v>
      </c>
      <c r="X404" s="119" t="s">
        <v>40</v>
      </c>
      <c r="Y404" s="249">
        <v>46155</v>
      </c>
      <c r="Z404" s="249">
        <v>46156</v>
      </c>
      <c r="AA404" s="224">
        <v>914266</v>
      </c>
      <c r="AB404" s="74"/>
      <c r="AC404" s="74"/>
      <c r="AD404" s="256">
        <v>0</v>
      </c>
    </row>
    <row r="405" spans="1:30" s="251" customFormat="1" ht="18" customHeight="1">
      <c r="A405" s="102">
        <v>30191</v>
      </c>
      <c r="B405" s="256">
        <v>1</v>
      </c>
      <c r="C405" s="201">
        <v>46147</v>
      </c>
      <c r="D405" s="105">
        <f t="shared" ca="1" si="15"/>
        <v>80</v>
      </c>
      <c r="E405" s="138" t="str">
        <f t="shared" si="14"/>
        <v>ADMITIDO</v>
      </c>
      <c r="F405" s="117" t="s">
        <v>42</v>
      </c>
      <c r="G405" s="147" t="s">
        <v>69</v>
      </c>
      <c r="H405" s="117" t="s">
        <v>40</v>
      </c>
      <c r="I405" s="117" t="str">
        <f>IF(X405="ADMITIDO","ADMITIDO",IF(X405="CANCELADA","CANCELADA",IF(H405="","",IFERROR(_xlfn.XLOOKUP(H405,Listas!I:I,Listas!J:J),"OUTROS"))))</f>
        <v>ADMITIDO</v>
      </c>
      <c r="J405" s="359" t="s">
        <v>53</v>
      </c>
      <c r="K405" s="73" t="s">
        <v>70</v>
      </c>
      <c r="L405" s="73" t="s">
        <v>769</v>
      </c>
      <c r="M405" s="73"/>
      <c r="N405" s="73" t="s">
        <v>63</v>
      </c>
      <c r="O405" s="73" t="s">
        <v>34</v>
      </c>
      <c r="P405" s="73" t="s">
        <v>48</v>
      </c>
      <c r="Q405" s="73" t="s">
        <v>49</v>
      </c>
      <c r="R405" s="74"/>
      <c r="S405" s="228" t="s">
        <v>65</v>
      </c>
      <c r="T405" s="252" t="s">
        <v>1489</v>
      </c>
      <c r="U405" s="73" t="s">
        <v>76</v>
      </c>
      <c r="V405" s="220">
        <v>46183</v>
      </c>
      <c r="W405" s="203" t="s">
        <v>1490</v>
      </c>
      <c r="X405" s="227" t="s">
        <v>40</v>
      </c>
      <c r="Y405" s="249">
        <v>46188</v>
      </c>
      <c r="Z405" s="249">
        <v>46189</v>
      </c>
      <c r="AA405" s="224">
        <v>914443</v>
      </c>
      <c r="AB405" s="74" t="s">
        <v>1148</v>
      </c>
      <c r="AC405" s="74"/>
      <c r="AD405" s="256">
        <v>1</v>
      </c>
    </row>
    <row r="406" spans="1:30" s="251" customFormat="1" ht="18" customHeight="1">
      <c r="A406" s="102">
        <v>30187</v>
      </c>
      <c r="B406" s="256">
        <v>1</v>
      </c>
      <c r="C406" s="201">
        <v>46147</v>
      </c>
      <c r="D406" s="105">
        <f t="shared" ca="1" si="15"/>
        <v>80</v>
      </c>
      <c r="E406" s="138" t="str">
        <f t="shared" si="14"/>
        <v>ADMITIDO</v>
      </c>
      <c r="F406" s="117" t="s">
        <v>28</v>
      </c>
      <c r="G406" s="147" t="s">
        <v>145</v>
      </c>
      <c r="H406" s="117" t="s">
        <v>40</v>
      </c>
      <c r="I406" s="117" t="str">
        <f>IF(X406="ADMITIDO","ADMITIDO",IF(X406="CANCELADA","CANCELADA",IF(H406="","",IFERROR(_xlfn.XLOOKUP(H406,Listas!I:I,Listas!J:J),"OUTROS"))))</f>
        <v>ADMITIDO</v>
      </c>
      <c r="J406" s="359" t="s">
        <v>268</v>
      </c>
      <c r="K406" s="73" t="s">
        <v>952</v>
      </c>
      <c r="L406" s="73" t="s">
        <v>953</v>
      </c>
      <c r="M406" s="73"/>
      <c r="N406" s="73" t="s">
        <v>63</v>
      </c>
      <c r="O406" s="73" t="s">
        <v>34</v>
      </c>
      <c r="P406" s="73" t="s">
        <v>35</v>
      </c>
      <c r="Q406" s="73" t="s">
        <v>36</v>
      </c>
      <c r="R406" s="74"/>
      <c r="S406" s="228"/>
      <c r="T406" s="229"/>
      <c r="U406" s="73" t="s">
        <v>132</v>
      </c>
      <c r="V406" s="220">
        <v>46149</v>
      </c>
      <c r="W406" s="203" t="s">
        <v>1149</v>
      </c>
      <c r="X406" s="117" t="s">
        <v>40</v>
      </c>
      <c r="Y406" s="249">
        <v>46153</v>
      </c>
      <c r="Z406" s="249">
        <v>46154</v>
      </c>
      <c r="AA406" s="224">
        <v>914259</v>
      </c>
      <c r="AB406" s="74"/>
      <c r="AC406" s="74"/>
      <c r="AD406" s="256">
        <v>0</v>
      </c>
    </row>
    <row r="407" spans="1:30" s="251" customFormat="1" ht="18" customHeight="1">
      <c r="A407" s="102">
        <v>30199</v>
      </c>
      <c r="B407" s="256">
        <v>1</v>
      </c>
      <c r="C407" s="201">
        <v>46147</v>
      </c>
      <c r="D407" s="105">
        <f t="shared" ca="1" si="15"/>
        <v>80</v>
      </c>
      <c r="E407" s="138" t="str">
        <f t="shared" si="14"/>
        <v>ADMITIDO</v>
      </c>
      <c r="F407" s="117" t="s">
        <v>42</v>
      </c>
      <c r="G407" s="147" t="s">
        <v>69</v>
      </c>
      <c r="H407" s="117" t="s">
        <v>40</v>
      </c>
      <c r="I407" s="117" t="str">
        <f>IF(X407="ADMITIDO","ADMITIDO",IF(X407="CANCELADA","CANCELADA",IF(H407="","",IFERROR(_xlfn.XLOOKUP(H407,Listas!I:I,Listas!J:J),"OUTROS"))))</f>
        <v>ADMITIDO</v>
      </c>
      <c r="J407" s="359" t="s">
        <v>53</v>
      </c>
      <c r="K407" s="73" t="s">
        <v>158</v>
      </c>
      <c r="L407" s="73" t="s">
        <v>1068</v>
      </c>
      <c r="M407" s="73"/>
      <c r="N407" s="73" t="s">
        <v>63</v>
      </c>
      <c r="O407" s="73" t="s">
        <v>34</v>
      </c>
      <c r="P407" s="73" t="s">
        <v>219</v>
      </c>
      <c r="Q407" s="73" t="s">
        <v>247</v>
      </c>
      <c r="R407" s="74"/>
      <c r="S407" s="228"/>
      <c r="T407" s="229"/>
      <c r="U407" s="73" t="s">
        <v>76</v>
      </c>
      <c r="V407" s="220">
        <v>46162</v>
      </c>
      <c r="W407" s="203" t="s">
        <v>1491</v>
      </c>
      <c r="X407" s="227" t="s">
        <v>40</v>
      </c>
      <c r="Y407" s="249">
        <v>46164</v>
      </c>
      <c r="Z407" s="249">
        <v>46167</v>
      </c>
      <c r="AA407" s="224">
        <v>914332</v>
      </c>
      <c r="AB407" s="74"/>
      <c r="AC407" s="74"/>
      <c r="AD407" s="256">
        <v>0</v>
      </c>
    </row>
    <row r="408" spans="1:30" s="251" customFormat="1" ht="18" customHeight="1">
      <c r="A408" s="377">
        <v>30182</v>
      </c>
      <c r="B408" s="378">
        <v>1</v>
      </c>
      <c r="C408" s="379">
        <v>46147</v>
      </c>
      <c r="D408" s="380">
        <f t="shared" ca="1" si="15"/>
        <v>80</v>
      </c>
      <c r="E408" s="381" t="str">
        <f t="shared" si="14"/>
        <v>CANCELADA</v>
      </c>
      <c r="F408" s="382" t="s">
        <v>28</v>
      </c>
      <c r="G408" s="390" t="s">
        <v>145</v>
      </c>
      <c r="H408" s="382" t="s">
        <v>52</v>
      </c>
      <c r="I408" s="382" t="str">
        <f>IF(X408="ADMITIDO","ADMITIDO",IF(X408="CANCELADA","CANCELADA",IF(H408="","",IFERROR(_xlfn.XLOOKUP(H408,Listas!I:I,Listas!J:J),"OUTROS"))))</f>
        <v>CANCELADA</v>
      </c>
      <c r="J408" s="248" t="s">
        <v>1150</v>
      </c>
      <c r="K408" s="248" t="s">
        <v>103</v>
      </c>
      <c r="L408" s="248" t="s">
        <v>194</v>
      </c>
      <c r="M408" s="248"/>
      <c r="N408" s="248" t="s">
        <v>63</v>
      </c>
      <c r="O408" s="73" t="s">
        <v>34</v>
      </c>
      <c r="P408" s="73" t="s">
        <v>210</v>
      </c>
      <c r="Q408" s="73" t="s">
        <v>1151</v>
      </c>
      <c r="R408" s="74"/>
      <c r="S408" s="228"/>
      <c r="T408" s="229"/>
      <c r="U408" s="73"/>
      <c r="V408" s="220">
        <v>46148</v>
      </c>
      <c r="W408" s="203" t="s">
        <v>1152</v>
      </c>
      <c r="X408" s="73" t="s">
        <v>52</v>
      </c>
      <c r="Y408" s="249"/>
      <c r="Z408" s="249"/>
      <c r="AA408" s="256"/>
      <c r="AB408" s="74"/>
      <c r="AC408" s="74"/>
      <c r="AD408" s="256">
        <v>0</v>
      </c>
    </row>
    <row r="409" spans="1:30" s="251" customFormat="1" ht="18" customHeight="1">
      <c r="A409" s="102">
        <v>30183</v>
      </c>
      <c r="B409" s="256">
        <v>1</v>
      </c>
      <c r="C409" s="201">
        <v>46147</v>
      </c>
      <c r="D409" s="105">
        <f t="shared" ca="1" si="15"/>
        <v>80</v>
      </c>
      <c r="E409" s="138" t="str">
        <f t="shared" si="14"/>
        <v>ADMITIDO</v>
      </c>
      <c r="F409" s="117" t="s">
        <v>28</v>
      </c>
      <c r="G409" s="147" t="s">
        <v>145</v>
      </c>
      <c r="H409" s="117" t="s">
        <v>40</v>
      </c>
      <c r="I409" s="117" t="str">
        <f>IF(X409="ADMITIDO","ADMITIDO",IF(X409="CANCELADA","CANCELADA",IF(H409="","",IFERROR(_xlfn.XLOOKUP(H409,Listas!I:I,Listas!J:J),"OUTROS"))))</f>
        <v>ADMITIDO</v>
      </c>
      <c r="J409" s="359" t="s">
        <v>1150</v>
      </c>
      <c r="K409" s="248" t="s">
        <v>103</v>
      </c>
      <c r="L409" s="248" t="s">
        <v>194</v>
      </c>
      <c r="M409" s="248"/>
      <c r="N409" s="248" t="s">
        <v>63</v>
      </c>
      <c r="O409" s="73" t="s">
        <v>34</v>
      </c>
      <c r="P409" s="73" t="s">
        <v>210</v>
      </c>
      <c r="Q409" s="73" t="s">
        <v>1153</v>
      </c>
      <c r="R409" s="74" t="s">
        <v>566</v>
      </c>
      <c r="S409" s="228"/>
      <c r="T409" s="229"/>
      <c r="U409" s="73" t="s">
        <v>132</v>
      </c>
      <c r="V409" s="220">
        <v>46148</v>
      </c>
      <c r="W409" s="203" t="s">
        <v>1154</v>
      </c>
      <c r="X409" s="117" t="s">
        <v>40</v>
      </c>
      <c r="Y409" s="249">
        <v>46150</v>
      </c>
      <c r="Z409" s="249">
        <v>46153</v>
      </c>
      <c r="AA409" s="256">
        <v>914245</v>
      </c>
      <c r="AB409" s="74"/>
      <c r="AC409" s="74"/>
      <c r="AD409" s="256">
        <v>0</v>
      </c>
    </row>
    <row r="410" spans="1:30" s="251" customFormat="1" ht="18" customHeight="1">
      <c r="A410" s="102">
        <v>30209</v>
      </c>
      <c r="B410" s="256">
        <v>1</v>
      </c>
      <c r="C410" s="201">
        <v>46147</v>
      </c>
      <c r="D410" s="105">
        <f t="shared" ca="1" si="15"/>
        <v>80</v>
      </c>
      <c r="E410" s="138" t="str">
        <f t="shared" si="14"/>
        <v>ADMITIDO</v>
      </c>
      <c r="F410" s="117" t="s">
        <v>42</v>
      </c>
      <c r="G410" s="147" t="s">
        <v>102</v>
      </c>
      <c r="H410" s="117" t="s">
        <v>40</v>
      </c>
      <c r="I410" s="117" t="str">
        <f>IF(X410="ADMITIDO","ADMITIDO",IF(X410="CANCELADA","CANCELADA",IF(H410="","",IFERROR(_xlfn.XLOOKUP(H410,Listas!I:I,Listas!J:J),"OUTROS"))))</f>
        <v>ADMITIDO</v>
      </c>
      <c r="J410" s="359" t="s">
        <v>53</v>
      </c>
      <c r="K410" s="248" t="s">
        <v>103</v>
      </c>
      <c r="L410" s="248" t="s">
        <v>194</v>
      </c>
      <c r="M410" s="248"/>
      <c r="N410" s="248" t="s">
        <v>63</v>
      </c>
      <c r="O410" s="73" t="s">
        <v>34</v>
      </c>
      <c r="P410" s="73" t="s">
        <v>219</v>
      </c>
      <c r="Q410" s="73" t="s">
        <v>238</v>
      </c>
      <c r="R410" s="74" t="s">
        <v>1492</v>
      </c>
      <c r="S410" s="228" t="s">
        <v>65</v>
      </c>
      <c r="T410" s="229"/>
      <c r="U410" s="73" t="s">
        <v>132</v>
      </c>
      <c r="V410" s="220">
        <v>46167</v>
      </c>
      <c r="W410" s="203" t="s">
        <v>1493</v>
      </c>
      <c r="X410" s="227" t="s">
        <v>40</v>
      </c>
      <c r="Y410" s="249">
        <v>46170</v>
      </c>
      <c r="Z410" s="249">
        <v>46174</v>
      </c>
      <c r="AA410" s="256">
        <v>914376</v>
      </c>
      <c r="AB410" s="74"/>
      <c r="AC410" s="74"/>
      <c r="AD410" s="256">
        <v>0</v>
      </c>
    </row>
    <row r="411" spans="1:30" s="251" customFormat="1" ht="18" customHeight="1">
      <c r="A411" s="102">
        <v>30215</v>
      </c>
      <c r="B411" s="256">
        <v>1</v>
      </c>
      <c r="C411" s="201">
        <v>46147</v>
      </c>
      <c r="D411" s="105">
        <f t="shared" ca="1" si="15"/>
        <v>80</v>
      </c>
      <c r="E411" s="138" t="str">
        <f t="shared" si="14"/>
        <v>ADMITIDO</v>
      </c>
      <c r="F411" s="117" t="s">
        <v>28</v>
      </c>
      <c r="G411" s="147" t="s">
        <v>29</v>
      </c>
      <c r="H411" s="117" t="s">
        <v>40</v>
      </c>
      <c r="I411" s="117" t="str">
        <f>IF(X411="ADMITIDO","ADMITIDO",IF(X411="CANCELADA","CANCELADA",IF(H411="","",IFERROR(_xlfn.XLOOKUP(H411,Listas!I:I,Listas!J:J),"OUTROS"))))</f>
        <v>ADMITIDO</v>
      </c>
      <c r="J411" s="359" t="s">
        <v>586</v>
      </c>
      <c r="K411" s="248" t="s">
        <v>86</v>
      </c>
      <c r="L411" s="248" t="s">
        <v>741</v>
      </c>
      <c r="M411" s="248"/>
      <c r="N411" s="248" t="s">
        <v>88</v>
      </c>
      <c r="O411" s="73" t="s">
        <v>34</v>
      </c>
      <c r="P411" s="73" t="s">
        <v>35</v>
      </c>
      <c r="Q411" s="73" t="s">
        <v>287</v>
      </c>
      <c r="R411" s="74"/>
      <c r="S411" s="228"/>
      <c r="T411" s="229" t="s">
        <v>1155</v>
      </c>
      <c r="U411" s="73" t="s">
        <v>38</v>
      </c>
      <c r="V411" s="220">
        <v>46156</v>
      </c>
      <c r="W411" s="203" t="s">
        <v>1156</v>
      </c>
      <c r="X411" s="227" t="s">
        <v>40</v>
      </c>
      <c r="Y411" s="249">
        <v>46162</v>
      </c>
      <c r="Z411" s="249">
        <v>46163</v>
      </c>
      <c r="AA411" s="256">
        <v>914306</v>
      </c>
      <c r="AB411" s="74"/>
      <c r="AC411" s="74"/>
      <c r="AD411" s="256">
        <v>0</v>
      </c>
    </row>
    <row r="412" spans="1:30" s="251" customFormat="1" ht="18" customHeight="1">
      <c r="A412" s="102">
        <v>30219</v>
      </c>
      <c r="B412" s="256">
        <v>1</v>
      </c>
      <c r="C412" s="201">
        <v>46148</v>
      </c>
      <c r="D412" s="105">
        <f t="shared" ca="1" si="15"/>
        <v>79</v>
      </c>
      <c r="E412" s="138" t="str">
        <f t="shared" si="14"/>
        <v>ADMITIDO</v>
      </c>
      <c r="F412" s="117" t="s">
        <v>28</v>
      </c>
      <c r="G412" s="117" t="s">
        <v>60</v>
      </c>
      <c r="H412" s="117" t="s">
        <v>40</v>
      </c>
      <c r="I412" s="117" t="str">
        <f>IF(X412="ADMITIDO","ADMITIDO",IF(X412="CANCELADA","CANCELADA",IF(H412="","",IFERROR(_xlfn.XLOOKUP(H412,Listas!I:I,Listas!J:J),"OUTROS"))))</f>
        <v>ADMITIDO</v>
      </c>
      <c r="J412" s="359" t="s">
        <v>268</v>
      </c>
      <c r="K412" s="248" t="s">
        <v>330</v>
      </c>
      <c r="L412" s="248" t="s">
        <v>1157</v>
      </c>
      <c r="M412" s="248"/>
      <c r="N412" s="248" t="s">
        <v>63</v>
      </c>
      <c r="O412" s="73" t="s">
        <v>34</v>
      </c>
      <c r="P412" s="73" t="s">
        <v>48</v>
      </c>
      <c r="Q412" s="73" t="s">
        <v>1158</v>
      </c>
      <c r="R412" s="74"/>
      <c r="S412" s="228"/>
      <c r="T412" s="229"/>
      <c r="U412" s="73" t="s">
        <v>76</v>
      </c>
      <c r="V412" s="220">
        <v>46149</v>
      </c>
      <c r="W412" s="203" t="s">
        <v>1159</v>
      </c>
      <c r="X412" s="119" t="s">
        <v>40</v>
      </c>
      <c r="Y412" s="249">
        <v>46153</v>
      </c>
      <c r="Z412" s="249">
        <v>46155</v>
      </c>
      <c r="AA412" s="256">
        <v>914261</v>
      </c>
      <c r="AB412" s="74" t="s">
        <v>1160</v>
      </c>
      <c r="AC412" s="74"/>
      <c r="AD412" s="256">
        <v>0</v>
      </c>
    </row>
    <row r="413" spans="1:30" s="251" customFormat="1" ht="18" customHeight="1">
      <c r="A413" s="102">
        <v>30236</v>
      </c>
      <c r="B413" s="256">
        <v>1</v>
      </c>
      <c r="C413" s="201">
        <v>46148</v>
      </c>
      <c r="D413" s="105">
        <f t="shared" ca="1" si="15"/>
        <v>79</v>
      </c>
      <c r="E413" s="138" t="str">
        <f t="shared" si="14"/>
        <v>ADMITIDO</v>
      </c>
      <c r="F413" s="117" t="s">
        <v>28</v>
      </c>
      <c r="G413" s="147" t="s">
        <v>43</v>
      </c>
      <c r="H413" s="117" t="s">
        <v>40</v>
      </c>
      <c r="I413" s="117" t="str">
        <f>IF(X413="ADMITIDO","ADMITIDO",IF(X413="CANCELADA","CANCELADA",IF(H413="","",IFERROR(_xlfn.XLOOKUP(H413,Listas!I:I,Listas!J:J),"OUTROS"))))</f>
        <v>ADMITIDO</v>
      </c>
      <c r="J413" s="359" t="s">
        <v>487</v>
      </c>
      <c r="K413" s="248" t="s">
        <v>189</v>
      </c>
      <c r="L413" s="248" t="s">
        <v>869</v>
      </c>
      <c r="M413" s="248"/>
      <c r="N413" s="248" t="s">
        <v>337</v>
      </c>
      <c r="O413" s="73" t="s">
        <v>34</v>
      </c>
      <c r="P413" s="73" t="s">
        <v>35</v>
      </c>
      <c r="Q413" s="73" t="s">
        <v>362</v>
      </c>
      <c r="R413" s="74"/>
      <c r="S413" s="228" t="s">
        <v>1161</v>
      </c>
      <c r="T413" s="229">
        <v>21982787116</v>
      </c>
      <c r="U413" s="73" t="s">
        <v>67</v>
      </c>
      <c r="V413" s="220">
        <v>46156</v>
      </c>
      <c r="W413" s="203" t="s">
        <v>1162</v>
      </c>
      <c r="X413" s="227" t="s">
        <v>40</v>
      </c>
      <c r="Y413" s="249">
        <v>46170</v>
      </c>
      <c r="Z413" s="249">
        <v>46170</v>
      </c>
      <c r="AA413" s="256">
        <v>914350</v>
      </c>
      <c r="AB413" s="74" t="s">
        <v>1163</v>
      </c>
      <c r="AC413" s="74"/>
      <c r="AD413" s="256">
        <v>0</v>
      </c>
    </row>
    <row r="414" spans="1:30" s="251" customFormat="1" ht="18" customHeight="1">
      <c r="A414" s="102">
        <v>30231</v>
      </c>
      <c r="B414" s="256">
        <v>1</v>
      </c>
      <c r="C414" s="201">
        <v>46148</v>
      </c>
      <c r="D414" s="105">
        <f t="shared" ca="1" si="15"/>
        <v>79</v>
      </c>
      <c r="E414" s="138" t="str">
        <f t="shared" si="14"/>
        <v>ADMITIDO</v>
      </c>
      <c r="F414" s="117" t="s">
        <v>171</v>
      </c>
      <c r="G414" s="147" t="s">
        <v>663</v>
      </c>
      <c r="H414" s="117" t="s">
        <v>40</v>
      </c>
      <c r="I414" s="117" t="str">
        <f>IF(X414="ADMITIDO","ADMITIDO",IF(X414="CANCELADA","CANCELADA",IF(H414="","",IFERROR(_xlfn.XLOOKUP(H414,Listas!I:I,Listas!J:J),"OUTROS"))))</f>
        <v>ADMITIDO</v>
      </c>
      <c r="J414" s="359" t="s">
        <v>172</v>
      </c>
      <c r="K414" s="248" t="s">
        <v>31</v>
      </c>
      <c r="L414" s="248" t="s">
        <v>32</v>
      </c>
      <c r="M414" s="248"/>
      <c r="N414" s="248" t="s">
        <v>88</v>
      </c>
      <c r="O414" s="73" t="s">
        <v>34</v>
      </c>
      <c r="P414" s="73" t="s">
        <v>35</v>
      </c>
      <c r="Q414" s="73" t="s">
        <v>36</v>
      </c>
      <c r="R414" s="74"/>
      <c r="S414" s="228"/>
      <c r="T414" s="229" t="s">
        <v>1164</v>
      </c>
      <c r="U414" s="73" t="s">
        <v>38</v>
      </c>
      <c r="V414" s="220">
        <v>46156</v>
      </c>
      <c r="W414" s="203" t="s">
        <v>1165</v>
      </c>
      <c r="X414" s="227" t="s">
        <v>40</v>
      </c>
      <c r="Y414" s="249">
        <v>46160</v>
      </c>
      <c r="Z414" s="249">
        <v>46160</v>
      </c>
      <c r="AA414" s="256">
        <v>83296</v>
      </c>
      <c r="AB414" s="74"/>
      <c r="AC414" s="74"/>
      <c r="AD414" s="256">
        <v>0</v>
      </c>
    </row>
    <row r="415" spans="1:30" s="251" customFormat="1" ht="18" customHeight="1">
      <c r="A415" s="102">
        <v>30180</v>
      </c>
      <c r="B415" s="256">
        <v>1</v>
      </c>
      <c r="C415" s="201">
        <v>46146</v>
      </c>
      <c r="D415" s="105">
        <f ca="1">TODAY()-C415</f>
        <v>81</v>
      </c>
      <c r="E415" s="138" t="str">
        <f t="shared" si="14"/>
        <v>ADMITIDO</v>
      </c>
      <c r="F415" s="117" t="s">
        <v>42</v>
      </c>
      <c r="G415" s="117" t="s">
        <v>240</v>
      </c>
      <c r="H415" s="117" t="s">
        <v>40</v>
      </c>
      <c r="I415" s="117" t="str">
        <f>IF(X415="ADMITIDO","ADMITIDO",IF(X415="CANCELADA","CANCELADA",IF(H415="","",IFERROR(_xlfn.XLOOKUP(H415,Listas!I:I,Listas!J:J),"OUTROS"))))</f>
        <v>ADMITIDO</v>
      </c>
      <c r="J415" s="359" t="s">
        <v>53</v>
      </c>
      <c r="K415" s="73" t="s">
        <v>241</v>
      </c>
      <c r="L415" s="73" t="s">
        <v>1094</v>
      </c>
      <c r="M415" s="73"/>
      <c r="N415" s="73" t="s">
        <v>243</v>
      </c>
      <c r="O415" s="73" t="s">
        <v>34</v>
      </c>
      <c r="P415" s="73" t="s">
        <v>57</v>
      </c>
      <c r="Q415" s="73" t="s">
        <v>231</v>
      </c>
      <c r="R415" s="74"/>
      <c r="S415" s="228"/>
      <c r="T415" s="229" t="s">
        <v>1166</v>
      </c>
      <c r="U415" s="73" t="s">
        <v>132</v>
      </c>
      <c r="V415" s="220">
        <v>46153</v>
      </c>
      <c r="W415" s="203" t="s">
        <v>1167</v>
      </c>
      <c r="X415" s="119" t="s">
        <v>40</v>
      </c>
      <c r="Y415" s="249">
        <v>46155</v>
      </c>
      <c r="Z415" s="249">
        <v>46160</v>
      </c>
      <c r="AA415" s="224">
        <v>145960</v>
      </c>
      <c r="AB415" s="74"/>
      <c r="AC415" s="74"/>
      <c r="AD415" s="256">
        <v>0</v>
      </c>
    </row>
    <row r="416" spans="1:30" s="251" customFormat="1" ht="18" customHeight="1">
      <c r="A416" s="122">
        <v>30229</v>
      </c>
      <c r="B416" s="256">
        <v>1</v>
      </c>
      <c r="C416" s="201">
        <v>46148</v>
      </c>
      <c r="D416" s="105">
        <f t="shared" ca="1" si="15"/>
        <v>79</v>
      </c>
      <c r="E416" s="138" t="str">
        <f t="shared" si="14"/>
        <v>ADMITIDO</v>
      </c>
      <c r="F416" s="117" t="s">
        <v>171</v>
      </c>
      <c r="G416" s="147" t="s">
        <v>240</v>
      </c>
      <c r="H416" s="117" t="s">
        <v>40</v>
      </c>
      <c r="I416" s="117" t="str">
        <f>IF(X416="ADMITIDO","ADMITIDO",IF(X416="CANCELADA","CANCELADA",IF(H416="","",IFERROR(_xlfn.XLOOKUP(H416,Listas!I:I,Listas!J:J),"OUTROS"))))</f>
        <v>ADMITIDO</v>
      </c>
      <c r="J416" s="359" t="s">
        <v>514</v>
      </c>
      <c r="K416" s="248" t="s">
        <v>423</v>
      </c>
      <c r="L416" s="248" t="s">
        <v>307</v>
      </c>
      <c r="M416" s="248"/>
      <c r="N416" s="248" t="s">
        <v>243</v>
      </c>
      <c r="O416" s="73" t="s">
        <v>34</v>
      </c>
      <c r="P416" s="73" t="s">
        <v>35</v>
      </c>
      <c r="Q416" s="73" t="s">
        <v>36</v>
      </c>
      <c r="R416" s="74"/>
      <c r="S416" s="228" t="s">
        <v>65</v>
      </c>
      <c r="T416" s="229" t="s">
        <v>1494</v>
      </c>
      <c r="U416" s="73" t="s">
        <v>132</v>
      </c>
      <c r="V416" s="220">
        <v>46162</v>
      </c>
      <c r="W416" s="203" t="s">
        <v>1495</v>
      </c>
      <c r="X416" s="227" t="s">
        <v>40</v>
      </c>
      <c r="Y416" s="249">
        <v>46164</v>
      </c>
      <c r="Z416" s="249">
        <v>46168</v>
      </c>
      <c r="AA416" s="256">
        <v>83305</v>
      </c>
      <c r="AB416" s="74"/>
      <c r="AC416" s="74"/>
      <c r="AD416" s="256">
        <v>1</v>
      </c>
    </row>
    <row r="417" spans="1:30" s="251" customFormat="1" ht="18" customHeight="1">
      <c r="A417" s="122">
        <v>30235</v>
      </c>
      <c r="B417" s="256">
        <v>1</v>
      </c>
      <c r="C417" s="201">
        <v>46148</v>
      </c>
      <c r="D417" s="105">
        <f t="shared" ca="1" si="15"/>
        <v>79</v>
      </c>
      <c r="E417" s="138" t="str">
        <f t="shared" si="14"/>
        <v>ADMITIDO</v>
      </c>
      <c r="F417" s="117" t="s">
        <v>42</v>
      </c>
      <c r="G417" s="147" t="s">
        <v>240</v>
      </c>
      <c r="H417" s="117" t="s">
        <v>40</v>
      </c>
      <c r="I417" s="117" t="str">
        <f>IF(X417="ADMITIDO","ADMITIDO",IF(X417="CANCELADA","CANCELADA",IF(H417="","",IFERROR(_xlfn.XLOOKUP(H417,Listas!I:I,Listas!J:J),"OUTROS"))))</f>
        <v>ADMITIDO</v>
      </c>
      <c r="J417" s="359" t="s">
        <v>44</v>
      </c>
      <c r="K417" s="248" t="s">
        <v>241</v>
      </c>
      <c r="L417" s="248" t="s">
        <v>424</v>
      </c>
      <c r="M417" s="248"/>
      <c r="N417" s="248" t="s">
        <v>243</v>
      </c>
      <c r="O417" s="73" t="s">
        <v>34</v>
      </c>
      <c r="P417" s="73" t="s">
        <v>57</v>
      </c>
      <c r="Q417" s="73" t="s">
        <v>98</v>
      </c>
      <c r="R417" s="74"/>
      <c r="S417" s="228"/>
      <c r="T417" s="229"/>
      <c r="U417" s="73" t="s">
        <v>76</v>
      </c>
      <c r="V417" s="220">
        <v>46208</v>
      </c>
      <c r="W417" s="203" t="s">
        <v>1168</v>
      </c>
      <c r="X417" s="117" t="s">
        <v>40</v>
      </c>
      <c r="Y417" s="249">
        <v>46153</v>
      </c>
      <c r="Z417" s="249">
        <v>46154</v>
      </c>
      <c r="AA417" s="256">
        <v>914262</v>
      </c>
      <c r="AB417" s="74"/>
      <c r="AC417" s="74"/>
      <c r="AD417" s="256">
        <v>0</v>
      </c>
    </row>
    <row r="418" spans="1:30" s="251" customFormat="1" ht="18" customHeight="1">
      <c r="A418" s="122">
        <v>30218</v>
      </c>
      <c r="B418" s="256">
        <v>1</v>
      </c>
      <c r="C418" s="201">
        <v>46148</v>
      </c>
      <c r="D418" s="105">
        <f t="shared" ca="1" si="15"/>
        <v>79</v>
      </c>
      <c r="E418" s="138" t="str">
        <f t="shared" si="14"/>
        <v>ADMITIDO</v>
      </c>
      <c r="F418" s="117" t="s">
        <v>28</v>
      </c>
      <c r="G418" s="117" t="s">
        <v>60</v>
      </c>
      <c r="H418" s="117" t="s">
        <v>40</v>
      </c>
      <c r="I418" s="117" t="str">
        <f>IF(X418="ADMITIDO","ADMITIDO",IF(X418="CANCELADA","CANCELADA",IF(H418="","",IFERROR(_xlfn.XLOOKUP(H418,Listas!I:I,Listas!J:J),"OUTROS"))))</f>
        <v>ADMITIDO</v>
      </c>
      <c r="J418" s="359" t="s">
        <v>268</v>
      </c>
      <c r="K418" s="248" t="s">
        <v>330</v>
      </c>
      <c r="L418" s="248" t="s">
        <v>1017</v>
      </c>
      <c r="M418" s="248"/>
      <c r="N418" s="248" t="s">
        <v>435</v>
      </c>
      <c r="O418" s="73" t="s">
        <v>34</v>
      </c>
      <c r="P418" s="73" t="s">
        <v>35</v>
      </c>
      <c r="Q418" s="73" t="s">
        <v>362</v>
      </c>
      <c r="R418" s="74" t="s">
        <v>1496</v>
      </c>
      <c r="S418" s="228" t="s">
        <v>65</v>
      </c>
      <c r="T418" s="229" t="s">
        <v>1497</v>
      </c>
      <c r="U418" s="73" t="s">
        <v>109</v>
      </c>
      <c r="V418" s="220">
        <v>46169</v>
      </c>
      <c r="W418" s="203" t="s">
        <v>1498</v>
      </c>
      <c r="X418" s="227" t="s">
        <v>40</v>
      </c>
      <c r="Y418" s="249">
        <v>46171</v>
      </c>
      <c r="Z418" s="249">
        <v>46175</v>
      </c>
      <c r="AA418" s="256">
        <v>914382</v>
      </c>
      <c r="AB418" s="74" t="s">
        <v>1169</v>
      </c>
      <c r="AC418" s="74"/>
      <c r="AD418" s="256">
        <v>0</v>
      </c>
    </row>
    <row r="419" spans="1:30" s="251" customFormat="1" ht="18" customHeight="1">
      <c r="A419" s="122">
        <v>30233</v>
      </c>
      <c r="B419" s="256">
        <v>1</v>
      </c>
      <c r="C419" s="201">
        <v>46148</v>
      </c>
      <c r="D419" s="105">
        <f t="shared" ca="1" si="15"/>
        <v>79</v>
      </c>
      <c r="E419" s="138" t="str">
        <f t="shared" si="14"/>
        <v>ADMITIDO</v>
      </c>
      <c r="F419" s="117" t="s">
        <v>42</v>
      </c>
      <c r="G419" s="147" t="s">
        <v>663</v>
      </c>
      <c r="H419" s="117" t="s">
        <v>40</v>
      </c>
      <c r="I419" s="117" t="str">
        <f>IF(X419="ADMITIDO","ADMITIDO",IF(X419="CANCELADA","CANCELADA",IF(H419="","",IFERROR(_xlfn.XLOOKUP(H419,Listas!I:I,Listas!J:J),"OUTROS"))))</f>
        <v>ADMITIDO</v>
      </c>
      <c r="J419" s="359" t="s">
        <v>53</v>
      </c>
      <c r="K419" s="248" t="s">
        <v>228</v>
      </c>
      <c r="L419" s="248" t="s">
        <v>807</v>
      </c>
      <c r="M419" s="248"/>
      <c r="N419" s="248" t="s">
        <v>88</v>
      </c>
      <c r="O419" s="73" t="s">
        <v>34</v>
      </c>
      <c r="P419" s="73" t="s">
        <v>210</v>
      </c>
      <c r="Q419" s="73" t="s">
        <v>1170</v>
      </c>
      <c r="R419" s="74"/>
      <c r="S419" s="228"/>
      <c r="T419" s="229" t="s">
        <v>1499</v>
      </c>
      <c r="U419" s="73" t="s">
        <v>1203</v>
      </c>
      <c r="V419" s="220">
        <v>46164</v>
      </c>
      <c r="W419" s="271" t="s">
        <v>1500</v>
      </c>
      <c r="X419" s="227" t="s">
        <v>40</v>
      </c>
      <c r="Y419" s="249">
        <v>46176</v>
      </c>
      <c r="Z419" s="249">
        <v>46177</v>
      </c>
      <c r="AA419" s="256">
        <v>914388</v>
      </c>
      <c r="AB419" s="74" t="s">
        <v>1501</v>
      </c>
      <c r="AC419" s="74"/>
      <c r="AD419" s="256">
        <v>2</v>
      </c>
    </row>
    <row r="420" spans="1:30" s="251" customFormat="1" ht="18" customHeight="1">
      <c r="A420" s="102">
        <v>30234</v>
      </c>
      <c r="B420" s="256">
        <v>1</v>
      </c>
      <c r="C420" s="201">
        <v>46148</v>
      </c>
      <c r="D420" s="105">
        <f t="shared" ca="1" si="15"/>
        <v>79</v>
      </c>
      <c r="E420" s="138" t="str">
        <f t="shared" si="14"/>
        <v>ADMITIDO</v>
      </c>
      <c r="F420" s="117" t="s">
        <v>42</v>
      </c>
      <c r="G420" s="147" t="s">
        <v>102</v>
      </c>
      <c r="H420" s="117" t="s">
        <v>40</v>
      </c>
      <c r="I420" s="117" t="str">
        <f>IF(X420="ADMITIDO","ADMITIDO",IF(X420="CANCELADA","CANCELADA",IF(H420="","",IFERROR(_xlfn.XLOOKUP(H420,Listas!I:I,Listas!J:J),"OUTROS"))))</f>
        <v>ADMITIDO</v>
      </c>
      <c r="J420" s="359" t="s">
        <v>1049</v>
      </c>
      <c r="K420" s="248" t="s">
        <v>103</v>
      </c>
      <c r="L420" s="248" t="s">
        <v>1173</v>
      </c>
      <c r="M420" s="248"/>
      <c r="N420" s="248" t="s">
        <v>1174</v>
      </c>
      <c r="O420" s="73" t="s">
        <v>34</v>
      </c>
      <c r="P420" s="73" t="s">
        <v>57</v>
      </c>
      <c r="Q420" s="73" t="s">
        <v>1175</v>
      </c>
      <c r="R420" s="74" t="s">
        <v>1176</v>
      </c>
      <c r="S420" s="228"/>
      <c r="T420" s="229"/>
      <c r="U420" s="73" t="s">
        <v>132</v>
      </c>
      <c r="V420" s="220">
        <v>46149</v>
      </c>
      <c r="W420" s="203" t="s">
        <v>1177</v>
      </c>
      <c r="X420" s="119" t="s">
        <v>40</v>
      </c>
      <c r="Y420" s="249">
        <v>46162</v>
      </c>
      <c r="Z420" s="249">
        <v>46167</v>
      </c>
      <c r="AA420" s="256">
        <v>145959</v>
      </c>
      <c r="AB420" s="74"/>
      <c r="AC420" s="74"/>
      <c r="AD420" s="256">
        <v>0</v>
      </c>
    </row>
    <row r="421" spans="1:30" s="251" customFormat="1" ht="18" customHeight="1">
      <c r="A421" s="102">
        <v>30230</v>
      </c>
      <c r="B421" s="256">
        <v>1</v>
      </c>
      <c r="C421" s="201">
        <v>46148</v>
      </c>
      <c r="D421" s="105">
        <f t="shared" ca="1" si="15"/>
        <v>79</v>
      </c>
      <c r="E421" s="138" t="str">
        <f t="shared" si="14"/>
        <v>ADMITIDO</v>
      </c>
      <c r="F421" s="117" t="s">
        <v>171</v>
      </c>
      <c r="G421" s="147" t="s">
        <v>145</v>
      </c>
      <c r="H421" s="117" t="s">
        <v>40</v>
      </c>
      <c r="I421" s="117" t="str">
        <f>IF(X421="ADMITIDO","ADMITIDO",IF(X421="CANCELADA","CANCELADA",IF(H421="","",IFERROR(_xlfn.XLOOKUP(H421,Listas!I:I,Listas!J:J),"OUTROS"))))</f>
        <v>ADMITIDO</v>
      </c>
      <c r="J421" s="359" t="s">
        <v>787</v>
      </c>
      <c r="K421" s="248" t="s">
        <v>371</v>
      </c>
      <c r="L421" s="248" t="s">
        <v>895</v>
      </c>
      <c r="M421" s="248"/>
      <c r="N421" s="248" t="s">
        <v>391</v>
      </c>
      <c r="O421" s="73" t="s">
        <v>34</v>
      </c>
      <c r="P421" s="73" t="s">
        <v>35</v>
      </c>
      <c r="Q421" s="73" t="s">
        <v>362</v>
      </c>
      <c r="R421" s="74"/>
      <c r="S421" s="228" t="s">
        <v>373</v>
      </c>
      <c r="T421" s="229"/>
      <c r="U421" s="73" t="s">
        <v>132</v>
      </c>
      <c r="V421" s="220">
        <v>46156</v>
      </c>
      <c r="W421" s="203" t="s">
        <v>1178</v>
      </c>
      <c r="X421" s="227" t="s">
        <v>40</v>
      </c>
      <c r="Y421" s="249">
        <v>46160</v>
      </c>
      <c r="Z421" s="249">
        <v>46162</v>
      </c>
      <c r="AA421" s="256">
        <v>83297</v>
      </c>
      <c r="AB421" s="74"/>
      <c r="AC421" s="74"/>
      <c r="AD421" s="256">
        <v>0</v>
      </c>
    </row>
    <row r="422" spans="1:30" s="251" customFormat="1" ht="18" customHeight="1">
      <c r="A422" s="610">
        <v>30144</v>
      </c>
      <c r="B422" s="256">
        <v>1</v>
      </c>
      <c r="C422" s="201">
        <v>46148</v>
      </c>
      <c r="D422" s="105">
        <f t="shared" ca="1" si="15"/>
        <v>79</v>
      </c>
      <c r="E422" s="138" t="str">
        <f t="shared" si="14"/>
        <v>ADMITIDO</v>
      </c>
      <c r="F422" s="117" t="s">
        <v>171</v>
      </c>
      <c r="G422" s="147" t="s">
        <v>145</v>
      </c>
      <c r="H422" s="117" t="s">
        <v>40</v>
      </c>
      <c r="I422" s="117" t="str">
        <f>IF(X422="ADMITIDO","ADMITIDO",IF(X422="CANCELADA","CANCELADA",IF(H422="","",IFERROR(_xlfn.XLOOKUP(H422,Listas!I:I,Listas!J:J),"OUTROS"))))</f>
        <v>ADMITIDO</v>
      </c>
      <c r="J422" s="359" t="s">
        <v>514</v>
      </c>
      <c r="K422" s="248" t="s">
        <v>326</v>
      </c>
      <c r="L422" s="248" t="s">
        <v>255</v>
      </c>
      <c r="M422" s="248"/>
      <c r="N422" s="248" t="s">
        <v>63</v>
      </c>
      <c r="O422" s="73" t="s">
        <v>56</v>
      </c>
      <c r="P422" s="73" t="s">
        <v>1179</v>
      </c>
      <c r="Q422" s="73" t="s">
        <v>176</v>
      </c>
      <c r="R422" s="74"/>
      <c r="S422" s="228"/>
      <c r="T422" s="229"/>
      <c r="U422" s="73" t="s">
        <v>132</v>
      </c>
      <c r="V422" s="220">
        <v>46154</v>
      </c>
      <c r="W422" s="203" t="s">
        <v>1180</v>
      </c>
      <c r="X422" s="119" t="s">
        <v>40</v>
      </c>
      <c r="Y422" s="249">
        <v>46156</v>
      </c>
      <c r="Z422" s="249">
        <v>46157</v>
      </c>
      <c r="AA422" s="256">
        <v>83292</v>
      </c>
      <c r="AB422" s="74"/>
      <c r="AC422" s="74"/>
      <c r="AD422" s="256">
        <v>0</v>
      </c>
    </row>
    <row r="423" spans="1:30" s="251" customFormat="1" ht="18" customHeight="1">
      <c r="A423" s="610"/>
      <c r="B423" s="256">
        <v>1</v>
      </c>
      <c r="C423" s="201">
        <v>46148</v>
      </c>
      <c r="D423" s="105">
        <f t="shared" ca="1" si="15"/>
        <v>79</v>
      </c>
      <c r="E423" s="138" t="str">
        <f t="shared" si="14"/>
        <v>ADMITIDO</v>
      </c>
      <c r="F423" s="117" t="s">
        <v>171</v>
      </c>
      <c r="G423" s="147" t="s">
        <v>145</v>
      </c>
      <c r="H423" s="117" t="s">
        <v>40</v>
      </c>
      <c r="I423" s="117" t="str">
        <f>IF(X423="ADMITIDO","ADMITIDO",IF(X423="CANCELADA","CANCELADA",IF(H423="","",IFERROR(_xlfn.XLOOKUP(H423,Listas!I:I,Listas!J:J),"OUTROS"))))</f>
        <v>ADMITIDO</v>
      </c>
      <c r="J423" s="359" t="s">
        <v>514</v>
      </c>
      <c r="K423" s="248" t="s">
        <v>326</v>
      </c>
      <c r="L423" s="248" t="s">
        <v>255</v>
      </c>
      <c r="M423" s="248"/>
      <c r="N423" s="248" t="s">
        <v>63</v>
      </c>
      <c r="O423" s="73" t="s">
        <v>56</v>
      </c>
      <c r="P423" s="73" t="s">
        <v>35</v>
      </c>
      <c r="Q423" s="73" t="s">
        <v>176</v>
      </c>
      <c r="R423" s="74" t="s">
        <v>1181</v>
      </c>
      <c r="S423" s="228"/>
      <c r="T423" s="229"/>
      <c r="U423" s="73" t="s">
        <v>76</v>
      </c>
      <c r="V423" s="220">
        <v>46154</v>
      </c>
      <c r="W423" s="203" t="s">
        <v>1182</v>
      </c>
      <c r="X423" s="119" t="s">
        <v>40</v>
      </c>
      <c r="Y423" s="249">
        <v>46157</v>
      </c>
      <c r="Z423" s="249">
        <v>46160</v>
      </c>
      <c r="AA423" s="256">
        <v>83293</v>
      </c>
      <c r="AB423" s="74"/>
      <c r="AC423" s="74"/>
      <c r="AD423" s="256">
        <v>0</v>
      </c>
    </row>
    <row r="424" spans="1:30" s="251" customFormat="1" ht="18" customHeight="1">
      <c r="A424" s="377">
        <v>30227</v>
      </c>
      <c r="B424" s="378">
        <v>1</v>
      </c>
      <c r="C424" s="379">
        <v>46148</v>
      </c>
      <c r="D424" s="380">
        <f t="shared" ca="1" si="15"/>
        <v>79</v>
      </c>
      <c r="E424" s="381" t="str">
        <f t="shared" si="14"/>
        <v>CANCELADA</v>
      </c>
      <c r="F424" s="382" t="s">
        <v>42</v>
      </c>
      <c r="G424" s="390" t="s">
        <v>552</v>
      </c>
      <c r="H424" s="382" t="s">
        <v>52</v>
      </c>
      <c r="I424" s="382" t="str">
        <f>IF(X424="ADMITIDO","ADMITIDO",IF(X424="CANCELADA","CANCELADA",IF(H424="","",IFERROR(_xlfn.XLOOKUP(H424,Listas!I:I,Listas!J:J),"OUTROS"))))</f>
        <v>CANCELADA</v>
      </c>
      <c r="J424" s="248" t="s">
        <v>1183</v>
      </c>
      <c r="K424" s="248" t="s">
        <v>553</v>
      </c>
      <c r="L424" s="248" t="s">
        <v>1184</v>
      </c>
      <c r="M424" s="248"/>
      <c r="N424" s="248" t="s">
        <v>1029</v>
      </c>
      <c r="O424" s="73" t="s">
        <v>34</v>
      </c>
      <c r="P424" s="73" t="s">
        <v>48</v>
      </c>
      <c r="Q424" s="73" t="s">
        <v>131</v>
      </c>
      <c r="R424" s="74"/>
      <c r="S424" s="228"/>
      <c r="T424" s="229"/>
      <c r="U424" s="73"/>
      <c r="V424" s="220"/>
      <c r="W424" s="203"/>
      <c r="X424" s="73" t="s">
        <v>52</v>
      </c>
      <c r="Y424" s="249"/>
      <c r="Z424" s="249"/>
      <c r="AA424" s="256"/>
      <c r="AB424" s="74"/>
      <c r="AC424" s="74"/>
      <c r="AD424" s="256">
        <v>0</v>
      </c>
    </row>
    <row r="425" spans="1:30" s="251" customFormat="1" ht="18" customHeight="1">
      <c r="A425" s="102">
        <v>30225</v>
      </c>
      <c r="B425" s="256">
        <v>1</v>
      </c>
      <c r="C425" s="201">
        <v>46148</v>
      </c>
      <c r="D425" s="105">
        <f t="shared" ca="1" si="15"/>
        <v>79</v>
      </c>
      <c r="E425" s="138" t="str">
        <f t="shared" si="14"/>
        <v>ADMITIDO</v>
      </c>
      <c r="F425" s="117" t="s">
        <v>28</v>
      </c>
      <c r="G425" s="147" t="s">
        <v>552</v>
      </c>
      <c r="H425" s="117" t="s">
        <v>40</v>
      </c>
      <c r="I425" s="117" t="str">
        <f>IF(X425="ADMITIDO","ADMITIDO",IF(X425="CANCELADA","CANCELADA",IF(H425="","",IFERROR(_xlfn.XLOOKUP(H425,Listas!I:I,Listas!J:J),"OUTROS"))))</f>
        <v>ADMITIDO</v>
      </c>
      <c r="J425" s="359" t="s">
        <v>737</v>
      </c>
      <c r="K425" s="248" t="s">
        <v>553</v>
      </c>
      <c r="L425" s="248" t="s">
        <v>1185</v>
      </c>
      <c r="M425" s="248"/>
      <c r="N425" s="248" t="s">
        <v>1186</v>
      </c>
      <c r="O425" s="73" t="s">
        <v>34</v>
      </c>
      <c r="P425" s="73" t="s">
        <v>35</v>
      </c>
      <c r="Q425" s="73" t="s">
        <v>36</v>
      </c>
      <c r="R425" s="74"/>
      <c r="S425" s="228"/>
      <c r="T425" s="229"/>
      <c r="U425" s="73" t="s">
        <v>552</v>
      </c>
      <c r="V425" s="220">
        <v>46147</v>
      </c>
      <c r="W425" s="203" t="s">
        <v>1187</v>
      </c>
      <c r="X425" s="119" t="s">
        <v>40</v>
      </c>
      <c r="Y425" s="249">
        <v>46149</v>
      </c>
      <c r="Z425" s="249">
        <v>46150</v>
      </c>
      <c r="AA425" s="256">
        <v>914241</v>
      </c>
      <c r="AB425" s="74"/>
      <c r="AC425" s="74"/>
      <c r="AD425" s="256">
        <v>0</v>
      </c>
    </row>
    <row r="426" spans="1:30" s="251" customFormat="1" ht="18" customHeight="1">
      <c r="A426" s="102">
        <v>30232</v>
      </c>
      <c r="B426" s="256">
        <v>1</v>
      </c>
      <c r="C426" s="201">
        <v>46148</v>
      </c>
      <c r="D426" s="105">
        <f t="shared" ca="1" si="15"/>
        <v>79</v>
      </c>
      <c r="E426" s="138" t="str">
        <f t="shared" si="14"/>
        <v>ADMITIDO</v>
      </c>
      <c r="F426" s="117" t="s">
        <v>28</v>
      </c>
      <c r="G426" s="147" t="s">
        <v>69</v>
      </c>
      <c r="H426" s="117" t="s">
        <v>40</v>
      </c>
      <c r="I426" s="117" t="str">
        <f>IF(X426="ADMITIDO","ADMITIDO",IF(X426="CANCELADA","CANCELADA",IF(H426="","",IFERROR(_xlfn.XLOOKUP(H426,Listas!I:I,Listas!J:J),"OUTROS"))))</f>
        <v>ADMITIDO</v>
      </c>
      <c r="J426" s="359" t="s">
        <v>683</v>
      </c>
      <c r="K426" s="248" t="s">
        <v>173</v>
      </c>
      <c r="L426" s="248" t="s">
        <v>912</v>
      </c>
      <c r="M426" s="248"/>
      <c r="N426" s="248" t="s">
        <v>243</v>
      </c>
      <c r="O426" s="73" t="s">
        <v>56</v>
      </c>
      <c r="P426" s="73" t="s">
        <v>35</v>
      </c>
      <c r="Q426" s="73" t="s">
        <v>357</v>
      </c>
      <c r="R426" s="74"/>
      <c r="S426" s="228"/>
      <c r="T426" s="229"/>
      <c r="U426" s="73" t="s">
        <v>67</v>
      </c>
      <c r="V426" s="220">
        <v>46168</v>
      </c>
      <c r="W426" s="203" t="s">
        <v>1502</v>
      </c>
      <c r="X426" s="227" t="s">
        <v>40</v>
      </c>
      <c r="Y426" s="249">
        <v>46171</v>
      </c>
      <c r="Z426" s="249">
        <v>46172</v>
      </c>
      <c r="AA426" s="256">
        <v>914383</v>
      </c>
      <c r="AB426" s="74" t="s">
        <v>1503</v>
      </c>
      <c r="AC426" s="74"/>
      <c r="AD426" s="256">
        <v>1</v>
      </c>
    </row>
    <row r="427" spans="1:30" s="251" customFormat="1" ht="18" customHeight="1">
      <c r="A427" s="102">
        <v>30220</v>
      </c>
      <c r="B427" s="256">
        <v>1</v>
      </c>
      <c r="C427" s="201">
        <v>46149</v>
      </c>
      <c r="D427" s="105">
        <f t="shared" ca="1" si="15"/>
        <v>78</v>
      </c>
      <c r="E427" s="138" t="str">
        <f t="shared" si="14"/>
        <v>ADMITIDO</v>
      </c>
      <c r="F427" s="117" t="s">
        <v>42</v>
      </c>
      <c r="G427" s="147" t="s">
        <v>43</v>
      </c>
      <c r="H427" s="117" t="s">
        <v>40</v>
      </c>
      <c r="I427" s="117" t="str">
        <f>IF(X427="ADMITIDO","ADMITIDO",IF(X427="CANCELADA","CANCELADA",IF(H427="","",IFERROR(_xlfn.XLOOKUP(H427,Listas!I:I,Listas!J:J),"OUTROS"))))</f>
        <v>ADMITIDO</v>
      </c>
      <c r="J427" s="359" t="s">
        <v>53</v>
      </c>
      <c r="K427" s="248" t="s">
        <v>189</v>
      </c>
      <c r="L427" s="248" t="s">
        <v>869</v>
      </c>
      <c r="M427" s="248"/>
      <c r="N427" s="248" t="s">
        <v>337</v>
      </c>
      <c r="O427" s="73" t="s">
        <v>34</v>
      </c>
      <c r="P427" s="73" t="s">
        <v>48</v>
      </c>
      <c r="Q427" s="73" t="s">
        <v>131</v>
      </c>
      <c r="R427" s="74"/>
      <c r="S427" s="228"/>
      <c r="T427" s="229">
        <v>15991744641</v>
      </c>
      <c r="U427" s="73" t="s">
        <v>67</v>
      </c>
      <c r="V427" s="220">
        <v>46150</v>
      </c>
      <c r="W427" s="118" t="s">
        <v>1189</v>
      </c>
      <c r="X427" s="119" t="s">
        <v>40</v>
      </c>
      <c r="Y427" s="249">
        <v>46160</v>
      </c>
      <c r="Z427" s="249">
        <v>46160</v>
      </c>
      <c r="AA427" s="256">
        <v>145958</v>
      </c>
      <c r="AB427" s="74"/>
      <c r="AC427" s="74"/>
      <c r="AD427" s="256">
        <v>0</v>
      </c>
    </row>
    <row r="428" spans="1:30" s="251" customFormat="1" ht="18" customHeight="1">
      <c r="A428" s="102">
        <v>30222</v>
      </c>
      <c r="B428" s="256">
        <v>1</v>
      </c>
      <c r="C428" s="201">
        <v>46149</v>
      </c>
      <c r="D428" s="105">
        <f t="shared" ca="1" si="15"/>
        <v>78</v>
      </c>
      <c r="E428" s="138" t="str">
        <f t="shared" si="14"/>
        <v>ADMITIDO</v>
      </c>
      <c r="F428" s="117" t="s">
        <v>42</v>
      </c>
      <c r="G428" s="147" t="s">
        <v>43</v>
      </c>
      <c r="H428" s="117" t="s">
        <v>40</v>
      </c>
      <c r="I428" s="117" t="str">
        <f>IF(X428="ADMITIDO","ADMITIDO",IF(X428="CANCELADA","CANCELADA",IF(H428="","",IFERROR(_xlfn.XLOOKUP(H428,Listas!I:I,Listas!J:J),"OUTROS"))))</f>
        <v>ADMITIDO</v>
      </c>
      <c r="J428" s="359" t="s">
        <v>53</v>
      </c>
      <c r="K428" s="248" t="s">
        <v>189</v>
      </c>
      <c r="L428" s="248" t="s">
        <v>869</v>
      </c>
      <c r="M428" s="248"/>
      <c r="N428" s="248" t="s">
        <v>337</v>
      </c>
      <c r="O428" s="73" t="s">
        <v>34</v>
      </c>
      <c r="P428" s="73" t="s">
        <v>48</v>
      </c>
      <c r="Q428" s="73" t="s">
        <v>131</v>
      </c>
      <c r="R428" s="74" t="s">
        <v>1190</v>
      </c>
      <c r="S428" s="228" t="s">
        <v>1191</v>
      </c>
      <c r="T428" s="252">
        <v>15997884308</v>
      </c>
      <c r="U428" s="73" t="s">
        <v>67</v>
      </c>
      <c r="V428" s="220">
        <v>46157</v>
      </c>
      <c r="W428" s="118" t="s">
        <v>1192</v>
      </c>
      <c r="X428" s="119" t="s">
        <v>40</v>
      </c>
      <c r="Y428" s="249">
        <v>46167</v>
      </c>
      <c r="Z428" s="249">
        <v>46167</v>
      </c>
      <c r="AA428" s="256">
        <v>145996</v>
      </c>
      <c r="AB428" s="74" t="s">
        <v>1504</v>
      </c>
      <c r="AC428" s="74"/>
      <c r="AD428" s="256">
        <v>0</v>
      </c>
    </row>
    <row r="429" spans="1:30" s="251" customFormat="1" ht="18" customHeight="1">
      <c r="A429" s="102">
        <v>30223</v>
      </c>
      <c r="B429" s="256">
        <v>1</v>
      </c>
      <c r="C429" s="201">
        <v>46149</v>
      </c>
      <c r="D429" s="105">
        <f t="shared" ca="1" si="15"/>
        <v>78</v>
      </c>
      <c r="E429" s="138" t="str">
        <f t="shared" si="14"/>
        <v>ADMITIDO</v>
      </c>
      <c r="F429" s="117" t="s">
        <v>42</v>
      </c>
      <c r="G429" s="147" t="s">
        <v>43</v>
      </c>
      <c r="H429" s="117" t="s">
        <v>40</v>
      </c>
      <c r="I429" s="117" t="str">
        <f>IF(X429="ADMITIDO","ADMITIDO",IF(X429="CANCELADA","CANCELADA",IF(H429="","",IFERROR(_xlfn.XLOOKUP(H429,Listas!I:I,Listas!J:J),"OUTROS"))))</f>
        <v>ADMITIDO</v>
      </c>
      <c r="J429" s="359" t="s">
        <v>53</v>
      </c>
      <c r="K429" s="248" t="s">
        <v>189</v>
      </c>
      <c r="L429" s="248" t="s">
        <v>869</v>
      </c>
      <c r="M429" s="248"/>
      <c r="N429" s="248" t="s">
        <v>337</v>
      </c>
      <c r="O429" s="73" t="s">
        <v>34</v>
      </c>
      <c r="P429" s="73" t="s">
        <v>48</v>
      </c>
      <c r="Q429" s="73" t="s">
        <v>290</v>
      </c>
      <c r="R429" s="74"/>
      <c r="S429" s="228" t="s">
        <v>1505</v>
      </c>
      <c r="T429" s="252">
        <v>15997879547</v>
      </c>
      <c r="U429" s="73" t="s">
        <v>67</v>
      </c>
      <c r="V429" s="220">
        <v>46160</v>
      </c>
      <c r="W429" s="118" t="s">
        <v>1506</v>
      </c>
      <c r="X429" s="119" t="s">
        <v>40</v>
      </c>
      <c r="Y429" s="249">
        <v>46167</v>
      </c>
      <c r="Z429" s="249">
        <v>46167</v>
      </c>
      <c r="AA429" s="256">
        <v>145997</v>
      </c>
      <c r="AB429" s="74" t="s">
        <v>1507</v>
      </c>
      <c r="AC429" s="74"/>
      <c r="AD429" s="256">
        <v>0</v>
      </c>
    </row>
    <row r="430" spans="1:30" s="251" customFormat="1" ht="18" customHeight="1">
      <c r="A430" s="102">
        <v>30243</v>
      </c>
      <c r="B430" s="256">
        <v>1</v>
      </c>
      <c r="C430" s="201">
        <v>46149</v>
      </c>
      <c r="D430" s="105">
        <f t="shared" ca="1" si="15"/>
        <v>78</v>
      </c>
      <c r="E430" s="138" t="str">
        <f t="shared" si="14"/>
        <v>ADMITIDO</v>
      </c>
      <c r="F430" s="117" t="s">
        <v>28</v>
      </c>
      <c r="G430" s="147" t="s">
        <v>240</v>
      </c>
      <c r="H430" s="117" t="s">
        <v>40</v>
      </c>
      <c r="I430" s="117" t="str">
        <f>IF(X430="ADMITIDO","ADMITIDO",IF(X430="CANCELADA","CANCELADA",IF(H430="","",IFERROR(_xlfn.XLOOKUP(H430,Listas!I:I,Listas!J:J),"OUTROS"))))</f>
        <v>ADMITIDO</v>
      </c>
      <c r="J430" s="359" t="s">
        <v>268</v>
      </c>
      <c r="K430" s="248" t="s">
        <v>423</v>
      </c>
      <c r="L430" s="248" t="s">
        <v>502</v>
      </c>
      <c r="M430" s="248"/>
      <c r="N430" s="248" t="s">
        <v>63</v>
      </c>
      <c r="O430" s="73" t="s">
        <v>34</v>
      </c>
      <c r="P430" s="73" t="s">
        <v>35</v>
      </c>
      <c r="Q430" s="73" t="s">
        <v>36</v>
      </c>
      <c r="R430" s="74"/>
      <c r="S430" s="228"/>
      <c r="T430" s="229" t="s">
        <v>1194</v>
      </c>
      <c r="U430" s="73" t="s">
        <v>132</v>
      </c>
      <c r="V430" s="220">
        <v>46239</v>
      </c>
      <c r="W430" s="118" t="s">
        <v>1195</v>
      </c>
      <c r="X430" s="117" t="s">
        <v>40</v>
      </c>
      <c r="Y430" s="249">
        <v>46154</v>
      </c>
      <c r="Z430" s="249">
        <v>46156</v>
      </c>
      <c r="AA430" s="256">
        <v>914269</v>
      </c>
      <c r="AB430" s="74"/>
      <c r="AC430" s="74"/>
      <c r="AD430" s="256">
        <v>0</v>
      </c>
    </row>
    <row r="431" spans="1:30" s="251" customFormat="1" ht="18" customHeight="1">
      <c r="A431" s="102">
        <v>30239</v>
      </c>
      <c r="B431" s="256">
        <v>1</v>
      </c>
      <c r="C431" s="201">
        <v>46149</v>
      </c>
      <c r="D431" s="105">
        <f t="shared" ca="1" si="15"/>
        <v>78</v>
      </c>
      <c r="E431" s="138" t="str">
        <f t="shared" si="14"/>
        <v>ADMITIDO</v>
      </c>
      <c r="F431" s="117" t="s">
        <v>42</v>
      </c>
      <c r="G431" s="147" t="s">
        <v>29</v>
      </c>
      <c r="H431" s="117" t="s">
        <v>40</v>
      </c>
      <c r="I431" s="117" t="str">
        <f>IF(X431="ADMITIDO","ADMITIDO",IF(X431="CANCELADA","CANCELADA",IF(H431="","",IFERROR(_xlfn.XLOOKUP(H431,Listas!I:I,Listas!J:J),"OUTROS"))))</f>
        <v>ADMITIDO</v>
      </c>
      <c r="J431" s="359" t="s">
        <v>53</v>
      </c>
      <c r="K431" s="248" t="s">
        <v>54</v>
      </c>
      <c r="L431" s="248" t="s">
        <v>164</v>
      </c>
      <c r="M431" s="248"/>
      <c r="N431" s="248" t="s">
        <v>88</v>
      </c>
      <c r="O431" s="73" t="s">
        <v>34</v>
      </c>
      <c r="P431" s="73" t="s">
        <v>57</v>
      </c>
      <c r="Q431" s="73" t="s">
        <v>94</v>
      </c>
      <c r="R431" s="74"/>
      <c r="S431" s="228"/>
      <c r="T431" s="229"/>
      <c r="U431" s="73" t="s">
        <v>38</v>
      </c>
      <c r="V431" s="220">
        <v>46155</v>
      </c>
      <c r="W431" s="203" t="s">
        <v>1196</v>
      </c>
      <c r="X431" s="227" t="s">
        <v>40</v>
      </c>
      <c r="Y431" s="249">
        <v>46160</v>
      </c>
      <c r="Z431" s="249">
        <v>46161</v>
      </c>
      <c r="AA431" s="256">
        <v>145977</v>
      </c>
      <c r="AB431" s="74"/>
      <c r="AC431" s="74"/>
      <c r="AD431" s="256">
        <v>0</v>
      </c>
    </row>
    <row r="432" spans="1:30" s="251" customFormat="1" ht="18" customHeight="1">
      <c r="A432" s="102">
        <v>30200</v>
      </c>
      <c r="B432" s="256">
        <v>1</v>
      </c>
      <c r="C432" s="201">
        <v>46149</v>
      </c>
      <c r="D432" s="105">
        <f t="shared" ca="1" si="15"/>
        <v>78</v>
      </c>
      <c r="E432" s="138" t="str">
        <f t="shared" si="14"/>
        <v>ADMITIDO</v>
      </c>
      <c r="F432" s="117" t="s">
        <v>28</v>
      </c>
      <c r="G432" s="147" t="s">
        <v>60</v>
      </c>
      <c r="H432" s="117" t="s">
        <v>40</v>
      </c>
      <c r="I432" s="117" t="str">
        <f>IF(X432="ADMITIDO","ADMITIDO",IF(X432="CANCELADA","CANCELADA",IF(H432="","",IFERROR(_xlfn.XLOOKUP(H432,Listas!I:I,Listas!J:J),"OUTROS"))))</f>
        <v>ADMITIDO</v>
      </c>
      <c r="J432" s="359" t="s">
        <v>586</v>
      </c>
      <c r="K432" s="248" t="s">
        <v>318</v>
      </c>
      <c r="L432" s="248" t="s">
        <v>921</v>
      </c>
      <c r="M432" s="248"/>
      <c r="N432" s="248" t="s">
        <v>672</v>
      </c>
      <c r="O432" s="73" t="s">
        <v>56</v>
      </c>
      <c r="P432" s="73" t="s">
        <v>35</v>
      </c>
      <c r="Q432" s="73" t="s">
        <v>176</v>
      </c>
      <c r="R432" s="74" t="s">
        <v>1508</v>
      </c>
      <c r="S432" s="228"/>
      <c r="T432" s="229"/>
      <c r="U432" s="73" t="s">
        <v>109</v>
      </c>
      <c r="V432" s="220">
        <v>46171</v>
      </c>
      <c r="W432" s="118" t="s">
        <v>1509</v>
      </c>
      <c r="X432" s="227" t="s">
        <v>40</v>
      </c>
      <c r="Y432" s="249">
        <v>46178</v>
      </c>
      <c r="Z432" s="249">
        <v>46182</v>
      </c>
      <c r="AA432" s="256">
        <v>914394</v>
      </c>
      <c r="AB432" s="74" t="s">
        <v>1510</v>
      </c>
      <c r="AC432" s="74"/>
      <c r="AD432" s="256">
        <v>1</v>
      </c>
    </row>
    <row r="433" spans="1:30" s="251" customFormat="1" ht="18" customHeight="1">
      <c r="A433" s="102">
        <v>30244</v>
      </c>
      <c r="B433" s="256">
        <v>1</v>
      </c>
      <c r="C433" s="201">
        <v>46149</v>
      </c>
      <c r="D433" s="105">
        <f t="shared" ca="1" si="15"/>
        <v>78</v>
      </c>
      <c r="E433" s="138" t="str">
        <f t="shared" si="14"/>
        <v>ADMITIDO</v>
      </c>
      <c r="F433" s="117" t="s">
        <v>28</v>
      </c>
      <c r="G433" s="147" t="s">
        <v>43</v>
      </c>
      <c r="H433" s="117" t="s">
        <v>40</v>
      </c>
      <c r="I433" s="117" t="str">
        <f>IF(X433="ADMITIDO","ADMITIDO",IF(X433="CANCELADA","CANCELADA",IF(H433="","",IFERROR(_xlfn.XLOOKUP(H433,Listas!I:I,Listas!J:J),"OUTROS"))))</f>
        <v>ADMITIDO</v>
      </c>
      <c r="J433" s="359" t="s">
        <v>1197</v>
      </c>
      <c r="K433" s="248" t="s">
        <v>1144</v>
      </c>
      <c r="L433" s="248" t="s">
        <v>386</v>
      </c>
      <c r="M433" s="248"/>
      <c r="N433" s="248" t="s">
        <v>243</v>
      </c>
      <c r="O433" s="73" t="s">
        <v>34</v>
      </c>
      <c r="P433" s="73" t="s">
        <v>210</v>
      </c>
      <c r="Q433" s="73" t="s">
        <v>1198</v>
      </c>
      <c r="R433" s="74"/>
      <c r="S433" s="228"/>
      <c r="T433" s="229">
        <v>11988548774</v>
      </c>
      <c r="U433" s="73" t="s">
        <v>50</v>
      </c>
      <c r="V433" s="220">
        <v>46153</v>
      </c>
      <c r="W433" s="118" t="s">
        <v>1199</v>
      </c>
      <c r="X433" s="119" t="s">
        <v>40</v>
      </c>
      <c r="Y433" s="249">
        <v>46155</v>
      </c>
      <c r="Z433" s="249">
        <v>46156</v>
      </c>
      <c r="AA433" s="256">
        <v>914270</v>
      </c>
      <c r="AB433" s="74"/>
      <c r="AC433" s="74"/>
      <c r="AD433" s="256">
        <v>0</v>
      </c>
    </row>
    <row r="434" spans="1:30" s="251" customFormat="1" ht="18" customHeight="1">
      <c r="A434" s="377">
        <v>30245</v>
      </c>
      <c r="B434" s="378">
        <v>1</v>
      </c>
      <c r="C434" s="379">
        <v>46149</v>
      </c>
      <c r="D434" s="380">
        <f t="shared" ca="1" si="15"/>
        <v>78</v>
      </c>
      <c r="E434" s="381" t="str">
        <f t="shared" si="14"/>
        <v>CANCELADA</v>
      </c>
      <c r="F434" s="382" t="s">
        <v>42</v>
      </c>
      <c r="G434" s="390" t="s">
        <v>29</v>
      </c>
      <c r="H434" s="382" t="s">
        <v>52</v>
      </c>
      <c r="I434" s="382" t="str">
        <f>IF(X434="ADMITIDO","ADMITIDO",IF(X434="CANCELADA","CANCELADA",IF(H434="","",IFERROR(_xlfn.XLOOKUP(H434,Listas!I:I,Listas!J:J),"OUTROS"))))</f>
        <v>CANCELADA</v>
      </c>
      <c r="J434" s="248" t="s">
        <v>44</v>
      </c>
      <c r="K434" s="248" t="s">
        <v>50</v>
      </c>
      <c r="L434" s="248" t="s">
        <v>1200</v>
      </c>
      <c r="M434" s="248"/>
      <c r="N434" s="248" t="s">
        <v>88</v>
      </c>
      <c r="O434" s="73" t="s">
        <v>34</v>
      </c>
      <c r="P434" s="73" t="s">
        <v>48</v>
      </c>
      <c r="Q434" s="73" t="s">
        <v>1201</v>
      </c>
      <c r="R434" s="74"/>
      <c r="S434" s="228"/>
      <c r="T434" s="229"/>
      <c r="U434" s="73"/>
      <c r="V434" s="220"/>
      <c r="W434" s="203"/>
      <c r="X434" s="227"/>
      <c r="Y434" s="249"/>
      <c r="Z434" s="249"/>
      <c r="AA434" s="256"/>
      <c r="AB434" s="74" t="s">
        <v>1511</v>
      </c>
      <c r="AC434" s="74" t="s">
        <v>1512</v>
      </c>
      <c r="AD434" s="256">
        <v>0</v>
      </c>
    </row>
    <row r="435" spans="1:30" s="251" customFormat="1" ht="18" customHeight="1">
      <c r="A435" s="102">
        <v>30246</v>
      </c>
      <c r="B435" s="256">
        <v>1</v>
      </c>
      <c r="C435" s="201">
        <v>46149</v>
      </c>
      <c r="D435" s="105">
        <f t="shared" ca="1" si="15"/>
        <v>78</v>
      </c>
      <c r="E435" s="138" t="str">
        <f t="shared" si="14"/>
        <v>ADMITIDO</v>
      </c>
      <c r="F435" s="117" t="s">
        <v>28</v>
      </c>
      <c r="G435" s="147" t="s">
        <v>29</v>
      </c>
      <c r="H435" s="117" t="s">
        <v>40</v>
      </c>
      <c r="I435" s="117" t="str">
        <f>IF(X435="ADMITIDO","ADMITIDO",IF(X435="CANCELADA","CANCELADA",IF(H435="","",IFERROR(_xlfn.XLOOKUP(H435,Listas!I:I,Listas!J:J),"OUTROS"))))</f>
        <v>ADMITIDO</v>
      </c>
      <c r="J435" s="359" t="s">
        <v>609</v>
      </c>
      <c r="K435" s="248" t="s">
        <v>86</v>
      </c>
      <c r="L435" s="248" t="s">
        <v>610</v>
      </c>
      <c r="M435" s="248"/>
      <c r="N435" s="248" t="s">
        <v>611</v>
      </c>
      <c r="O435" s="73" t="s">
        <v>34</v>
      </c>
      <c r="P435" s="73" t="s">
        <v>35</v>
      </c>
      <c r="Q435" s="73" t="s">
        <v>612</v>
      </c>
      <c r="R435" s="74"/>
      <c r="S435" s="228"/>
      <c r="T435" s="229" t="s">
        <v>1202</v>
      </c>
      <c r="U435" s="73" t="s">
        <v>1203</v>
      </c>
      <c r="V435" s="220">
        <v>46150</v>
      </c>
      <c r="W435" s="118" t="s">
        <v>1204</v>
      </c>
      <c r="X435" s="117" t="s">
        <v>40</v>
      </c>
      <c r="Y435" s="249">
        <v>46155</v>
      </c>
      <c r="Z435" s="249">
        <v>46156</v>
      </c>
      <c r="AA435" s="256">
        <v>914275</v>
      </c>
      <c r="AB435" s="74"/>
      <c r="AC435" s="74"/>
      <c r="AD435" s="256">
        <v>0</v>
      </c>
    </row>
    <row r="436" spans="1:30" s="251" customFormat="1" ht="18" customHeight="1">
      <c r="A436" s="102">
        <v>30237</v>
      </c>
      <c r="B436" s="256">
        <v>1</v>
      </c>
      <c r="C436" s="201">
        <v>46149</v>
      </c>
      <c r="D436" s="105">
        <f t="shared" ca="1" si="15"/>
        <v>78</v>
      </c>
      <c r="E436" s="138" t="str">
        <f t="shared" si="14"/>
        <v>ADMITIDO</v>
      </c>
      <c r="F436" s="117" t="s">
        <v>28</v>
      </c>
      <c r="G436" s="147" t="s">
        <v>29</v>
      </c>
      <c r="H436" s="117" t="s">
        <v>40</v>
      </c>
      <c r="I436" s="117" t="str">
        <f>IF(X436="ADMITIDO","ADMITIDO",IF(X436="CANCELADA","CANCELADA",IF(H436="","",IFERROR(_xlfn.XLOOKUP(H436,Listas!I:I,Listas!J:J),"OUTROS"))))</f>
        <v>ADMITIDO</v>
      </c>
      <c r="J436" s="359" t="s">
        <v>146</v>
      </c>
      <c r="K436" s="248" t="s">
        <v>31</v>
      </c>
      <c r="L436" s="248" t="s">
        <v>1205</v>
      </c>
      <c r="M436" s="248"/>
      <c r="N436" s="248" t="s">
        <v>205</v>
      </c>
      <c r="O436" s="73" t="s">
        <v>34</v>
      </c>
      <c r="P436" s="73" t="s">
        <v>35</v>
      </c>
      <c r="Q436" s="73" t="s">
        <v>36</v>
      </c>
      <c r="R436" s="74"/>
      <c r="S436" s="228" t="s">
        <v>899</v>
      </c>
      <c r="T436" s="229" t="s">
        <v>1513</v>
      </c>
      <c r="U436" s="73" t="s">
        <v>38</v>
      </c>
      <c r="V436" s="220">
        <v>46160</v>
      </c>
      <c r="W436" s="118" t="s">
        <v>1514</v>
      </c>
      <c r="X436" s="227" t="s">
        <v>40</v>
      </c>
      <c r="Y436" s="249">
        <v>46164</v>
      </c>
      <c r="Z436" s="249">
        <v>46165</v>
      </c>
      <c r="AA436" s="256">
        <v>914323</v>
      </c>
      <c r="AB436" s="74"/>
      <c r="AC436" s="74"/>
      <c r="AD436" s="256">
        <v>0</v>
      </c>
    </row>
    <row r="437" spans="1:30" s="251" customFormat="1" ht="18" customHeight="1">
      <c r="A437" s="102">
        <v>30226</v>
      </c>
      <c r="B437" s="256">
        <v>1</v>
      </c>
      <c r="C437" s="201">
        <v>46149</v>
      </c>
      <c r="D437" s="105">
        <f t="shared" ca="1" si="15"/>
        <v>78</v>
      </c>
      <c r="E437" s="138" t="str">
        <f t="shared" si="14"/>
        <v>ADMITIDO</v>
      </c>
      <c r="F437" s="117" t="s">
        <v>28</v>
      </c>
      <c r="G437" s="147" t="s">
        <v>43</v>
      </c>
      <c r="H437" s="268" t="s">
        <v>40</v>
      </c>
      <c r="I437" s="117" t="str">
        <f>IF(X437="ADMITIDO","ADMITIDO",IF(X437="CANCELADA","CANCELADA",IF(H437="","",IFERROR(_xlfn.XLOOKUP(H437,Listas!I:I,Listas!J:J),"OUTROS"))))</f>
        <v>ADMITIDO</v>
      </c>
      <c r="J437" s="359" t="s">
        <v>268</v>
      </c>
      <c r="K437" s="248" t="s">
        <v>360</v>
      </c>
      <c r="L437" s="264" t="s">
        <v>1515</v>
      </c>
      <c r="M437" s="264"/>
      <c r="N437" s="248" t="s">
        <v>33</v>
      </c>
      <c r="O437" s="73" t="s">
        <v>34</v>
      </c>
      <c r="P437" s="73" t="s">
        <v>35</v>
      </c>
      <c r="Q437" s="73" t="s">
        <v>36</v>
      </c>
      <c r="R437" s="74"/>
      <c r="S437" s="228"/>
      <c r="T437" s="229">
        <v>19974079663</v>
      </c>
      <c r="U437" s="73" t="s">
        <v>67</v>
      </c>
      <c r="V437" s="220">
        <v>46150</v>
      </c>
      <c r="W437" s="118" t="s">
        <v>1207</v>
      </c>
      <c r="X437" s="119" t="s">
        <v>40</v>
      </c>
      <c r="Y437" s="249">
        <v>46157</v>
      </c>
      <c r="Z437" s="249">
        <v>46157</v>
      </c>
      <c r="AA437" s="256">
        <v>914278</v>
      </c>
      <c r="AB437" s="74"/>
      <c r="AC437" s="74"/>
      <c r="AD437" s="256">
        <v>0</v>
      </c>
    </row>
    <row r="438" spans="1:30" s="251" customFormat="1" ht="18" customHeight="1">
      <c r="A438" s="102">
        <v>30224</v>
      </c>
      <c r="B438" s="256">
        <v>1</v>
      </c>
      <c r="C438" s="201">
        <v>46149</v>
      </c>
      <c r="D438" s="105">
        <f t="shared" ca="1" si="15"/>
        <v>78</v>
      </c>
      <c r="E438" s="138" t="str">
        <f t="shared" si="14"/>
        <v>ADMITIDO</v>
      </c>
      <c r="F438" s="117" t="s">
        <v>171</v>
      </c>
      <c r="G438" s="147" t="s">
        <v>43</v>
      </c>
      <c r="H438" s="117" t="s">
        <v>40</v>
      </c>
      <c r="I438" s="117" t="str">
        <f>IF(X438="ADMITIDO","ADMITIDO",IF(X438="CANCELADA","CANCELADA",IF(H438="","",IFERROR(_xlfn.XLOOKUP(H438,Listas!I:I,Listas!J:J),"OUTROS"))))</f>
        <v>ADMITIDO</v>
      </c>
      <c r="J438" s="359" t="s">
        <v>172</v>
      </c>
      <c r="K438" s="248" t="s">
        <v>360</v>
      </c>
      <c r="L438" s="248" t="s">
        <v>361</v>
      </c>
      <c r="M438" s="248"/>
      <c r="N438" s="248" t="s">
        <v>33</v>
      </c>
      <c r="O438" s="73" t="s">
        <v>34</v>
      </c>
      <c r="P438" s="73" t="s">
        <v>35</v>
      </c>
      <c r="Q438" s="73" t="s">
        <v>362</v>
      </c>
      <c r="R438" s="74"/>
      <c r="S438" s="228" t="s">
        <v>1208</v>
      </c>
      <c r="T438" s="229">
        <v>15997560314</v>
      </c>
      <c r="U438" s="73" t="s">
        <v>67</v>
      </c>
      <c r="V438" s="220">
        <v>46156</v>
      </c>
      <c r="W438" s="203" t="s">
        <v>1209</v>
      </c>
      <c r="X438" s="227" t="s">
        <v>40</v>
      </c>
      <c r="Y438" s="249">
        <v>46162</v>
      </c>
      <c r="Z438" s="249">
        <v>46162</v>
      </c>
      <c r="AA438" s="256">
        <v>83301</v>
      </c>
      <c r="AB438" s="74" t="s">
        <v>1210</v>
      </c>
      <c r="AC438" s="74"/>
      <c r="AD438" s="256">
        <v>0</v>
      </c>
    </row>
    <row r="439" spans="1:30" s="251" customFormat="1" ht="18" customHeight="1">
      <c r="A439" s="102">
        <v>30242</v>
      </c>
      <c r="B439" s="256">
        <v>1</v>
      </c>
      <c r="C439" s="201">
        <v>46149</v>
      </c>
      <c r="D439" s="105">
        <f t="shared" ca="1" si="15"/>
        <v>78</v>
      </c>
      <c r="E439" s="138" t="str">
        <f t="shared" si="14"/>
        <v>ADMITIDO</v>
      </c>
      <c r="F439" s="117" t="s">
        <v>171</v>
      </c>
      <c r="G439" s="147" t="s">
        <v>145</v>
      </c>
      <c r="H439" s="117" t="s">
        <v>40</v>
      </c>
      <c r="I439" s="117" t="str">
        <f>IF(X439="ADMITIDO","ADMITIDO",IF(X439="CANCELADA","CANCELADA",IF(H439="","",IFERROR(_xlfn.XLOOKUP(H439,Listas!I:I,Listas!J:J),"OUTROS"))))</f>
        <v>ADMITIDO</v>
      </c>
      <c r="J439" s="359" t="s">
        <v>787</v>
      </c>
      <c r="K439" s="248" t="s">
        <v>371</v>
      </c>
      <c r="L439" s="248" t="s">
        <v>62</v>
      </c>
      <c r="M439" s="248"/>
      <c r="N439" s="248" t="s">
        <v>63</v>
      </c>
      <c r="O439" s="73" t="s">
        <v>34</v>
      </c>
      <c r="P439" s="73" t="s">
        <v>35</v>
      </c>
      <c r="Q439" s="73" t="s">
        <v>36</v>
      </c>
      <c r="R439" s="74"/>
      <c r="S439" s="228"/>
      <c r="T439" s="229"/>
      <c r="U439" s="73" t="s">
        <v>132</v>
      </c>
      <c r="V439" s="220">
        <v>46149</v>
      </c>
      <c r="W439" s="203" t="s">
        <v>1211</v>
      </c>
      <c r="X439" s="119" t="s">
        <v>40</v>
      </c>
      <c r="Y439" s="249">
        <v>46153</v>
      </c>
      <c r="Z439" s="249">
        <v>46154</v>
      </c>
      <c r="AA439" s="256">
        <v>83283</v>
      </c>
      <c r="AB439" s="74"/>
      <c r="AC439" s="74"/>
      <c r="AD439" s="256">
        <v>0</v>
      </c>
    </row>
    <row r="440" spans="1:30" s="251" customFormat="1" ht="18" customHeight="1">
      <c r="A440" s="102">
        <v>30247</v>
      </c>
      <c r="B440" s="256">
        <v>1</v>
      </c>
      <c r="C440" s="201">
        <v>46149</v>
      </c>
      <c r="D440" s="105">
        <f t="shared" ca="1" si="15"/>
        <v>78</v>
      </c>
      <c r="E440" s="138" t="str">
        <f t="shared" si="14"/>
        <v>ADMITIDO</v>
      </c>
      <c r="F440" s="117" t="s">
        <v>28</v>
      </c>
      <c r="G440" s="147" t="s">
        <v>240</v>
      </c>
      <c r="H440" s="117" t="s">
        <v>40</v>
      </c>
      <c r="I440" s="117" t="str">
        <f>IF(X440="ADMITIDO","ADMITIDO",IF(X440="CANCELADA","CANCELADA",IF(H440="","",IFERROR(_xlfn.XLOOKUP(H440,Listas!I:I,Listas!J:J),"OUTROS"))))</f>
        <v>ADMITIDO</v>
      </c>
      <c r="J440" s="359" t="s">
        <v>268</v>
      </c>
      <c r="K440" s="248" t="s">
        <v>423</v>
      </c>
      <c r="L440" s="248" t="s">
        <v>1212</v>
      </c>
      <c r="M440" s="248"/>
      <c r="N440" s="248" t="s">
        <v>63</v>
      </c>
      <c r="O440" s="73" t="s">
        <v>34</v>
      </c>
      <c r="P440" s="73" t="s">
        <v>35</v>
      </c>
      <c r="Q440" s="73" t="s">
        <v>905</v>
      </c>
      <c r="R440" s="74"/>
      <c r="S440" s="228"/>
      <c r="T440" s="229" t="s">
        <v>1213</v>
      </c>
      <c r="U440" s="73" t="s">
        <v>76</v>
      </c>
      <c r="V440" s="220">
        <v>46153</v>
      </c>
      <c r="W440" s="118" t="s">
        <v>1214</v>
      </c>
      <c r="X440" s="117" t="s">
        <v>40</v>
      </c>
      <c r="Y440" s="249">
        <v>46155</v>
      </c>
      <c r="Z440" s="249">
        <v>46157</v>
      </c>
      <c r="AA440" s="256">
        <v>914276</v>
      </c>
      <c r="AB440" s="74"/>
      <c r="AC440" s="74"/>
      <c r="AD440" s="256">
        <v>0</v>
      </c>
    </row>
    <row r="441" spans="1:30" s="251" customFormat="1" ht="18" customHeight="1">
      <c r="A441" s="102">
        <v>30259</v>
      </c>
      <c r="B441" s="256">
        <v>1</v>
      </c>
      <c r="C441" s="201">
        <v>46150</v>
      </c>
      <c r="D441" s="105">
        <f t="shared" ca="1" si="15"/>
        <v>77</v>
      </c>
      <c r="E441" s="138" t="str">
        <f t="shared" si="14"/>
        <v>ADMITIDO</v>
      </c>
      <c r="F441" s="117" t="s">
        <v>28</v>
      </c>
      <c r="G441" s="147" t="s">
        <v>145</v>
      </c>
      <c r="H441" s="117" t="s">
        <v>40</v>
      </c>
      <c r="I441" s="117" t="str">
        <f>IF(X441="ADMITIDO","ADMITIDO",IF(X441="CANCELADA","CANCELADA",IF(H441="","",IFERROR(_xlfn.XLOOKUP(H441,Listas!I:I,Listas!J:J),"OUTROS"))))</f>
        <v>ADMITIDO</v>
      </c>
      <c r="J441" s="359" t="s">
        <v>268</v>
      </c>
      <c r="K441" s="248" t="s">
        <v>423</v>
      </c>
      <c r="L441" s="248" t="s">
        <v>242</v>
      </c>
      <c r="M441" s="248"/>
      <c r="N441" s="248" t="s">
        <v>243</v>
      </c>
      <c r="O441" s="73" t="s">
        <v>56</v>
      </c>
      <c r="P441" s="73" t="s">
        <v>35</v>
      </c>
      <c r="Q441" s="73" t="s">
        <v>760</v>
      </c>
      <c r="R441" s="74"/>
      <c r="S441" s="228"/>
      <c r="T441" s="229"/>
      <c r="U441" s="73" t="s">
        <v>132</v>
      </c>
      <c r="V441" s="220">
        <v>46155</v>
      </c>
      <c r="W441" s="203" t="s">
        <v>1215</v>
      </c>
      <c r="X441" s="119" t="s">
        <v>40</v>
      </c>
      <c r="Y441" s="249">
        <v>46157</v>
      </c>
      <c r="Z441" s="249">
        <v>46162</v>
      </c>
      <c r="AA441" s="256">
        <v>914292</v>
      </c>
      <c r="AB441" s="74"/>
      <c r="AC441" s="74"/>
      <c r="AD441" s="256">
        <v>0</v>
      </c>
    </row>
    <row r="442" spans="1:30" s="251" customFormat="1" ht="18" customHeight="1">
      <c r="A442" s="377">
        <v>30248</v>
      </c>
      <c r="B442" s="378">
        <v>1</v>
      </c>
      <c r="C442" s="379">
        <v>46150</v>
      </c>
      <c r="D442" s="380">
        <f t="shared" ca="1" si="15"/>
        <v>77</v>
      </c>
      <c r="E442" s="381" t="str">
        <f t="shared" si="14"/>
        <v>CANCELADA</v>
      </c>
      <c r="F442" s="382" t="s">
        <v>42</v>
      </c>
      <c r="G442" s="390" t="s">
        <v>552</v>
      </c>
      <c r="H442" s="382" t="s">
        <v>52</v>
      </c>
      <c r="I442" s="382" t="str">
        <f>IF(X442="ADMITIDO","ADMITIDO",IF(X442="CANCELADA","CANCELADA",IF(H442="","",IFERROR(_xlfn.XLOOKUP(H442,Listas!I:I,Listas!J:J),"OUTROS"))))</f>
        <v>CANCELADA</v>
      </c>
      <c r="J442" s="248" t="s">
        <v>44</v>
      </c>
      <c r="K442" s="248" t="s">
        <v>553</v>
      </c>
      <c r="L442" s="248" t="s">
        <v>1216</v>
      </c>
      <c r="M442" s="248"/>
      <c r="N442" s="248" t="s">
        <v>1186</v>
      </c>
      <c r="O442" s="73" t="s">
        <v>34</v>
      </c>
      <c r="P442" s="73" t="s">
        <v>1217</v>
      </c>
      <c r="Q442" s="73" t="s">
        <v>49</v>
      </c>
      <c r="R442" s="74"/>
      <c r="S442" s="228"/>
      <c r="T442" s="229"/>
      <c r="U442" s="73"/>
      <c r="V442" s="220"/>
      <c r="W442" s="203"/>
      <c r="X442" s="227" t="s">
        <v>52</v>
      </c>
      <c r="Y442" s="249"/>
      <c r="Z442" s="249"/>
      <c r="AA442" s="256"/>
      <c r="AB442" s="74"/>
      <c r="AC442" s="74" t="s">
        <v>1444</v>
      </c>
      <c r="AD442" s="256">
        <v>0</v>
      </c>
    </row>
    <row r="443" spans="1:30" s="251" customFormat="1" ht="18" customHeight="1">
      <c r="A443" s="102">
        <v>30249</v>
      </c>
      <c r="B443" s="256">
        <v>1</v>
      </c>
      <c r="C443" s="201">
        <v>46150</v>
      </c>
      <c r="D443" s="105">
        <f t="shared" ca="1" si="15"/>
        <v>77</v>
      </c>
      <c r="E443" s="138" t="str">
        <f t="shared" si="14"/>
        <v>ADMITIDO</v>
      </c>
      <c r="F443" s="117" t="s">
        <v>42</v>
      </c>
      <c r="G443" s="147" t="s">
        <v>29</v>
      </c>
      <c r="H443" s="117" t="s">
        <v>40</v>
      </c>
      <c r="I443" s="117" t="str">
        <f>IF(X443="ADMITIDO","ADMITIDO",IF(X443="CANCELADA","CANCELADA",IF(H443="","",IFERROR(_xlfn.XLOOKUP(H443,Listas!I:I,Listas!J:J),"OUTROS"))))</f>
        <v>ADMITIDO</v>
      </c>
      <c r="J443" s="359" t="s">
        <v>227</v>
      </c>
      <c r="K443" s="248" t="s">
        <v>228</v>
      </c>
      <c r="L443" s="248" t="s">
        <v>229</v>
      </c>
      <c r="M443" s="248"/>
      <c r="N443" s="248" t="s">
        <v>88</v>
      </c>
      <c r="O443" s="73" t="s">
        <v>34</v>
      </c>
      <c r="P443" s="73" t="s">
        <v>35</v>
      </c>
      <c r="Q443" s="73" t="s">
        <v>36</v>
      </c>
      <c r="R443" s="74"/>
      <c r="S443" s="228"/>
      <c r="T443" s="229" t="s">
        <v>1516</v>
      </c>
      <c r="U443" s="73" t="s">
        <v>38</v>
      </c>
      <c r="V443" s="220">
        <v>46059</v>
      </c>
      <c r="W443" s="118" t="s">
        <v>1517</v>
      </c>
      <c r="X443" s="227" t="s">
        <v>40</v>
      </c>
      <c r="Y443" s="249">
        <v>46178</v>
      </c>
      <c r="Z443" s="249">
        <v>46179</v>
      </c>
      <c r="AA443" s="256">
        <v>146055</v>
      </c>
      <c r="AB443" s="74" t="s">
        <v>1518</v>
      </c>
      <c r="AC443" s="74"/>
      <c r="AD443" s="256">
        <v>1</v>
      </c>
    </row>
    <row r="444" spans="1:30" s="251" customFormat="1" ht="18" customHeight="1">
      <c r="A444" s="102">
        <v>30267</v>
      </c>
      <c r="B444" s="256">
        <v>1</v>
      </c>
      <c r="C444" s="201">
        <v>46150</v>
      </c>
      <c r="D444" s="105">
        <f t="shared" ca="1" si="15"/>
        <v>77</v>
      </c>
      <c r="E444" s="138" t="str">
        <f t="shared" si="14"/>
        <v>ADMITIDO</v>
      </c>
      <c r="F444" s="117" t="s">
        <v>28</v>
      </c>
      <c r="G444" s="147" t="s">
        <v>145</v>
      </c>
      <c r="H444" s="117" t="s">
        <v>40</v>
      </c>
      <c r="I444" s="117" t="str">
        <f>IF(X444="ADMITIDO","ADMITIDO",IF(X444="CANCELADA","CANCELADA",IF(H444="","",IFERROR(_xlfn.XLOOKUP(H444,Listas!I:I,Listas!J:J),"OUTROS"))))</f>
        <v>ADMITIDO</v>
      </c>
      <c r="J444" s="359" t="s">
        <v>487</v>
      </c>
      <c r="K444" s="248" t="s">
        <v>203</v>
      </c>
      <c r="L444" s="248" t="s">
        <v>845</v>
      </c>
      <c r="M444" s="248"/>
      <c r="N444" s="248" t="s">
        <v>63</v>
      </c>
      <c r="O444" s="73" t="s">
        <v>56</v>
      </c>
      <c r="P444" s="73" t="s">
        <v>35</v>
      </c>
      <c r="Q444" s="73" t="s">
        <v>1218</v>
      </c>
      <c r="R444" s="74"/>
      <c r="S444" s="228" t="s">
        <v>373</v>
      </c>
      <c r="T444" s="229"/>
      <c r="U444" s="73" t="s">
        <v>132</v>
      </c>
      <c r="V444" s="220">
        <v>46161</v>
      </c>
      <c r="W444" s="118" t="s">
        <v>1519</v>
      </c>
      <c r="X444" s="119" t="s">
        <v>40</v>
      </c>
      <c r="Y444" s="249">
        <v>46163</v>
      </c>
      <c r="Z444" s="249">
        <v>46167</v>
      </c>
      <c r="AA444" s="256">
        <v>914327</v>
      </c>
      <c r="AB444" s="74"/>
      <c r="AC444" s="74"/>
      <c r="AD444" s="256">
        <v>0</v>
      </c>
    </row>
    <row r="445" spans="1:30" s="251" customFormat="1" ht="18" customHeight="1">
      <c r="A445" s="377">
        <v>30250</v>
      </c>
      <c r="B445" s="378">
        <v>1</v>
      </c>
      <c r="C445" s="379">
        <v>46150</v>
      </c>
      <c r="D445" s="380">
        <f t="shared" ca="1" si="15"/>
        <v>77</v>
      </c>
      <c r="E445" s="381" t="str">
        <f t="shared" si="14"/>
        <v>CANCELADA</v>
      </c>
      <c r="F445" s="382" t="s">
        <v>42</v>
      </c>
      <c r="G445" s="390" t="s">
        <v>69</v>
      </c>
      <c r="H445" s="382" t="s">
        <v>52</v>
      </c>
      <c r="I445" s="382" t="str">
        <f>IF(X445="ADMITIDO","ADMITIDO",IF(X445="CANCELADA","CANCELADA",IF(H445="","",IFERROR(_xlfn.XLOOKUP(H445,Listas!I:I,Listas!J:J),"OUTROS"))))</f>
        <v>CANCELADA</v>
      </c>
      <c r="J445" s="248" t="s">
        <v>44</v>
      </c>
      <c r="K445" s="248" t="s">
        <v>158</v>
      </c>
      <c r="L445" s="248" t="s">
        <v>1012</v>
      </c>
      <c r="M445" s="248"/>
      <c r="N445" s="248" t="s">
        <v>63</v>
      </c>
      <c r="O445" s="73" t="s">
        <v>34</v>
      </c>
      <c r="P445" s="73" t="s">
        <v>589</v>
      </c>
      <c r="Q445" s="73" t="s">
        <v>98</v>
      </c>
      <c r="R445" s="74"/>
      <c r="S445" s="228"/>
      <c r="T445" s="229"/>
      <c r="U445" s="73"/>
      <c r="V445" s="220"/>
      <c r="W445" s="203"/>
      <c r="X445" s="227"/>
      <c r="Y445" s="249"/>
      <c r="Z445" s="249"/>
      <c r="AA445" s="256"/>
      <c r="AB445" s="74"/>
      <c r="AC445" s="74"/>
      <c r="AD445" s="256">
        <v>0</v>
      </c>
    </row>
    <row r="446" spans="1:30" s="251" customFormat="1" ht="18" customHeight="1">
      <c r="A446" s="102">
        <v>30254</v>
      </c>
      <c r="B446" s="256">
        <v>1</v>
      </c>
      <c r="C446" s="201">
        <v>46150</v>
      </c>
      <c r="D446" s="105">
        <f t="shared" ca="1" si="15"/>
        <v>77</v>
      </c>
      <c r="E446" s="138" t="str">
        <f t="shared" si="14"/>
        <v>ADMITIDO</v>
      </c>
      <c r="F446" s="117" t="s">
        <v>28</v>
      </c>
      <c r="G446" s="147" t="s">
        <v>69</v>
      </c>
      <c r="H446" s="117" t="s">
        <v>40</v>
      </c>
      <c r="I446" s="117" t="str">
        <f>IF(X446="ADMITIDO","ADMITIDO",IF(X446="CANCELADA","CANCELADA",IF(H446="","",IFERROR(_xlfn.XLOOKUP(H446,Listas!I:I,Listas!J:J),"OUTROS"))))</f>
        <v>ADMITIDO</v>
      </c>
      <c r="J446" s="359" t="s">
        <v>268</v>
      </c>
      <c r="K446" s="248" t="s">
        <v>173</v>
      </c>
      <c r="L446" s="248" t="s">
        <v>747</v>
      </c>
      <c r="M446" s="248"/>
      <c r="N446" s="248" t="s">
        <v>63</v>
      </c>
      <c r="O446" s="73" t="s">
        <v>56</v>
      </c>
      <c r="P446" s="73" t="s">
        <v>35</v>
      </c>
      <c r="Q446" s="73" t="s">
        <v>176</v>
      </c>
      <c r="R446" s="74"/>
      <c r="S446" s="228"/>
      <c r="T446" s="229"/>
      <c r="U446" s="73" t="s">
        <v>132</v>
      </c>
      <c r="V446" s="220">
        <v>46156</v>
      </c>
      <c r="W446" s="203" t="s">
        <v>1220</v>
      </c>
      <c r="X446" s="227" t="s">
        <v>40</v>
      </c>
      <c r="Y446" s="249">
        <v>46162</v>
      </c>
      <c r="Z446" s="249">
        <v>46168</v>
      </c>
      <c r="AA446" s="256">
        <v>914317</v>
      </c>
      <c r="AB446" s="74"/>
      <c r="AC446" s="74"/>
      <c r="AD446" s="256">
        <v>0</v>
      </c>
    </row>
    <row r="447" spans="1:30" s="251" customFormat="1" ht="18" customHeight="1">
      <c r="A447" s="102">
        <v>30261</v>
      </c>
      <c r="B447" s="256">
        <v>1</v>
      </c>
      <c r="C447" s="201">
        <v>46150</v>
      </c>
      <c r="D447" s="105">
        <f t="shared" ca="1" si="15"/>
        <v>77</v>
      </c>
      <c r="E447" s="138" t="str">
        <f t="shared" si="14"/>
        <v>ADMITIDO</v>
      </c>
      <c r="F447" s="117" t="s">
        <v>28</v>
      </c>
      <c r="G447" s="147" t="s">
        <v>240</v>
      </c>
      <c r="H447" s="117" t="s">
        <v>40</v>
      </c>
      <c r="I447" s="117" t="str">
        <f>IF(X447="ADMITIDO","ADMITIDO",IF(X447="CANCELADA","CANCELADA",IF(H447="","",IFERROR(_xlfn.XLOOKUP(H447,Listas!I:I,Listas!J:J),"OUTROS"))))</f>
        <v>ADMITIDO</v>
      </c>
      <c r="J447" s="359" t="s">
        <v>268</v>
      </c>
      <c r="K447" s="248" t="s">
        <v>676</v>
      </c>
      <c r="L447" s="248" t="s">
        <v>424</v>
      </c>
      <c r="M447" s="248"/>
      <c r="N447" s="248" t="s">
        <v>243</v>
      </c>
      <c r="O447" s="73" t="s">
        <v>56</v>
      </c>
      <c r="P447" s="73" t="s">
        <v>35</v>
      </c>
      <c r="Q447" s="73" t="s">
        <v>176</v>
      </c>
      <c r="R447" s="74"/>
      <c r="S447" s="228" t="s">
        <v>899</v>
      </c>
      <c r="T447" s="229" t="s">
        <v>1221</v>
      </c>
      <c r="U447" s="73" t="s">
        <v>109</v>
      </c>
      <c r="V447" s="220">
        <v>46156</v>
      </c>
      <c r="W447" s="203" t="s">
        <v>1222</v>
      </c>
      <c r="X447" s="227" t="s">
        <v>40</v>
      </c>
      <c r="Y447" s="249">
        <v>46160</v>
      </c>
      <c r="Z447" s="249">
        <v>46161</v>
      </c>
      <c r="AA447" s="256">
        <v>914296</v>
      </c>
      <c r="AB447" s="74"/>
      <c r="AC447" s="74"/>
      <c r="AD447" s="256">
        <v>0</v>
      </c>
    </row>
    <row r="448" spans="1:30" s="251" customFormat="1" ht="18" customHeight="1">
      <c r="A448" s="102">
        <v>30260</v>
      </c>
      <c r="B448" s="256">
        <v>1</v>
      </c>
      <c r="C448" s="201">
        <v>46150</v>
      </c>
      <c r="D448" s="105">
        <f t="shared" ca="1" si="15"/>
        <v>77</v>
      </c>
      <c r="E448" s="138" t="str">
        <f t="shared" si="14"/>
        <v>ADMITIDO</v>
      </c>
      <c r="F448" s="117" t="s">
        <v>28</v>
      </c>
      <c r="G448" s="147" t="s">
        <v>240</v>
      </c>
      <c r="H448" s="117" t="s">
        <v>40</v>
      </c>
      <c r="I448" s="117" t="str">
        <f>IF(X448="ADMITIDO","ADMITIDO",IF(X448="CANCELADA","CANCELADA",IF(H448="","",IFERROR(_xlfn.XLOOKUP(H448,Listas!I:I,Listas!J:J),"OUTROS"))))</f>
        <v>ADMITIDO</v>
      </c>
      <c r="J448" s="359" t="s">
        <v>616</v>
      </c>
      <c r="K448" s="248" t="s">
        <v>676</v>
      </c>
      <c r="L448" s="248" t="s">
        <v>424</v>
      </c>
      <c r="M448" s="248"/>
      <c r="N448" s="248" t="s">
        <v>243</v>
      </c>
      <c r="O448" s="73" t="s">
        <v>56</v>
      </c>
      <c r="P448" s="73" t="s">
        <v>35</v>
      </c>
      <c r="Q448" s="73" t="s">
        <v>176</v>
      </c>
      <c r="R448" s="74" t="s">
        <v>1223</v>
      </c>
      <c r="S448" s="228" t="s">
        <v>65</v>
      </c>
      <c r="T448" s="229" t="s">
        <v>1224</v>
      </c>
      <c r="U448" s="73" t="s">
        <v>67</v>
      </c>
      <c r="V448" s="220">
        <v>46154</v>
      </c>
      <c r="W448" s="203" t="s">
        <v>1225</v>
      </c>
      <c r="X448" s="119" t="s">
        <v>40</v>
      </c>
      <c r="Y448" s="249">
        <v>46157</v>
      </c>
      <c r="Z448" s="249">
        <v>46158</v>
      </c>
      <c r="AA448" s="256">
        <v>914290</v>
      </c>
      <c r="AB448" s="74"/>
      <c r="AC448" s="74"/>
      <c r="AD448" s="256">
        <v>0</v>
      </c>
    </row>
    <row r="449" spans="1:30" s="251" customFormat="1" ht="18" customHeight="1">
      <c r="A449" s="377">
        <v>30258</v>
      </c>
      <c r="B449" s="378">
        <v>1</v>
      </c>
      <c r="C449" s="379">
        <v>46150</v>
      </c>
      <c r="D449" s="380">
        <f t="shared" ca="1" si="15"/>
        <v>77</v>
      </c>
      <c r="E449" s="391" t="str">
        <f>IF(X449="ADMITIDO","ADMITIDO",IF(X449="CANCELADA","CANCELADA",IF(H449="","",IF(H449="ADMITIDO","ADMITIDO",IF(H449="CANCELADA","CANCELADA",IF(OR(H449="ANALISE CANCELAMENTO",H449="ANÁLISE CANCELAMENTO"),"EM ANÁLISE",IF(D449="","",IF(D449&lt;=7,"NO PRAZO",IF(D449&lt;=14,"ATENÇÃO","CRÍTICO")))))))))</f>
        <v>CANCELADA</v>
      </c>
      <c r="F449" s="382" t="s">
        <v>42</v>
      </c>
      <c r="G449" s="390" t="s">
        <v>29</v>
      </c>
      <c r="H449" s="382" t="s">
        <v>52</v>
      </c>
      <c r="I449" s="382" t="str">
        <f>IF(X449="ADMITIDO","ADMITIDO",IF(X449="CANCELADA","CANCELADA",IF(H449="","",IFERROR(_xlfn.XLOOKUP(H449,Listas!I:I,Listas!J:J),"OUTROS"))))</f>
        <v>CANCELADA</v>
      </c>
      <c r="J449" s="248" t="s">
        <v>53</v>
      </c>
      <c r="K449" s="248" t="s">
        <v>228</v>
      </c>
      <c r="L449" s="248" t="s">
        <v>807</v>
      </c>
      <c r="M449" s="248"/>
      <c r="N449" s="248" t="s">
        <v>88</v>
      </c>
      <c r="O449" s="73" t="s">
        <v>34</v>
      </c>
      <c r="P449" s="73" t="s">
        <v>57</v>
      </c>
      <c r="Q449" s="73" t="s">
        <v>555</v>
      </c>
      <c r="R449" s="74" t="s">
        <v>1384</v>
      </c>
      <c r="S449" s="228"/>
      <c r="T449" s="229"/>
      <c r="U449" s="73"/>
      <c r="V449" s="220"/>
      <c r="W449" s="203"/>
      <c r="X449" s="227"/>
      <c r="Y449" s="249"/>
      <c r="Z449" s="249"/>
      <c r="AA449" s="256"/>
      <c r="AB449" s="74"/>
      <c r="AC449" s="74"/>
      <c r="AD449" s="256">
        <v>0</v>
      </c>
    </row>
    <row r="450" spans="1:30" s="251" customFormat="1" ht="18" customHeight="1">
      <c r="A450" s="102">
        <v>30266</v>
      </c>
      <c r="B450" s="256">
        <v>1</v>
      </c>
      <c r="C450" s="201">
        <v>46150</v>
      </c>
      <c r="D450" s="105">
        <f t="shared" ca="1" si="15"/>
        <v>77</v>
      </c>
      <c r="E450" s="138" t="str">
        <f t="shared" ref="E450:E513" si="16">IF(X450="ADMITIDO","ADMITIDO",IF(X450="CANCELADA","CANCELADA",IF(H450="","",IF(H450="ADMITIDO","ADMITIDO",IF(H450="CANCELADA","CANCELADA",IF(OR(H450="ANALISE CANCELAMENTO",H450="ANÁLISE CANCELAMENTO"),"EM ANÁLISE",IF(D450="","",IF(D450&lt;=7,"NO PRAZO",IF(D450&lt;=14,"ATENÇÃO","CRÍTICO")))))))))</f>
        <v>ADMITIDO</v>
      </c>
      <c r="F450" s="117" t="s">
        <v>42</v>
      </c>
      <c r="G450" s="147" t="s">
        <v>145</v>
      </c>
      <c r="H450" s="117" t="s">
        <v>40</v>
      </c>
      <c r="I450" s="117" t="str">
        <f>IF(X450="ADMITIDO","ADMITIDO",IF(X450="CANCELADA","CANCELADA",IF(H450="","",IFERROR(_xlfn.XLOOKUP(H450,Listas!I:I,Listas!J:J),"OUTROS"))))</f>
        <v>ADMITIDO</v>
      </c>
      <c r="J450" s="359" t="s">
        <v>44</v>
      </c>
      <c r="K450" s="248" t="s">
        <v>103</v>
      </c>
      <c r="L450" s="248" t="s">
        <v>1226</v>
      </c>
      <c r="M450" s="248"/>
      <c r="N450" s="248" t="s">
        <v>274</v>
      </c>
      <c r="O450" s="73" t="s">
        <v>34</v>
      </c>
      <c r="P450" s="73" t="s">
        <v>48</v>
      </c>
      <c r="Q450" s="73" t="s">
        <v>275</v>
      </c>
      <c r="R450" s="74"/>
      <c r="S450" s="228" t="s">
        <v>1520</v>
      </c>
      <c r="T450" s="229"/>
      <c r="U450" s="73" t="s">
        <v>132</v>
      </c>
      <c r="V450" s="220">
        <v>46161</v>
      </c>
      <c r="W450" s="203" t="s">
        <v>1521</v>
      </c>
      <c r="X450" s="227" t="s">
        <v>40</v>
      </c>
      <c r="Y450" s="249">
        <v>46168</v>
      </c>
      <c r="Z450" s="249">
        <v>46170</v>
      </c>
      <c r="AA450" s="256">
        <v>146018</v>
      </c>
      <c r="AB450" s="74"/>
      <c r="AC450" s="74"/>
      <c r="AD450" s="256">
        <v>0</v>
      </c>
    </row>
    <row r="451" spans="1:30" s="251" customFormat="1" ht="18" customHeight="1">
      <c r="A451" s="377">
        <v>30251</v>
      </c>
      <c r="B451" s="378">
        <v>1</v>
      </c>
      <c r="C451" s="379">
        <v>46150</v>
      </c>
      <c r="D451" s="380">
        <f t="shared" ca="1" si="15"/>
        <v>77</v>
      </c>
      <c r="E451" s="381" t="str">
        <f t="shared" si="16"/>
        <v>CANCELADA</v>
      </c>
      <c r="F451" s="382" t="s">
        <v>42</v>
      </c>
      <c r="G451" s="390" t="s">
        <v>69</v>
      </c>
      <c r="H451" s="382" t="s">
        <v>52</v>
      </c>
      <c r="I451" s="393" t="str">
        <f>IF(X451="ADMITIDO","ADMITIDO",IF(X451="CANCELADA","CANCELADA",IF(H451="","",IFERROR(_xlfn.XLOOKUP(H451,Listas!I:I,Listas!J:J),"OUTROS"))))</f>
        <v>CANCELADA</v>
      </c>
      <c r="J451" s="412" t="s">
        <v>44</v>
      </c>
      <c r="K451" s="412" t="s">
        <v>158</v>
      </c>
      <c r="L451" s="412" t="s">
        <v>1227</v>
      </c>
      <c r="M451" s="412"/>
      <c r="N451" s="412" t="s">
        <v>63</v>
      </c>
      <c r="O451" s="326" t="s">
        <v>34</v>
      </c>
      <c r="P451" s="326" t="s">
        <v>57</v>
      </c>
      <c r="Q451" s="326" t="s">
        <v>151</v>
      </c>
      <c r="R451" s="409" t="s">
        <v>1522</v>
      </c>
      <c r="S451" s="410"/>
      <c r="T451" s="411"/>
      <c r="U451" s="326"/>
      <c r="V451" s="335"/>
      <c r="W451" s="336"/>
      <c r="X451" s="413"/>
      <c r="Y451" s="354"/>
      <c r="Z451" s="354"/>
      <c r="AA451" s="365"/>
      <c r="AB451" s="409"/>
      <c r="AC451" s="409" t="s">
        <v>1523</v>
      </c>
      <c r="AD451" s="365">
        <v>0</v>
      </c>
    </row>
    <row r="452" spans="1:30" s="251" customFormat="1" ht="18" customHeight="1">
      <c r="A452" s="102">
        <v>30263</v>
      </c>
      <c r="B452" s="256">
        <v>1</v>
      </c>
      <c r="C452" s="201">
        <v>46150</v>
      </c>
      <c r="D452" s="105">
        <f t="shared" ca="1" si="15"/>
        <v>77</v>
      </c>
      <c r="E452" s="138" t="str">
        <f t="shared" si="16"/>
        <v>CANCELADA</v>
      </c>
      <c r="F452" s="117" t="s">
        <v>42</v>
      </c>
      <c r="G452" s="147" t="s">
        <v>102</v>
      </c>
      <c r="H452" s="117" t="s">
        <v>52</v>
      </c>
      <c r="I452" s="117" t="str">
        <f>IF(X452="ADMITIDO","ADMITIDO",IF(X452="CANCELADA","CANCELADA",IF(H452="","",IFERROR(_xlfn.XLOOKUP(H452,Listas!I:I,Listas!J:J),"OUTROS"))))</f>
        <v>CANCELADA</v>
      </c>
      <c r="J452" s="248" t="s">
        <v>163</v>
      </c>
      <c r="K452" s="248" t="s">
        <v>103</v>
      </c>
      <c r="L452" s="248" t="s">
        <v>1173</v>
      </c>
      <c r="M452" s="248"/>
      <c r="N452" s="248" t="s">
        <v>1174</v>
      </c>
      <c r="O452" s="73" t="s">
        <v>34</v>
      </c>
      <c r="P452" s="73" t="s">
        <v>57</v>
      </c>
      <c r="Q452" s="73" t="s">
        <v>216</v>
      </c>
      <c r="R452" s="74" t="s">
        <v>1524</v>
      </c>
      <c r="S452" s="228" t="s">
        <v>1525</v>
      </c>
      <c r="T452" s="229"/>
      <c r="U452" s="73"/>
      <c r="V452" s="220"/>
      <c r="W452" s="203"/>
      <c r="X452" s="227"/>
      <c r="Y452" s="249"/>
      <c r="Z452" s="249"/>
      <c r="AA452" s="256"/>
      <c r="AB452" s="203" t="s">
        <v>1526</v>
      </c>
      <c r="AC452" s="74" t="s">
        <v>1527</v>
      </c>
      <c r="AD452" s="256">
        <v>1</v>
      </c>
    </row>
    <row r="453" spans="1:30" s="251" customFormat="1" ht="18" customHeight="1">
      <c r="A453" s="388">
        <v>30252</v>
      </c>
      <c r="B453" s="384">
        <v>1</v>
      </c>
      <c r="C453" s="385">
        <v>46150</v>
      </c>
      <c r="D453" s="386">
        <f t="shared" ref="D453:D516" ca="1" si="17">TODAY()-C453</f>
        <v>77</v>
      </c>
      <c r="E453" s="170" t="str">
        <f t="shared" si="16"/>
        <v>ADMITIDO</v>
      </c>
      <c r="F453" s="139" t="s">
        <v>42</v>
      </c>
      <c r="G453" s="392" t="s">
        <v>69</v>
      </c>
      <c r="H453" s="139" t="s">
        <v>40</v>
      </c>
      <c r="I453" s="139" t="str">
        <f>IF(X453="ADMITIDO","ADMITIDO",IF(X453="CANCELADA","CANCELADA",IF(H453="","",IFERROR(_xlfn.XLOOKUP(H453,Listas!I:I,Listas!J:J),"OUTROS"))))</f>
        <v>ADMITIDO</v>
      </c>
      <c r="J453" s="421" t="s">
        <v>44</v>
      </c>
      <c r="K453" s="426" t="s">
        <v>158</v>
      </c>
      <c r="L453" s="426" t="s">
        <v>618</v>
      </c>
      <c r="M453" s="426"/>
      <c r="N453" s="426" t="s">
        <v>63</v>
      </c>
      <c r="O453" s="327" t="s">
        <v>34</v>
      </c>
      <c r="P453" s="327" t="s">
        <v>72</v>
      </c>
      <c r="Q453" s="327" t="s">
        <v>73</v>
      </c>
      <c r="R453" s="422"/>
      <c r="S453" s="423"/>
      <c r="T453" s="424"/>
      <c r="U453" s="327" t="s">
        <v>76</v>
      </c>
      <c r="V453" s="337">
        <v>46175</v>
      </c>
      <c r="W453" s="338" t="s">
        <v>1528</v>
      </c>
      <c r="X453" s="356" t="s">
        <v>40</v>
      </c>
      <c r="Y453" s="357">
        <v>46178</v>
      </c>
      <c r="Z453" s="357">
        <v>46181</v>
      </c>
      <c r="AA453" s="384">
        <v>146058</v>
      </c>
      <c r="AB453" s="338" t="s">
        <v>1529</v>
      </c>
      <c r="AC453" s="422"/>
      <c r="AD453" s="384">
        <v>1</v>
      </c>
    </row>
    <row r="454" spans="1:30" s="251" customFormat="1" ht="18" customHeight="1">
      <c r="A454" s="102">
        <v>30265</v>
      </c>
      <c r="B454" s="256">
        <v>1</v>
      </c>
      <c r="C454" s="201">
        <v>46150</v>
      </c>
      <c r="D454" s="105">
        <f t="shared" ca="1" si="17"/>
        <v>77</v>
      </c>
      <c r="E454" s="138" t="str">
        <f t="shared" si="16"/>
        <v>ADMITIDO</v>
      </c>
      <c r="F454" s="117" t="s">
        <v>42</v>
      </c>
      <c r="G454" s="147" t="s">
        <v>102</v>
      </c>
      <c r="H454" s="117" t="s">
        <v>40</v>
      </c>
      <c r="I454" s="117" t="str">
        <f>IF(X454="ADMITIDO","ADMITIDO",IF(X454="CANCELADA","CANCELADA",IF(H454="","",IFERROR(_xlfn.XLOOKUP(H454,Listas!I:I,Listas!J:J),"OUTROS"))))</f>
        <v>ADMITIDO</v>
      </c>
      <c r="J454" s="359" t="s">
        <v>44</v>
      </c>
      <c r="K454" s="248" t="s">
        <v>103</v>
      </c>
      <c r="L454" s="248" t="s">
        <v>1228</v>
      </c>
      <c r="M454" s="248"/>
      <c r="N454" s="248" t="s">
        <v>274</v>
      </c>
      <c r="O454" s="73" t="s">
        <v>34</v>
      </c>
      <c r="P454" s="73" t="s">
        <v>48</v>
      </c>
      <c r="Q454" s="73" t="s">
        <v>275</v>
      </c>
      <c r="R454" s="74" t="s">
        <v>1530</v>
      </c>
      <c r="S454" s="228" t="s">
        <v>1525</v>
      </c>
      <c r="T454" s="252"/>
      <c r="U454" s="73" t="s">
        <v>76</v>
      </c>
      <c r="V454" s="220">
        <v>46192</v>
      </c>
      <c r="W454" s="118" t="s">
        <v>1531</v>
      </c>
      <c r="X454" s="119" t="s">
        <v>40</v>
      </c>
      <c r="Y454" s="249">
        <v>46199</v>
      </c>
      <c r="Z454" s="249">
        <v>46203</v>
      </c>
      <c r="AA454" s="256">
        <v>146153</v>
      </c>
      <c r="AB454" s="74" t="s">
        <v>1532</v>
      </c>
      <c r="AC454" s="74"/>
      <c r="AD454" s="256">
        <v>2</v>
      </c>
    </row>
    <row r="455" spans="1:30" s="251" customFormat="1" ht="18" customHeight="1">
      <c r="A455" s="102">
        <v>30264</v>
      </c>
      <c r="B455" s="256">
        <v>1</v>
      </c>
      <c r="C455" s="201">
        <v>46150</v>
      </c>
      <c r="D455" s="105">
        <f t="shared" ca="1" si="17"/>
        <v>77</v>
      </c>
      <c r="E455" s="138" t="str">
        <f t="shared" si="16"/>
        <v>ADMITIDO</v>
      </c>
      <c r="F455" s="117" t="s">
        <v>42</v>
      </c>
      <c r="G455" s="147" t="s">
        <v>240</v>
      </c>
      <c r="H455" s="117" t="s">
        <v>40</v>
      </c>
      <c r="I455" s="117" t="str">
        <f>IF(X455="ADMITIDO","ADMITIDO",IF(X455="CANCELADA","CANCELADA",IF(H455="","",IFERROR(_xlfn.XLOOKUP(H455,Listas!I:I,Listas!J:J),"OUTROS"))))</f>
        <v>ADMITIDO</v>
      </c>
      <c r="J455" s="359" t="s">
        <v>53</v>
      </c>
      <c r="K455" s="248" t="s">
        <v>103</v>
      </c>
      <c r="L455" s="248" t="s">
        <v>488</v>
      </c>
      <c r="M455" s="248"/>
      <c r="N455" s="248" t="s">
        <v>63</v>
      </c>
      <c r="O455" s="73" t="s">
        <v>34</v>
      </c>
      <c r="P455" s="73" t="s">
        <v>210</v>
      </c>
      <c r="Q455" s="73" t="s">
        <v>1170</v>
      </c>
      <c r="R455" s="74"/>
      <c r="S455" s="228" t="s">
        <v>1533</v>
      </c>
      <c r="T455" s="229" t="s">
        <v>1534</v>
      </c>
      <c r="U455" s="73" t="s">
        <v>76</v>
      </c>
      <c r="V455" s="220" t="s">
        <v>1317</v>
      </c>
      <c r="W455" s="203" t="s">
        <v>1535</v>
      </c>
      <c r="X455" s="227" t="s">
        <v>40</v>
      </c>
      <c r="Y455" s="249">
        <v>46169</v>
      </c>
      <c r="Z455" s="249">
        <v>46174</v>
      </c>
      <c r="AA455" s="256">
        <v>146024</v>
      </c>
      <c r="AB455" s="74"/>
      <c r="AC455" s="74"/>
      <c r="AD455" s="256">
        <v>0</v>
      </c>
    </row>
    <row r="456" spans="1:30" s="251" customFormat="1" ht="18" customHeight="1">
      <c r="A456" s="102">
        <v>30262</v>
      </c>
      <c r="B456" s="256">
        <v>1</v>
      </c>
      <c r="C456" s="201">
        <v>46150</v>
      </c>
      <c r="D456" s="105">
        <f t="shared" ca="1" si="17"/>
        <v>77</v>
      </c>
      <c r="E456" s="138" t="str">
        <f t="shared" si="16"/>
        <v>ADMITIDO</v>
      </c>
      <c r="F456" s="117" t="s">
        <v>28</v>
      </c>
      <c r="G456" s="147" t="s">
        <v>240</v>
      </c>
      <c r="H456" s="117" t="s">
        <v>40</v>
      </c>
      <c r="I456" s="117" t="str">
        <f>IF(X456="ADMITIDO","ADMITIDO",IF(X456="CANCELADA","CANCELADA",IF(H456="","",IFERROR(_xlfn.XLOOKUP(H456,Listas!I:I,Listas!J:J),"OUTROS"))))</f>
        <v>ADMITIDO</v>
      </c>
      <c r="J456" s="359" t="s">
        <v>487</v>
      </c>
      <c r="K456" s="248" t="s">
        <v>676</v>
      </c>
      <c r="L456" s="248" t="s">
        <v>488</v>
      </c>
      <c r="M456" s="248"/>
      <c r="N456" s="248" t="s">
        <v>63</v>
      </c>
      <c r="O456" s="73" t="s">
        <v>56</v>
      </c>
      <c r="P456" s="73" t="s">
        <v>35</v>
      </c>
      <c r="Q456" s="73" t="s">
        <v>176</v>
      </c>
      <c r="R456" s="74"/>
      <c r="S456" s="228" t="s">
        <v>1229</v>
      </c>
      <c r="T456" s="229" t="s">
        <v>1230</v>
      </c>
      <c r="U456" s="73" t="s">
        <v>132</v>
      </c>
      <c r="V456" s="220">
        <v>46156</v>
      </c>
      <c r="W456" s="203" t="s">
        <v>1231</v>
      </c>
      <c r="X456" s="227" t="s">
        <v>40</v>
      </c>
      <c r="Y456" s="249">
        <v>46160</v>
      </c>
      <c r="Z456" s="249">
        <v>46162</v>
      </c>
      <c r="AA456" s="256">
        <v>914297</v>
      </c>
      <c r="AB456" s="74"/>
      <c r="AC456" s="74"/>
      <c r="AD456" s="256">
        <v>0</v>
      </c>
    </row>
    <row r="457" spans="1:30" s="251" customFormat="1" ht="18" customHeight="1">
      <c r="A457" s="102">
        <v>30255</v>
      </c>
      <c r="B457" s="256">
        <v>1</v>
      </c>
      <c r="C457" s="201">
        <v>46150</v>
      </c>
      <c r="D457" s="105">
        <f t="shared" ca="1" si="17"/>
        <v>77</v>
      </c>
      <c r="E457" s="138" t="str">
        <f t="shared" si="16"/>
        <v>ADMITIDO</v>
      </c>
      <c r="F457" s="117" t="s">
        <v>28</v>
      </c>
      <c r="G457" s="147" t="s">
        <v>29</v>
      </c>
      <c r="H457" s="117" t="s">
        <v>40</v>
      </c>
      <c r="I457" s="117" t="str">
        <f>IF(X457="ADMITIDO","ADMITIDO",IF(X457="CANCELADA","CANCELADA",IF(H457="","",IFERROR(_xlfn.XLOOKUP(H457,Listas!I:I,Listas!J:J),"OUTROS"))))</f>
        <v>ADMITIDO</v>
      </c>
      <c r="J457" s="359" t="s">
        <v>146</v>
      </c>
      <c r="K457" s="248" t="s">
        <v>614</v>
      </c>
      <c r="L457" s="248" t="s">
        <v>1232</v>
      </c>
      <c r="M457" s="248"/>
      <c r="N457" s="248" t="s">
        <v>88</v>
      </c>
      <c r="O457" s="73" t="s">
        <v>56</v>
      </c>
      <c r="P457" s="73" t="s">
        <v>35</v>
      </c>
      <c r="Q457" s="73" t="s">
        <v>357</v>
      </c>
      <c r="R457" s="74"/>
      <c r="S457" s="228"/>
      <c r="T457" s="229" t="s">
        <v>1233</v>
      </c>
      <c r="U457" s="73" t="s">
        <v>38</v>
      </c>
      <c r="V457" s="220">
        <v>46156</v>
      </c>
      <c r="W457" s="203" t="s">
        <v>1234</v>
      </c>
      <c r="X457" s="227" t="s">
        <v>40</v>
      </c>
      <c r="Y457" s="249">
        <v>46162</v>
      </c>
      <c r="Z457" s="249">
        <v>46163</v>
      </c>
      <c r="AA457" s="256">
        <v>914305</v>
      </c>
      <c r="AB457" s="74"/>
      <c r="AC457" s="74"/>
      <c r="AD457" s="256">
        <v>0</v>
      </c>
    </row>
    <row r="458" spans="1:30" s="251" customFormat="1" ht="18" customHeight="1">
      <c r="A458" s="377">
        <v>30285</v>
      </c>
      <c r="B458" s="378">
        <v>1</v>
      </c>
      <c r="C458" s="379">
        <v>46153</v>
      </c>
      <c r="D458" s="380">
        <f t="shared" ca="1" si="17"/>
        <v>74</v>
      </c>
      <c r="E458" s="381" t="str">
        <f t="shared" si="16"/>
        <v>CANCELADA</v>
      </c>
      <c r="F458" s="382" t="s">
        <v>42</v>
      </c>
      <c r="G458" s="390" t="s">
        <v>69</v>
      </c>
      <c r="H458" s="382" t="s">
        <v>52</v>
      </c>
      <c r="I458" s="382" t="str">
        <f>IF(X458="ADMITIDO","ADMITIDO",IF(X458="CANCELADA","CANCELADA",IF(H458="","",IFERROR(_xlfn.XLOOKUP(H458,Listas!I:I,Listas!J:J),"OUTROS"))))</f>
        <v>CANCELADA</v>
      </c>
      <c r="J458" s="248" t="s">
        <v>44</v>
      </c>
      <c r="K458" s="248" t="s">
        <v>70</v>
      </c>
      <c r="L458" s="248" t="s">
        <v>128</v>
      </c>
      <c r="M458" s="248"/>
      <c r="N458" s="248" t="s">
        <v>63</v>
      </c>
      <c r="O458" s="73" t="s">
        <v>34</v>
      </c>
      <c r="P458" s="73" t="s">
        <v>57</v>
      </c>
      <c r="Q458" s="73" t="s">
        <v>98</v>
      </c>
      <c r="R458" s="74"/>
      <c r="S458" s="228" t="s">
        <v>65</v>
      </c>
      <c r="T458" s="229"/>
      <c r="U458" s="73"/>
      <c r="V458" s="220"/>
      <c r="W458" s="203"/>
      <c r="X458" s="227" t="s">
        <v>52</v>
      </c>
      <c r="Y458" s="249"/>
      <c r="Z458" s="249"/>
      <c r="AA458" s="256"/>
      <c r="AB458" s="74" t="s">
        <v>1536</v>
      </c>
      <c r="AC458" s="74" t="s">
        <v>1295</v>
      </c>
      <c r="AD458" s="256">
        <v>1</v>
      </c>
    </row>
    <row r="459" spans="1:30" s="251" customFormat="1" ht="18" customHeight="1">
      <c r="A459" s="102">
        <v>30280</v>
      </c>
      <c r="B459" s="256">
        <v>1</v>
      </c>
      <c r="C459" s="201">
        <v>46153</v>
      </c>
      <c r="D459" s="105">
        <f t="shared" ca="1" si="17"/>
        <v>74</v>
      </c>
      <c r="E459" s="138" t="str">
        <f t="shared" si="16"/>
        <v>ADMITIDO</v>
      </c>
      <c r="F459" s="117" t="s">
        <v>28</v>
      </c>
      <c r="G459" s="147" t="s">
        <v>60</v>
      </c>
      <c r="H459" s="117" t="s">
        <v>40</v>
      </c>
      <c r="I459" s="117" t="str">
        <f>IF(X459="ADMITIDO","ADMITIDO",IF(X459="CANCELADA","CANCELADA",IF(H459="","",IFERROR(_xlfn.XLOOKUP(H459,Listas!I:I,Listas!J:J),"OUTROS"))))</f>
        <v>ADMITIDO</v>
      </c>
      <c r="J459" s="359" t="s">
        <v>586</v>
      </c>
      <c r="K459" s="248" t="s">
        <v>330</v>
      </c>
      <c r="L459" s="248" t="s">
        <v>996</v>
      </c>
      <c r="M459" s="248"/>
      <c r="N459" s="248" t="s">
        <v>63</v>
      </c>
      <c r="O459" s="73" t="s">
        <v>34</v>
      </c>
      <c r="P459" s="73" t="s">
        <v>35</v>
      </c>
      <c r="Q459" s="73" t="s">
        <v>36</v>
      </c>
      <c r="R459" s="74" t="s">
        <v>1537</v>
      </c>
      <c r="S459" s="228" t="s">
        <v>65</v>
      </c>
      <c r="T459" s="229" t="s">
        <v>1538</v>
      </c>
      <c r="U459" s="73" t="s">
        <v>109</v>
      </c>
      <c r="V459" s="220">
        <v>46175</v>
      </c>
      <c r="W459" s="203" t="s">
        <v>1539</v>
      </c>
      <c r="X459" s="227" t="s">
        <v>40</v>
      </c>
      <c r="Y459" s="249">
        <v>46178</v>
      </c>
      <c r="Z459" s="249">
        <v>46182</v>
      </c>
      <c r="AA459" s="256">
        <v>914400</v>
      </c>
      <c r="AB459" s="74" t="s">
        <v>1540</v>
      </c>
      <c r="AC459" s="74" t="s">
        <v>1393</v>
      </c>
      <c r="AD459" s="256">
        <v>1</v>
      </c>
    </row>
    <row r="460" spans="1:30" s="251" customFormat="1" ht="18" customHeight="1">
      <c r="A460" s="102">
        <v>30269</v>
      </c>
      <c r="B460" s="256">
        <v>1</v>
      </c>
      <c r="C460" s="201">
        <v>46153</v>
      </c>
      <c r="D460" s="105">
        <f t="shared" ca="1" si="17"/>
        <v>74</v>
      </c>
      <c r="E460" s="138" t="str">
        <f t="shared" si="16"/>
        <v>ADMITIDO</v>
      </c>
      <c r="F460" s="117" t="s">
        <v>28</v>
      </c>
      <c r="G460" s="147" t="s">
        <v>145</v>
      </c>
      <c r="H460" s="117" t="s">
        <v>40</v>
      </c>
      <c r="I460" s="117" t="str">
        <f>IF(X460="ADMITIDO","ADMITIDO",IF(X460="CANCELADA","CANCELADA",IF(H460="","",IFERROR(_xlfn.XLOOKUP(H460,Listas!I:I,Listas!J:J),"OUTROS"))))</f>
        <v>ADMITIDO</v>
      </c>
      <c r="J460" s="359" t="s">
        <v>268</v>
      </c>
      <c r="K460" s="248" t="s">
        <v>371</v>
      </c>
      <c r="L460" s="248" t="s">
        <v>998</v>
      </c>
      <c r="M460" s="248"/>
      <c r="N460" s="248" t="s">
        <v>999</v>
      </c>
      <c r="O460" s="73" t="s">
        <v>34</v>
      </c>
      <c r="P460" s="73" t="s">
        <v>35</v>
      </c>
      <c r="Q460" s="73" t="s">
        <v>36</v>
      </c>
      <c r="R460" s="74"/>
      <c r="S460" s="228"/>
      <c r="T460" s="229"/>
      <c r="U460" s="73" t="s">
        <v>132</v>
      </c>
      <c r="V460" s="220">
        <v>46156</v>
      </c>
      <c r="W460" s="203" t="s">
        <v>1238</v>
      </c>
      <c r="X460" s="119" t="s">
        <v>40</v>
      </c>
      <c r="Y460" s="249">
        <v>46157</v>
      </c>
      <c r="Z460" s="249">
        <v>46161</v>
      </c>
      <c r="AA460" s="256">
        <v>914291</v>
      </c>
      <c r="AB460" s="74"/>
      <c r="AC460" s="74"/>
      <c r="AD460" s="256">
        <v>0</v>
      </c>
    </row>
    <row r="461" spans="1:30" s="251" customFormat="1" ht="18" customHeight="1">
      <c r="A461" s="102">
        <v>30289</v>
      </c>
      <c r="B461" s="256">
        <v>1</v>
      </c>
      <c r="C461" s="201">
        <v>46153</v>
      </c>
      <c r="D461" s="105">
        <f t="shared" ca="1" si="17"/>
        <v>74</v>
      </c>
      <c r="E461" s="138" t="str">
        <f t="shared" si="16"/>
        <v>ADMITIDO</v>
      </c>
      <c r="F461" s="117" t="s">
        <v>42</v>
      </c>
      <c r="G461" s="147" t="s">
        <v>663</v>
      </c>
      <c r="H461" s="117" t="s">
        <v>40</v>
      </c>
      <c r="I461" s="117" t="str">
        <f>IF(X461="ADMITIDO","ADMITIDO",IF(X461="CANCELADA","CANCELADA",IF(H461="","",IFERROR(_xlfn.XLOOKUP(H461,Listas!I:I,Listas!J:J),"OUTROS"))))</f>
        <v>ADMITIDO</v>
      </c>
      <c r="J461" s="359" t="s">
        <v>53</v>
      </c>
      <c r="K461" s="248" t="s">
        <v>54</v>
      </c>
      <c r="L461" s="248" t="s">
        <v>164</v>
      </c>
      <c r="M461" s="248"/>
      <c r="N461" s="248" t="s">
        <v>88</v>
      </c>
      <c r="O461" s="73" t="s">
        <v>34</v>
      </c>
      <c r="P461" s="73" t="s">
        <v>57</v>
      </c>
      <c r="Q461" s="73" t="s">
        <v>231</v>
      </c>
      <c r="R461" s="74"/>
      <c r="S461" s="228"/>
      <c r="T461" s="229" t="s">
        <v>1541</v>
      </c>
      <c r="U461" s="73" t="s">
        <v>38</v>
      </c>
      <c r="V461" s="220">
        <v>46162</v>
      </c>
      <c r="W461" s="118" t="s">
        <v>1542</v>
      </c>
      <c r="X461" s="227" t="s">
        <v>40</v>
      </c>
      <c r="Y461" s="249">
        <v>46164</v>
      </c>
      <c r="Z461" s="249">
        <v>46165</v>
      </c>
      <c r="AA461" s="256">
        <v>146008</v>
      </c>
      <c r="AB461" s="74"/>
      <c r="AC461" s="74"/>
      <c r="AD461" s="256">
        <v>0</v>
      </c>
    </row>
    <row r="462" spans="1:30" s="251" customFormat="1" ht="18" customHeight="1">
      <c r="A462" s="102">
        <v>30283</v>
      </c>
      <c r="B462" s="256">
        <v>1</v>
      </c>
      <c r="C462" s="201">
        <v>46153</v>
      </c>
      <c r="D462" s="105">
        <f t="shared" ca="1" si="17"/>
        <v>74</v>
      </c>
      <c r="E462" s="138" t="str">
        <f t="shared" si="16"/>
        <v>ADMITIDO</v>
      </c>
      <c r="F462" s="117" t="s">
        <v>171</v>
      </c>
      <c r="G462" s="147" t="s">
        <v>240</v>
      </c>
      <c r="H462" s="117" t="s">
        <v>40</v>
      </c>
      <c r="I462" s="117" t="str">
        <f>IF(X462="ADMITIDO","ADMITIDO",IF(X462="CANCELADA","CANCELADA",IF(H462="","",IFERROR(_xlfn.XLOOKUP(H462,Listas!I:I,Listas!J:J),"OUTROS"))))</f>
        <v>ADMITIDO</v>
      </c>
      <c r="J462" s="359" t="s">
        <v>514</v>
      </c>
      <c r="K462" s="248" t="s">
        <v>423</v>
      </c>
      <c r="L462" s="248" t="s">
        <v>307</v>
      </c>
      <c r="M462" s="248"/>
      <c r="N462" s="248" t="s">
        <v>243</v>
      </c>
      <c r="O462" s="73" t="s">
        <v>34</v>
      </c>
      <c r="P462" s="73" t="s">
        <v>35</v>
      </c>
      <c r="Q462" s="73" t="s">
        <v>36</v>
      </c>
      <c r="R462" s="74"/>
      <c r="S462" s="228" t="s">
        <v>1543</v>
      </c>
      <c r="T462" s="229">
        <v>19982505062</v>
      </c>
      <c r="U462" s="73" t="s">
        <v>132</v>
      </c>
      <c r="V462" s="220">
        <v>46162</v>
      </c>
      <c r="W462" s="203" t="s">
        <v>1544</v>
      </c>
      <c r="X462" s="227" t="s">
        <v>40</v>
      </c>
      <c r="Y462" s="249">
        <v>46164</v>
      </c>
      <c r="Z462" s="249">
        <v>46169</v>
      </c>
      <c r="AA462" s="256">
        <v>83304</v>
      </c>
      <c r="AB462" s="74"/>
      <c r="AC462" s="74"/>
      <c r="AD462" s="256">
        <v>0</v>
      </c>
    </row>
    <row r="463" spans="1:30" s="251" customFormat="1" ht="18" customHeight="1">
      <c r="A463" s="102">
        <v>30268</v>
      </c>
      <c r="B463" s="256">
        <v>1</v>
      </c>
      <c r="C463" s="201">
        <v>46153</v>
      </c>
      <c r="D463" s="105">
        <f t="shared" ca="1" si="17"/>
        <v>74</v>
      </c>
      <c r="E463" s="138" t="str">
        <f t="shared" si="16"/>
        <v>ADMITIDO</v>
      </c>
      <c r="F463" s="117" t="s">
        <v>28</v>
      </c>
      <c r="G463" s="147" t="s">
        <v>145</v>
      </c>
      <c r="H463" s="117" t="s">
        <v>40</v>
      </c>
      <c r="I463" s="117" t="str">
        <f>IF(X463="ADMITIDO","ADMITIDO",IF(X463="CANCELADA","CANCELADA",IF(H463="","",IFERROR(_xlfn.XLOOKUP(H463,Listas!I:I,Listas!J:J),"OUTROS"))))</f>
        <v>ADMITIDO</v>
      </c>
      <c r="J463" s="359" t="s">
        <v>586</v>
      </c>
      <c r="K463" s="248" t="s">
        <v>371</v>
      </c>
      <c r="L463" s="248" t="s">
        <v>921</v>
      </c>
      <c r="M463" s="248"/>
      <c r="N463" s="248" t="s">
        <v>672</v>
      </c>
      <c r="O463" s="73" t="s">
        <v>34</v>
      </c>
      <c r="P463" s="73" t="s">
        <v>35</v>
      </c>
      <c r="Q463" s="73" t="s">
        <v>36</v>
      </c>
      <c r="R463" s="74"/>
      <c r="S463" s="228"/>
      <c r="T463" s="229"/>
      <c r="U463" s="73" t="s">
        <v>109</v>
      </c>
      <c r="V463" s="220">
        <v>46169</v>
      </c>
      <c r="W463" s="203" t="s">
        <v>1545</v>
      </c>
      <c r="X463" s="227" t="s">
        <v>40</v>
      </c>
      <c r="Y463" s="249">
        <v>46170</v>
      </c>
      <c r="Z463" s="249">
        <v>46174</v>
      </c>
      <c r="AA463" s="256">
        <v>914367</v>
      </c>
      <c r="AB463" s="74" t="s">
        <v>1546</v>
      </c>
      <c r="AC463" s="74"/>
      <c r="AD463" s="256">
        <v>1</v>
      </c>
    </row>
    <row r="464" spans="1:30" s="251" customFormat="1" ht="18" customHeight="1">
      <c r="A464" s="102">
        <v>30276</v>
      </c>
      <c r="B464" s="256">
        <v>1</v>
      </c>
      <c r="C464" s="201">
        <v>46153</v>
      </c>
      <c r="D464" s="105">
        <f t="shared" ca="1" si="17"/>
        <v>74</v>
      </c>
      <c r="E464" s="138" t="str">
        <f t="shared" si="16"/>
        <v>ADMITIDO</v>
      </c>
      <c r="F464" s="117" t="s">
        <v>171</v>
      </c>
      <c r="G464" s="147" t="s">
        <v>145</v>
      </c>
      <c r="H464" s="117" t="s">
        <v>40</v>
      </c>
      <c r="I464" s="117" t="str">
        <f>IF(X464="ADMITIDO","ADMITIDO",IF(X464="CANCELADA","CANCELADA",IF(H464="","",IFERROR(_xlfn.XLOOKUP(H464,Listas!I:I,Listas!J:J),"OUTROS"))))</f>
        <v>ADMITIDO</v>
      </c>
      <c r="J464" s="359" t="s">
        <v>514</v>
      </c>
      <c r="K464" s="248" t="s">
        <v>371</v>
      </c>
      <c r="L464" s="248" t="s">
        <v>921</v>
      </c>
      <c r="M464" s="248"/>
      <c r="N464" s="248" t="s">
        <v>672</v>
      </c>
      <c r="O464" s="73" t="s">
        <v>34</v>
      </c>
      <c r="P464" s="73" t="s">
        <v>35</v>
      </c>
      <c r="Q464" s="73" t="s">
        <v>36</v>
      </c>
      <c r="R464" s="74"/>
      <c r="S464" s="228"/>
      <c r="T464" s="229"/>
      <c r="U464" s="73" t="s">
        <v>132</v>
      </c>
      <c r="V464" s="220">
        <v>46157</v>
      </c>
      <c r="W464" s="203" t="s">
        <v>1547</v>
      </c>
      <c r="X464" s="227" t="s">
        <v>40</v>
      </c>
      <c r="Y464" s="249">
        <v>46161</v>
      </c>
      <c r="Z464" s="249">
        <v>46164</v>
      </c>
      <c r="AA464" s="256">
        <v>83300</v>
      </c>
      <c r="AB464" s="74"/>
      <c r="AC464" s="74"/>
      <c r="AD464" s="256">
        <v>0</v>
      </c>
    </row>
    <row r="465" spans="1:30" s="251" customFormat="1" ht="18" customHeight="1">
      <c r="A465" s="102">
        <v>30274</v>
      </c>
      <c r="B465" s="256">
        <v>1</v>
      </c>
      <c r="C465" s="201">
        <v>46153</v>
      </c>
      <c r="D465" s="105">
        <f t="shared" ca="1" si="17"/>
        <v>74</v>
      </c>
      <c r="E465" s="138" t="str">
        <f t="shared" si="16"/>
        <v>ADMITIDO</v>
      </c>
      <c r="F465" s="117" t="s">
        <v>171</v>
      </c>
      <c r="G465" s="147" t="s">
        <v>145</v>
      </c>
      <c r="H465" s="117" t="s">
        <v>40</v>
      </c>
      <c r="I465" s="117" t="str">
        <f>IF(X465="ADMITIDO","ADMITIDO",IF(X465="CANCELADA","CANCELADA",IF(H465="","",IFERROR(_xlfn.XLOOKUP(H465,Listas!I:I,Listas!J:J),"OUTROS"))))</f>
        <v>ADMITIDO</v>
      </c>
      <c r="J465" s="359" t="s">
        <v>514</v>
      </c>
      <c r="K465" s="248" t="s">
        <v>371</v>
      </c>
      <c r="L465" s="248" t="s">
        <v>1239</v>
      </c>
      <c r="M465" s="248"/>
      <c r="N465" s="248" t="s">
        <v>63</v>
      </c>
      <c r="O465" s="73" t="s">
        <v>34</v>
      </c>
      <c r="P465" s="73" t="s">
        <v>35</v>
      </c>
      <c r="Q465" s="73" t="s">
        <v>36</v>
      </c>
      <c r="R465" s="74"/>
      <c r="S465" s="228"/>
      <c r="T465" s="229"/>
      <c r="U465" s="73" t="s">
        <v>132</v>
      </c>
      <c r="V465" s="220">
        <v>46157</v>
      </c>
      <c r="W465" s="203" t="s">
        <v>1240</v>
      </c>
      <c r="X465" s="227" t="s">
        <v>40</v>
      </c>
      <c r="Y465" s="249">
        <v>46161</v>
      </c>
      <c r="Z465" s="249">
        <v>46164</v>
      </c>
      <c r="AA465" s="256">
        <v>83299</v>
      </c>
      <c r="AB465" s="74"/>
      <c r="AC465" s="74"/>
      <c r="AD465" s="256">
        <v>0</v>
      </c>
    </row>
    <row r="466" spans="1:30" s="251" customFormat="1" ht="18" customHeight="1">
      <c r="A466" s="102">
        <v>30286</v>
      </c>
      <c r="B466" s="256">
        <v>1</v>
      </c>
      <c r="C466" s="201">
        <v>46153</v>
      </c>
      <c r="D466" s="105">
        <f t="shared" ca="1" si="17"/>
        <v>74</v>
      </c>
      <c r="E466" s="138" t="str">
        <f t="shared" si="16"/>
        <v>ADMITIDO</v>
      </c>
      <c r="F466" s="117" t="s">
        <v>42</v>
      </c>
      <c r="G466" s="147" t="s">
        <v>145</v>
      </c>
      <c r="H466" s="117" t="s">
        <v>40</v>
      </c>
      <c r="I466" s="117" t="str">
        <f>IF(X466="ADMITIDO","ADMITIDO",IF(X466="CANCELADA","CANCELADA",IF(H466="","",IFERROR(_xlfn.XLOOKUP(H466,Listas!I:I,Listas!J:J),"OUTROS"))))</f>
        <v>ADMITIDO</v>
      </c>
      <c r="J466" s="359" t="s">
        <v>44</v>
      </c>
      <c r="K466" s="248" t="s">
        <v>103</v>
      </c>
      <c r="L466" s="248" t="s">
        <v>1226</v>
      </c>
      <c r="M466" s="248"/>
      <c r="N466" s="248"/>
      <c r="O466" s="73" t="s">
        <v>34</v>
      </c>
      <c r="P466" s="73" t="s">
        <v>48</v>
      </c>
      <c r="Q466" s="73" t="s">
        <v>275</v>
      </c>
      <c r="R466" s="74"/>
      <c r="S466" s="228"/>
      <c r="T466" s="229"/>
      <c r="U466" s="73" t="s">
        <v>109</v>
      </c>
      <c r="V466" s="220">
        <v>46162</v>
      </c>
      <c r="W466" s="203" t="s">
        <v>1548</v>
      </c>
      <c r="X466" s="227" t="s">
        <v>40</v>
      </c>
      <c r="Y466" s="249">
        <v>46164</v>
      </c>
      <c r="Z466" s="249">
        <v>46164</v>
      </c>
      <c r="AA466" s="256">
        <v>146007</v>
      </c>
      <c r="AB466" s="74"/>
      <c r="AC466" s="74"/>
      <c r="AD466" s="256">
        <v>0</v>
      </c>
    </row>
    <row r="467" spans="1:30" s="251" customFormat="1" ht="18" customHeight="1">
      <c r="A467" s="102">
        <v>30281</v>
      </c>
      <c r="B467" s="256">
        <v>1</v>
      </c>
      <c r="C467" s="201">
        <v>46153</v>
      </c>
      <c r="D467" s="105">
        <f t="shared" ca="1" si="17"/>
        <v>74</v>
      </c>
      <c r="E467" s="138" t="str">
        <f t="shared" si="16"/>
        <v>ADMITIDO</v>
      </c>
      <c r="F467" s="117" t="s">
        <v>28</v>
      </c>
      <c r="G467" s="147" t="s">
        <v>240</v>
      </c>
      <c r="H467" s="117" t="s">
        <v>40</v>
      </c>
      <c r="I467" s="117" t="str">
        <f>IF(X467="ADMITIDO","ADMITIDO",IF(X467="CANCELADA","CANCELADA",IF(H467="","",IFERROR(_xlfn.XLOOKUP(H467,Listas!I:I,Listas!J:J),"OUTROS"))))</f>
        <v>ADMITIDO</v>
      </c>
      <c r="J467" s="359" t="s">
        <v>683</v>
      </c>
      <c r="K467" s="248" t="s">
        <v>423</v>
      </c>
      <c r="L467" s="248" t="s">
        <v>684</v>
      </c>
      <c r="M467" s="248"/>
      <c r="N467" s="248" t="s">
        <v>63</v>
      </c>
      <c r="O467" s="73" t="s">
        <v>34</v>
      </c>
      <c r="P467" s="73" t="s">
        <v>35</v>
      </c>
      <c r="Q467" s="73" t="s">
        <v>1241</v>
      </c>
      <c r="R467" s="74"/>
      <c r="S467" s="228" t="s">
        <v>65</v>
      </c>
      <c r="T467" s="229" t="s">
        <v>1549</v>
      </c>
      <c r="U467" s="73" t="s">
        <v>132</v>
      </c>
      <c r="V467" s="220">
        <v>46162</v>
      </c>
      <c r="W467" s="203" t="s">
        <v>1550</v>
      </c>
      <c r="X467" s="227" t="s">
        <v>40</v>
      </c>
      <c r="Y467" s="249">
        <v>46164</v>
      </c>
      <c r="Z467" s="249">
        <v>46169</v>
      </c>
      <c r="AA467" s="256">
        <v>914334</v>
      </c>
      <c r="AB467" s="74"/>
      <c r="AC467" s="74"/>
      <c r="AD467" s="256">
        <v>0</v>
      </c>
    </row>
    <row r="468" spans="1:30" s="251" customFormat="1" ht="18" customHeight="1">
      <c r="A468" s="377">
        <v>30282</v>
      </c>
      <c r="B468" s="378">
        <v>1</v>
      </c>
      <c r="C468" s="379">
        <v>46153</v>
      </c>
      <c r="D468" s="380">
        <f t="shared" ca="1" si="17"/>
        <v>74</v>
      </c>
      <c r="E468" s="381" t="str">
        <f t="shared" si="16"/>
        <v>CANCELADA</v>
      </c>
      <c r="F468" s="382" t="s">
        <v>28</v>
      </c>
      <c r="G468" s="390" t="s">
        <v>240</v>
      </c>
      <c r="H468" s="382" t="s">
        <v>52</v>
      </c>
      <c r="I468" s="382" t="str">
        <f>IF(X468="ADMITIDO","ADMITIDO",IF(X468="CANCELADA","CANCELADA",IF(H468="","",IFERROR(_xlfn.XLOOKUP(H468,Listas!I:I,Listas!J:J),"OUTROS"))))</f>
        <v>CANCELADA</v>
      </c>
      <c r="J468" s="248" t="s">
        <v>683</v>
      </c>
      <c r="K468" s="248" t="s">
        <v>423</v>
      </c>
      <c r="L468" s="248" t="s">
        <v>684</v>
      </c>
      <c r="M468" s="248"/>
      <c r="N468" s="248" t="s">
        <v>63</v>
      </c>
      <c r="O468" s="73" t="s">
        <v>34</v>
      </c>
      <c r="P468" s="73" t="s">
        <v>35</v>
      </c>
      <c r="Q468" s="73" t="s">
        <v>36</v>
      </c>
      <c r="R468" s="74"/>
      <c r="S468" s="228"/>
      <c r="T468" s="229"/>
      <c r="U468" s="73"/>
      <c r="V468" s="220"/>
      <c r="W468" s="203"/>
      <c r="X468" s="227" t="s">
        <v>52</v>
      </c>
      <c r="Y468" s="249"/>
      <c r="Z468" s="249"/>
      <c r="AA468" s="256"/>
      <c r="AB468" s="74"/>
      <c r="AC468" s="74"/>
      <c r="AD468" s="256">
        <v>0</v>
      </c>
    </row>
    <row r="469" spans="1:30" s="251" customFormat="1" ht="18" customHeight="1">
      <c r="A469" s="102">
        <v>30278</v>
      </c>
      <c r="B469" s="256">
        <v>1</v>
      </c>
      <c r="C469" s="201">
        <v>46153</v>
      </c>
      <c r="D469" s="105">
        <f t="shared" ca="1" si="17"/>
        <v>74</v>
      </c>
      <c r="E469" s="138" t="str">
        <f t="shared" si="16"/>
        <v>ADMITIDO</v>
      </c>
      <c r="F469" s="117" t="s">
        <v>28</v>
      </c>
      <c r="G469" s="147" t="s">
        <v>60</v>
      </c>
      <c r="H469" s="117" t="s">
        <v>40</v>
      </c>
      <c r="I469" s="117" t="str">
        <f>IF(X469="ADMITIDO","ADMITIDO",IF(X469="CANCELADA","CANCELADA",IF(H469="","",IFERROR(_xlfn.XLOOKUP(H469,Listas!I:I,Listas!J:J),"OUTROS"))))</f>
        <v>ADMITIDO</v>
      </c>
      <c r="J469" s="359" t="s">
        <v>268</v>
      </c>
      <c r="K469" s="248" t="s">
        <v>330</v>
      </c>
      <c r="L469" s="248" t="s">
        <v>1242</v>
      </c>
      <c r="M469" s="248"/>
      <c r="N469" s="248" t="s">
        <v>63</v>
      </c>
      <c r="O469" s="73" t="s">
        <v>34</v>
      </c>
      <c r="P469" s="73" t="s">
        <v>35</v>
      </c>
      <c r="Q469" s="73" t="s">
        <v>36</v>
      </c>
      <c r="R469" s="74" t="s">
        <v>1551</v>
      </c>
      <c r="S469" s="228" t="s">
        <v>65</v>
      </c>
      <c r="T469" s="229" t="s">
        <v>1552</v>
      </c>
      <c r="U469" s="73" t="s">
        <v>132</v>
      </c>
      <c r="V469" s="220">
        <v>46164</v>
      </c>
      <c r="W469" s="203" t="s">
        <v>1553</v>
      </c>
      <c r="X469" s="227" t="s">
        <v>40</v>
      </c>
      <c r="Y469" s="249">
        <v>46168</v>
      </c>
      <c r="Z469" s="249">
        <v>46169</v>
      </c>
      <c r="AA469" s="256">
        <v>914354</v>
      </c>
      <c r="AB469" s="74"/>
      <c r="AC469" s="74"/>
      <c r="AD469" s="256">
        <v>0</v>
      </c>
    </row>
    <row r="470" spans="1:30" s="251" customFormat="1" ht="18" customHeight="1">
      <c r="A470" s="377">
        <v>30279</v>
      </c>
      <c r="B470" s="378">
        <v>1</v>
      </c>
      <c r="C470" s="379">
        <v>46153</v>
      </c>
      <c r="D470" s="380">
        <f t="shared" ca="1" si="17"/>
        <v>74</v>
      </c>
      <c r="E470" s="381" t="str">
        <f t="shared" si="16"/>
        <v>CANCELADA</v>
      </c>
      <c r="F470" s="382" t="s">
        <v>28</v>
      </c>
      <c r="G470" s="390" t="s">
        <v>60</v>
      </c>
      <c r="H470" s="382" t="s">
        <v>52</v>
      </c>
      <c r="I470" s="393" t="str">
        <f>IF(X470="ADMITIDO","ADMITIDO",IF(X470="CANCELADA","CANCELADA",IF(H470="","",IFERROR(_xlfn.XLOOKUP(H470,Listas!I:I,Listas!J:J),"OUTROS"))))</f>
        <v>CANCELADA</v>
      </c>
      <c r="J470" s="248" t="s">
        <v>268</v>
      </c>
      <c r="K470" s="248" t="s">
        <v>330</v>
      </c>
      <c r="L470" s="248" t="s">
        <v>1242</v>
      </c>
      <c r="M470" s="248"/>
      <c r="N470" s="248" t="s">
        <v>63</v>
      </c>
      <c r="O470" s="73" t="s">
        <v>34</v>
      </c>
      <c r="P470" s="73" t="s">
        <v>35</v>
      </c>
      <c r="Q470" s="73" t="s">
        <v>36</v>
      </c>
      <c r="R470" s="74" t="s">
        <v>1554</v>
      </c>
      <c r="S470" s="228" t="s">
        <v>65</v>
      </c>
      <c r="T470" s="229" t="s">
        <v>1555</v>
      </c>
      <c r="U470" s="73"/>
      <c r="V470" s="220"/>
      <c r="W470" s="203"/>
      <c r="X470" s="227"/>
      <c r="Y470" s="249"/>
      <c r="Z470" s="249"/>
      <c r="AA470" s="256"/>
      <c r="AB470" s="203" t="s">
        <v>1556</v>
      </c>
      <c r="AC470" s="74"/>
      <c r="AD470" s="256">
        <v>0</v>
      </c>
    </row>
    <row r="471" spans="1:30" s="251" customFormat="1" ht="18" customHeight="1">
      <c r="A471" s="102">
        <v>30284</v>
      </c>
      <c r="B471" s="256">
        <v>1</v>
      </c>
      <c r="C471" s="201">
        <v>46153</v>
      </c>
      <c r="D471" s="105">
        <f t="shared" ca="1" si="17"/>
        <v>74</v>
      </c>
      <c r="E471" s="138" t="str">
        <f t="shared" si="16"/>
        <v>ADMITIDO</v>
      </c>
      <c r="F471" s="117" t="s">
        <v>28</v>
      </c>
      <c r="G471" s="147" t="s">
        <v>240</v>
      </c>
      <c r="H471" s="117" t="s">
        <v>40</v>
      </c>
      <c r="I471" s="117" t="str">
        <f>IF(X471="ADMITIDO","ADMITIDO",IF(X471="CANCELADA","CANCELADA",IF(H471="","",IFERROR(_xlfn.XLOOKUP(H471,Listas!I:I,Listas!J:J),"OUTROS"))))</f>
        <v>ADMITIDO</v>
      </c>
      <c r="J471" s="359" t="s">
        <v>268</v>
      </c>
      <c r="K471" s="248" t="s">
        <v>423</v>
      </c>
      <c r="L471" s="248" t="s">
        <v>855</v>
      </c>
      <c r="M471" s="248"/>
      <c r="N471" s="248" t="s">
        <v>63</v>
      </c>
      <c r="O471" s="73" t="s">
        <v>34</v>
      </c>
      <c r="P471" s="73" t="s">
        <v>35</v>
      </c>
      <c r="Q471" s="73" t="s">
        <v>36</v>
      </c>
      <c r="R471" s="74"/>
      <c r="S471" s="228" t="s">
        <v>1229</v>
      </c>
      <c r="T471" s="229" t="s">
        <v>1557</v>
      </c>
      <c r="U471" s="73" t="s">
        <v>132</v>
      </c>
      <c r="V471" s="220" t="s">
        <v>1317</v>
      </c>
      <c r="W471" s="203" t="s">
        <v>1558</v>
      </c>
      <c r="X471" s="227" t="s">
        <v>40</v>
      </c>
      <c r="Y471" s="249">
        <v>46170</v>
      </c>
      <c r="Z471" s="249">
        <v>46174</v>
      </c>
      <c r="AA471" s="256">
        <v>914370</v>
      </c>
      <c r="AB471" s="74"/>
      <c r="AC471" s="74"/>
      <c r="AD471" s="256">
        <v>0</v>
      </c>
    </row>
    <row r="472" spans="1:30" s="251" customFormat="1" ht="18" customHeight="1">
      <c r="A472" s="364">
        <v>30272</v>
      </c>
      <c r="B472" s="365">
        <v>1</v>
      </c>
      <c r="C472" s="366">
        <v>46153</v>
      </c>
      <c r="D472" s="367">
        <f t="shared" ca="1" si="17"/>
        <v>74</v>
      </c>
      <c r="E472" s="368" t="str">
        <f t="shared" si="16"/>
        <v>ADMITIDO</v>
      </c>
      <c r="F472" s="146" t="s">
        <v>42</v>
      </c>
      <c r="G472" s="369" t="s">
        <v>69</v>
      </c>
      <c r="H472" s="146" t="s">
        <v>40</v>
      </c>
      <c r="I472" s="146" t="str">
        <f>IF(X472="ADMITIDO","ADMITIDO",IF(X472="CANCELADA","CANCELADA",IF(H472="","",IFERROR(_xlfn.XLOOKUP(H472,Listas!I:I,Listas!J:J),"OUTROS"))))</f>
        <v>ADMITIDO</v>
      </c>
      <c r="J472" s="408" t="s">
        <v>53</v>
      </c>
      <c r="K472" s="412" t="s">
        <v>158</v>
      </c>
      <c r="L472" s="412" t="s">
        <v>618</v>
      </c>
      <c r="M472" s="412"/>
      <c r="N472" s="412" t="s">
        <v>63</v>
      </c>
      <c r="O472" s="326" t="s">
        <v>34</v>
      </c>
      <c r="P472" s="326" t="s">
        <v>72</v>
      </c>
      <c r="Q472" s="326" t="s">
        <v>619</v>
      </c>
      <c r="R472" s="409"/>
      <c r="S472" s="410"/>
      <c r="T472" s="411"/>
      <c r="U472" s="326" t="s">
        <v>76</v>
      </c>
      <c r="V472" s="335">
        <v>46185</v>
      </c>
      <c r="W472" s="336" t="s">
        <v>1559</v>
      </c>
      <c r="X472" s="413" t="s">
        <v>40</v>
      </c>
      <c r="Y472" s="354">
        <v>46189</v>
      </c>
      <c r="Z472" s="354">
        <v>46191</v>
      </c>
      <c r="AA472" s="365">
        <v>146109</v>
      </c>
      <c r="AB472" s="336" t="s">
        <v>1560</v>
      </c>
      <c r="AC472" s="409" t="s">
        <v>1561</v>
      </c>
      <c r="AD472" s="365">
        <v>3</v>
      </c>
    </row>
    <row r="473" spans="1:30" s="251" customFormat="1" ht="18" customHeight="1">
      <c r="A473" s="102">
        <v>30292</v>
      </c>
      <c r="B473" s="256">
        <v>1</v>
      </c>
      <c r="C473" s="201">
        <v>46153</v>
      </c>
      <c r="D473" s="105">
        <f t="shared" ca="1" si="17"/>
        <v>74</v>
      </c>
      <c r="E473" s="138" t="str">
        <f t="shared" si="16"/>
        <v>CANCELADA</v>
      </c>
      <c r="F473" s="117" t="s">
        <v>42</v>
      </c>
      <c r="G473" s="147" t="s">
        <v>69</v>
      </c>
      <c r="H473" s="117" t="s">
        <v>52</v>
      </c>
      <c r="I473" s="529" t="str">
        <f>IF(X473="ADMITIDO","ADMITIDO",IF(X473="CANCELADA","CANCELADA",IF(H473="","",IFERROR(_xlfn.XLOOKUP(H473,Listas!I:I,Listas!J:J),"OUTROS"))))</f>
        <v>CANCELADA</v>
      </c>
      <c r="J473" s="248" t="s">
        <v>53</v>
      </c>
      <c r="K473" s="248" t="s">
        <v>70</v>
      </c>
      <c r="L473" s="248" t="s">
        <v>215</v>
      </c>
      <c r="M473" s="248"/>
      <c r="N473" s="248" t="s">
        <v>63</v>
      </c>
      <c r="O473" s="73" t="s">
        <v>34</v>
      </c>
      <c r="P473" s="73" t="s">
        <v>48</v>
      </c>
      <c r="Q473" s="73" t="s">
        <v>49</v>
      </c>
      <c r="R473" s="74"/>
      <c r="S473" s="228"/>
      <c r="T473" s="229"/>
      <c r="U473" s="73"/>
      <c r="V473" s="220"/>
      <c r="W473" s="203"/>
      <c r="X473" s="119"/>
      <c r="Y473" s="249"/>
      <c r="Z473" s="249"/>
      <c r="AA473" s="256"/>
      <c r="AB473" s="74" t="s">
        <v>1562</v>
      </c>
      <c r="AC473" s="74" t="s">
        <v>1527</v>
      </c>
      <c r="AD473" s="256">
        <v>6</v>
      </c>
    </row>
    <row r="474" spans="1:30" s="251" customFormat="1" ht="18" customHeight="1">
      <c r="A474" s="377">
        <v>30287</v>
      </c>
      <c r="B474" s="378">
        <v>1</v>
      </c>
      <c r="C474" s="379">
        <v>46153</v>
      </c>
      <c r="D474" s="380">
        <f t="shared" ca="1" si="17"/>
        <v>74</v>
      </c>
      <c r="E474" s="381" t="str">
        <f t="shared" si="16"/>
        <v>ADMITIDO</v>
      </c>
      <c r="F474" s="382" t="s">
        <v>42</v>
      </c>
      <c r="G474" s="390" t="s">
        <v>43</v>
      </c>
      <c r="H474" s="382" t="s">
        <v>40</v>
      </c>
      <c r="I474" s="382" t="str">
        <f>IF(X474="ADMITIDO","ADMITIDO",IF(X474="CANCELADA","CANCELADA",IF(H474="","",IFERROR(_xlfn.XLOOKUP(H474,Listas!I:I,Listas!J:J),"OUTROS"))))</f>
        <v>ADMITIDO</v>
      </c>
      <c r="J474" s="450" t="s">
        <v>44</v>
      </c>
      <c r="K474" s="451" t="s">
        <v>189</v>
      </c>
      <c r="L474" s="451" t="s">
        <v>528</v>
      </c>
      <c r="M474" s="451"/>
      <c r="N474" s="451" t="s">
        <v>529</v>
      </c>
      <c r="O474" s="189" t="s">
        <v>34</v>
      </c>
      <c r="P474" s="189" t="s">
        <v>1243</v>
      </c>
      <c r="Q474" s="189" t="s">
        <v>414</v>
      </c>
      <c r="R474" s="452" t="s">
        <v>1563</v>
      </c>
      <c r="S474" s="453" t="s">
        <v>1564</v>
      </c>
      <c r="T474" s="454">
        <v>11973736978</v>
      </c>
      <c r="U474" s="455" t="s">
        <v>67</v>
      </c>
      <c r="V474" s="456">
        <v>46188</v>
      </c>
      <c r="W474" s="455" t="s">
        <v>1565</v>
      </c>
      <c r="X474" s="457" t="s">
        <v>40</v>
      </c>
      <c r="Y474" s="458">
        <v>46197</v>
      </c>
      <c r="Z474" s="458">
        <v>46197</v>
      </c>
      <c r="AA474" s="378">
        <v>146146</v>
      </c>
      <c r="AB474" s="452" t="s">
        <v>1566</v>
      </c>
      <c r="AC474" s="452"/>
      <c r="AD474" s="378">
        <v>1</v>
      </c>
    </row>
    <row r="475" spans="1:30" s="251" customFormat="1" ht="18" customHeight="1">
      <c r="A475" s="102">
        <v>30288</v>
      </c>
      <c r="B475" s="256">
        <v>1</v>
      </c>
      <c r="C475" s="201">
        <v>46153</v>
      </c>
      <c r="D475" s="105">
        <f t="shared" ca="1" si="17"/>
        <v>74</v>
      </c>
      <c r="E475" s="138" t="str">
        <f t="shared" si="16"/>
        <v>ADMITIDO</v>
      </c>
      <c r="F475" s="117" t="s">
        <v>42</v>
      </c>
      <c r="G475" s="147" t="s">
        <v>43</v>
      </c>
      <c r="H475" s="117" t="s">
        <v>40</v>
      </c>
      <c r="I475" s="117" t="str">
        <f>IF(X475="ADMITIDO","ADMITIDO",IF(X475="CANCELADA","CANCELADA",IF(H475="","",IFERROR(_xlfn.XLOOKUP(H475,Listas!I:I,Listas!J:J),"OUTROS"))))</f>
        <v>ADMITIDO</v>
      </c>
      <c r="J475" s="248" t="s">
        <v>44</v>
      </c>
      <c r="K475" s="248" t="s">
        <v>189</v>
      </c>
      <c r="L475" s="248" t="s">
        <v>528</v>
      </c>
      <c r="M475" s="248"/>
      <c r="N475" s="248" t="s">
        <v>529</v>
      </c>
      <c r="O475" s="73" t="s">
        <v>34</v>
      </c>
      <c r="P475" s="73" t="s">
        <v>1243</v>
      </c>
      <c r="Q475" s="73" t="s">
        <v>414</v>
      </c>
      <c r="R475" s="74"/>
      <c r="S475" s="228" t="s">
        <v>1567</v>
      </c>
      <c r="T475" s="229">
        <v>11961728508</v>
      </c>
      <c r="U475" s="73" t="s">
        <v>50</v>
      </c>
      <c r="V475" s="220">
        <v>46195</v>
      </c>
      <c r="W475" s="203" t="s">
        <v>1568</v>
      </c>
      <c r="X475" s="227" t="s">
        <v>40</v>
      </c>
      <c r="Y475" s="249">
        <v>46205</v>
      </c>
      <c r="Z475" s="249">
        <v>46205</v>
      </c>
      <c r="AA475" s="256">
        <v>146169</v>
      </c>
      <c r="AB475" s="74" t="s">
        <v>1569</v>
      </c>
      <c r="AC475" s="74"/>
      <c r="AD475" s="256">
        <v>1</v>
      </c>
    </row>
    <row r="476" spans="1:30" s="251" customFormat="1" ht="18" customHeight="1">
      <c r="A476" s="388">
        <v>30273</v>
      </c>
      <c r="B476" s="384">
        <v>1</v>
      </c>
      <c r="C476" s="385">
        <v>46153</v>
      </c>
      <c r="D476" s="386">
        <f t="shared" ca="1" si="17"/>
        <v>74</v>
      </c>
      <c r="E476" s="170" t="str">
        <f t="shared" si="16"/>
        <v>ADMITIDO</v>
      </c>
      <c r="F476" s="139" t="s">
        <v>42</v>
      </c>
      <c r="G476" s="392" t="s">
        <v>240</v>
      </c>
      <c r="H476" s="139" t="s">
        <v>40</v>
      </c>
      <c r="I476" s="139" t="str">
        <f>IF(X476="ADMITIDO","ADMITIDO",IF(X476="CANCELADA","CANCELADA",IF(H476="","",IFERROR(_xlfn.XLOOKUP(H476,Listas!I:I,Listas!J:J),"OUTROS"))))</f>
        <v>ADMITIDO</v>
      </c>
      <c r="J476" s="421" t="s">
        <v>53</v>
      </c>
      <c r="K476" s="426" t="s">
        <v>241</v>
      </c>
      <c r="L476" s="426" t="s">
        <v>494</v>
      </c>
      <c r="M476" s="426"/>
      <c r="N476" s="426" t="s">
        <v>175</v>
      </c>
      <c r="O476" s="327" t="s">
        <v>34</v>
      </c>
      <c r="P476" s="327" t="s">
        <v>35</v>
      </c>
      <c r="Q476" s="327" t="s">
        <v>36</v>
      </c>
      <c r="R476" s="422"/>
      <c r="S476" s="423" t="s">
        <v>65</v>
      </c>
      <c r="T476" s="459" t="s">
        <v>1570</v>
      </c>
      <c r="U476" s="327" t="s">
        <v>710</v>
      </c>
      <c r="V476" s="337">
        <v>46160</v>
      </c>
      <c r="W476" s="310" t="s">
        <v>1571</v>
      </c>
      <c r="X476" s="308" t="s">
        <v>40</v>
      </c>
      <c r="Y476" s="357">
        <v>46167</v>
      </c>
      <c r="Z476" s="357">
        <v>46170</v>
      </c>
      <c r="AA476" s="384">
        <v>914338</v>
      </c>
      <c r="AB476" s="422"/>
      <c r="AC476" s="422"/>
      <c r="AD476" s="384">
        <v>0</v>
      </c>
    </row>
    <row r="477" spans="1:30" s="251" customFormat="1" ht="18" customHeight="1">
      <c r="A477" s="102">
        <v>30277</v>
      </c>
      <c r="B477" s="256">
        <v>1</v>
      </c>
      <c r="C477" s="201">
        <v>46153</v>
      </c>
      <c r="D477" s="105">
        <f t="shared" ca="1" si="17"/>
        <v>74</v>
      </c>
      <c r="E477" s="138" t="str">
        <f t="shared" si="16"/>
        <v>ADMITIDO</v>
      </c>
      <c r="F477" s="117" t="s">
        <v>42</v>
      </c>
      <c r="G477" s="147" t="s">
        <v>145</v>
      </c>
      <c r="H477" s="117" t="s">
        <v>40</v>
      </c>
      <c r="I477" s="117" t="str">
        <f>IF(X477="ADMITIDO","ADMITIDO",IF(X477="CANCELADA","CANCELADA",IF(H477="","",IFERROR(_xlfn.XLOOKUP(H477,Listas!I:I,Listas!J:J),"OUTROS"))))</f>
        <v>ADMITIDO</v>
      </c>
      <c r="J477" s="359" t="s">
        <v>1247</v>
      </c>
      <c r="K477" s="248" t="s">
        <v>103</v>
      </c>
      <c r="L477" s="248" t="s">
        <v>194</v>
      </c>
      <c r="M477" s="248"/>
      <c r="N477" s="248" t="s">
        <v>63</v>
      </c>
      <c r="O477" s="73" t="s">
        <v>34</v>
      </c>
      <c r="P477" s="73" t="s">
        <v>35</v>
      </c>
      <c r="Q477" s="73" t="s">
        <v>711</v>
      </c>
      <c r="R477" s="74" t="s">
        <v>1248</v>
      </c>
      <c r="S477" s="228" t="s">
        <v>1249</v>
      </c>
      <c r="T477" s="229"/>
      <c r="U477" s="73" t="s">
        <v>67</v>
      </c>
      <c r="V477" s="220">
        <v>46155</v>
      </c>
      <c r="W477" s="203" t="s">
        <v>1250</v>
      </c>
      <c r="X477" s="119" t="s">
        <v>40</v>
      </c>
      <c r="Y477" s="249">
        <v>46157</v>
      </c>
      <c r="Z477" s="249">
        <v>46159</v>
      </c>
      <c r="AA477" s="256">
        <v>914289</v>
      </c>
      <c r="AB477" s="74"/>
      <c r="AC477" s="74"/>
      <c r="AD477" s="256">
        <v>0</v>
      </c>
    </row>
    <row r="478" spans="1:30" s="251" customFormat="1" ht="18" customHeight="1">
      <c r="A478" s="394">
        <v>30291</v>
      </c>
      <c r="B478" s="378">
        <v>1</v>
      </c>
      <c r="C478" s="379">
        <v>46154</v>
      </c>
      <c r="D478" s="380">
        <f t="shared" ca="1" si="17"/>
        <v>73</v>
      </c>
      <c r="E478" s="381" t="str">
        <f t="shared" si="16"/>
        <v>CANCELADA</v>
      </c>
      <c r="F478" s="395" t="s">
        <v>42</v>
      </c>
      <c r="G478" s="390" t="s">
        <v>69</v>
      </c>
      <c r="H478" s="382" t="s">
        <v>52</v>
      </c>
      <c r="I478" s="382" t="str">
        <f>IF(X478="ADMITIDO","ADMITIDO",IF(X478="CANCELADA","CANCELADA",IF(H478="","",IFERROR(_xlfn.XLOOKUP(H478,Listas!I:I,Listas!J:J),"OUTROS"))))</f>
        <v>CANCELADA</v>
      </c>
      <c r="J478" s="248" t="s">
        <v>461</v>
      </c>
      <c r="K478" s="248" t="s">
        <v>70</v>
      </c>
      <c r="L478" s="248" t="s">
        <v>343</v>
      </c>
      <c r="M478" s="248"/>
      <c r="N478" s="248" t="s">
        <v>63</v>
      </c>
      <c r="O478" s="73" t="s">
        <v>34</v>
      </c>
      <c r="P478" s="73" t="s">
        <v>219</v>
      </c>
      <c r="Q478" s="73" t="s">
        <v>462</v>
      </c>
      <c r="R478" s="74"/>
      <c r="S478" s="228"/>
      <c r="T478" s="229"/>
      <c r="U478" s="73"/>
      <c r="V478" s="220"/>
      <c r="W478" s="203"/>
      <c r="X478" s="227"/>
      <c r="Y478" s="249"/>
      <c r="Z478" s="249"/>
      <c r="AA478" s="256"/>
      <c r="AB478" s="74" t="s">
        <v>1572</v>
      </c>
      <c r="AC478" s="74" t="s">
        <v>1317</v>
      </c>
      <c r="AD478" s="256">
        <v>2</v>
      </c>
    </row>
    <row r="479" spans="1:30" s="251" customFormat="1" ht="18" customHeight="1">
      <c r="A479" s="223">
        <v>30290</v>
      </c>
      <c r="B479" s="256">
        <v>1</v>
      </c>
      <c r="C479" s="201">
        <v>46154</v>
      </c>
      <c r="D479" s="105">
        <f t="shared" ca="1" si="17"/>
        <v>73</v>
      </c>
      <c r="E479" s="138" t="str">
        <f t="shared" si="16"/>
        <v>ADMITIDO</v>
      </c>
      <c r="F479" s="230" t="s">
        <v>28</v>
      </c>
      <c r="G479" s="147" t="s">
        <v>552</v>
      </c>
      <c r="H479" s="117" t="s">
        <v>40</v>
      </c>
      <c r="I479" s="117" t="str">
        <f>IF(X479="ADMITIDO","ADMITIDO",IF(X479="CANCELADA","CANCELADA",IF(H479="","",IFERROR(_xlfn.XLOOKUP(H479,Listas!I:I,Listas!J:J),"OUTROS"))))</f>
        <v>ADMITIDO</v>
      </c>
      <c r="J479" s="359" t="s">
        <v>146</v>
      </c>
      <c r="K479" s="248" t="s">
        <v>553</v>
      </c>
      <c r="L479" s="248" t="s">
        <v>1251</v>
      </c>
      <c r="M479" s="248"/>
      <c r="N479" s="248" t="s">
        <v>1186</v>
      </c>
      <c r="O479" s="73" t="s">
        <v>34</v>
      </c>
      <c r="P479" s="73" t="s">
        <v>35</v>
      </c>
      <c r="Q479" s="73" t="s">
        <v>287</v>
      </c>
      <c r="R479" s="74"/>
      <c r="S479" s="228"/>
      <c r="T479" s="229"/>
      <c r="U479" s="73" t="s">
        <v>552</v>
      </c>
      <c r="V479" s="220">
        <v>46155</v>
      </c>
      <c r="W479" s="203" t="s">
        <v>1573</v>
      </c>
      <c r="X479" s="227" t="s">
        <v>40</v>
      </c>
      <c r="Y479" s="249">
        <v>46157</v>
      </c>
      <c r="Z479" s="249">
        <v>46160</v>
      </c>
      <c r="AA479" s="256">
        <v>914307</v>
      </c>
      <c r="AB479" s="74"/>
      <c r="AC479" s="74"/>
      <c r="AD479" s="256">
        <v>0</v>
      </c>
    </row>
    <row r="480" spans="1:30" s="251" customFormat="1" ht="18" customHeight="1">
      <c r="A480" s="402">
        <v>30314</v>
      </c>
      <c r="B480" s="378">
        <v>1</v>
      </c>
      <c r="C480" s="379">
        <v>46154</v>
      </c>
      <c r="D480" s="380">
        <f t="shared" ca="1" si="17"/>
        <v>73</v>
      </c>
      <c r="E480" s="381" t="str">
        <f t="shared" si="16"/>
        <v>CANCELADA</v>
      </c>
      <c r="F480" s="395" t="s">
        <v>119</v>
      </c>
      <c r="G480" s="390" t="s">
        <v>821</v>
      </c>
      <c r="H480" s="382" t="s">
        <v>52</v>
      </c>
      <c r="I480" s="382" t="str">
        <f>IF(X480="ADMITIDO","ADMITIDO",IF(X480="CANCELADA","CANCELADA",IF(H480="","",IFERROR(_xlfn.XLOOKUP(H480,Listas!I:I,Listas!J:J),"OUTROS"))))</f>
        <v>CANCELADA</v>
      </c>
      <c r="J480" s="412" t="s">
        <v>1252</v>
      </c>
      <c r="K480" s="412" t="s">
        <v>1253</v>
      </c>
      <c r="L480" s="412" t="s">
        <v>1254</v>
      </c>
      <c r="M480" s="412"/>
      <c r="N480" s="412" t="s">
        <v>119</v>
      </c>
      <c r="O480" s="326" t="s">
        <v>34</v>
      </c>
      <c r="P480" s="326" t="s">
        <v>48</v>
      </c>
      <c r="Q480" s="326" t="s">
        <v>441</v>
      </c>
      <c r="R480" s="441" t="s">
        <v>1574</v>
      </c>
      <c r="S480" s="410"/>
      <c r="T480" s="411"/>
      <c r="U480" s="326"/>
      <c r="V480" s="335"/>
      <c r="W480" s="336"/>
      <c r="X480" s="413" t="s">
        <v>810</v>
      </c>
      <c r="Y480" s="354"/>
      <c r="Z480" s="354"/>
      <c r="AA480" s="365"/>
      <c r="AB480" s="336" t="s">
        <v>1575</v>
      </c>
      <c r="AC480" s="336"/>
      <c r="AD480" s="365">
        <v>2</v>
      </c>
    </row>
    <row r="481" spans="1:30" s="251" customFormat="1" ht="18" customHeight="1">
      <c r="A481" s="223">
        <v>30299</v>
      </c>
      <c r="B481" s="256">
        <v>1</v>
      </c>
      <c r="C481" s="201">
        <v>46154</v>
      </c>
      <c r="D481" s="105">
        <f t="shared" ca="1" si="17"/>
        <v>73</v>
      </c>
      <c r="E481" s="138" t="str">
        <f t="shared" ca="1" si="16"/>
        <v>CRÍTICO</v>
      </c>
      <c r="F481" s="230" t="s">
        <v>42</v>
      </c>
      <c r="G481" s="147" t="s">
        <v>102</v>
      </c>
      <c r="H481" s="117" t="s">
        <v>279</v>
      </c>
      <c r="I481" s="117" t="str">
        <f>IF(X481="ADMITIDO","ADMITIDO",IF(X481="CANCELADA","CANCELADA",IF(H481="","",IFERROR(_xlfn.XLOOKUP(H481,Listas!I:I,Listas!J:J),"OUTROS"))))</f>
        <v>DOCUMENTAÇÃO</v>
      </c>
      <c r="J481" s="248" t="s">
        <v>53</v>
      </c>
      <c r="K481" s="248" t="s">
        <v>103</v>
      </c>
      <c r="L481" s="248" t="s">
        <v>104</v>
      </c>
      <c r="M481" s="248"/>
      <c r="N481" s="248" t="s">
        <v>33</v>
      </c>
      <c r="O481" s="73" t="s">
        <v>34</v>
      </c>
      <c r="P481" s="73" t="s">
        <v>72</v>
      </c>
      <c r="Q481" s="73" t="s">
        <v>73</v>
      </c>
      <c r="R481" s="228" t="s">
        <v>1576</v>
      </c>
      <c r="S481" s="228"/>
      <c r="T481" s="229"/>
      <c r="U481" s="73" t="s">
        <v>67</v>
      </c>
      <c r="V481" s="220">
        <v>46226</v>
      </c>
      <c r="W481" s="203" t="s">
        <v>1577</v>
      </c>
      <c r="X481" s="227" t="s">
        <v>284</v>
      </c>
      <c r="Y481" s="249"/>
      <c r="Z481" s="249"/>
      <c r="AA481" s="256"/>
      <c r="AB481" s="74" t="s">
        <v>1578</v>
      </c>
      <c r="AC481" s="74"/>
      <c r="AD481" s="256">
        <v>2</v>
      </c>
    </row>
    <row r="482" spans="1:30" s="251" customFormat="1" ht="18" customHeight="1">
      <c r="A482" s="398">
        <v>30308</v>
      </c>
      <c r="B482" s="384">
        <v>1</v>
      </c>
      <c r="C482" s="385">
        <v>46154</v>
      </c>
      <c r="D482" s="386">
        <f t="shared" ca="1" si="17"/>
        <v>73</v>
      </c>
      <c r="E482" s="170" t="str">
        <f t="shared" si="16"/>
        <v>ADMITIDO</v>
      </c>
      <c r="F482" s="397" t="s">
        <v>42</v>
      </c>
      <c r="G482" s="392" t="s">
        <v>663</v>
      </c>
      <c r="H482" s="139" t="s">
        <v>40</v>
      </c>
      <c r="I482" s="139" t="str">
        <f>IF(X482="ADMITIDO","ADMITIDO",IF(X482="CANCELADA","CANCELADA",IF(H482="","",IFERROR(_xlfn.XLOOKUP(H482,Listas!I:I,Listas!J:J),"OUTROS"))))</f>
        <v>ADMITIDO</v>
      </c>
      <c r="J482" s="421" t="s">
        <v>53</v>
      </c>
      <c r="K482" s="426" t="s">
        <v>54</v>
      </c>
      <c r="L482" s="426" t="s">
        <v>164</v>
      </c>
      <c r="M482" s="426"/>
      <c r="N482" s="426" t="s">
        <v>88</v>
      </c>
      <c r="O482" s="327" t="s">
        <v>34</v>
      </c>
      <c r="P482" s="327" t="s">
        <v>57</v>
      </c>
      <c r="Q482" s="327" t="s">
        <v>231</v>
      </c>
      <c r="R482" s="422"/>
      <c r="S482" s="423"/>
      <c r="T482" s="424" t="s">
        <v>1256</v>
      </c>
      <c r="U482" s="327" t="s">
        <v>38</v>
      </c>
      <c r="V482" s="337">
        <v>46160</v>
      </c>
      <c r="W482" s="338" t="s">
        <v>1257</v>
      </c>
      <c r="X482" s="356" t="s">
        <v>40</v>
      </c>
      <c r="Y482" s="357">
        <v>46160</v>
      </c>
      <c r="Z482" s="357">
        <v>46160</v>
      </c>
      <c r="AA482" s="384"/>
      <c r="AB482" s="422"/>
      <c r="AC482" s="422"/>
      <c r="AD482" s="384">
        <v>0</v>
      </c>
    </row>
    <row r="483" spans="1:30" s="251" customFormat="1" ht="18" customHeight="1">
      <c r="A483" s="223">
        <v>30311</v>
      </c>
      <c r="B483" s="256">
        <v>1</v>
      </c>
      <c r="C483" s="201">
        <v>46154</v>
      </c>
      <c r="D483" s="105">
        <f t="shared" ca="1" si="17"/>
        <v>73</v>
      </c>
      <c r="E483" s="138" t="str">
        <f t="shared" si="16"/>
        <v>ADMITIDO</v>
      </c>
      <c r="F483" s="230" t="s">
        <v>42</v>
      </c>
      <c r="G483" s="147" t="s">
        <v>29</v>
      </c>
      <c r="H483" s="117" t="s">
        <v>40</v>
      </c>
      <c r="I483" s="117" t="str">
        <f>IF(X483="ADMITIDO","ADMITIDO",IF(X483="CANCELADA","CANCELADA",IF(H483="","",IFERROR(_xlfn.XLOOKUP(H483,Listas!I:I,Listas!J:J),"OUTROS"))))</f>
        <v>ADMITIDO</v>
      </c>
      <c r="J483" s="359" t="s">
        <v>53</v>
      </c>
      <c r="K483" s="248" t="s">
        <v>54</v>
      </c>
      <c r="L483" s="248" t="s">
        <v>164</v>
      </c>
      <c r="M483" s="248"/>
      <c r="N483" s="248" t="s">
        <v>88</v>
      </c>
      <c r="O483" s="73" t="s">
        <v>34</v>
      </c>
      <c r="P483" s="73" t="s">
        <v>35</v>
      </c>
      <c r="Q483" s="73" t="s">
        <v>36</v>
      </c>
      <c r="R483" s="74"/>
      <c r="S483" s="228"/>
      <c r="T483" s="229" t="s">
        <v>1258</v>
      </c>
      <c r="U483" s="73" t="s">
        <v>38</v>
      </c>
      <c r="V483" s="220">
        <v>46155</v>
      </c>
      <c r="W483" s="203" t="s">
        <v>1259</v>
      </c>
      <c r="X483" s="119" t="s">
        <v>40</v>
      </c>
      <c r="Y483" s="249">
        <v>46157</v>
      </c>
      <c r="Z483" s="249">
        <v>46158</v>
      </c>
      <c r="AA483" s="256">
        <v>145968</v>
      </c>
      <c r="AB483" s="74"/>
      <c r="AC483" s="74"/>
      <c r="AD483" s="256">
        <v>0</v>
      </c>
    </row>
    <row r="484" spans="1:30" s="251" customFormat="1" ht="18" customHeight="1">
      <c r="A484" s="223">
        <v>30312</v>
      </c>
      <c r="B484" s="256">
        <v>1</v>
      </c>
      <c r="C484" s="201">
        <v>46154</v>
      </c>
      <c r="D484" s="105">
        <f t="shared" ca="1" si="17"/>
        <v>73</v>
      </c>
      <c r="E484" s="138" t="str">
        <f t="shared" si="16"/>
        <v>ADMITIDO</v>
      </c>
      <c r="F484" s="230" t="s">
        <v>42</v>
      </c>
      <c r="G484" s="147" t="s">
        <v>29</v>
      </c>
      <c r="H484" s="117" t="s">
        <v>40</v>
      </c>
      <c r="I484" s="117" t="str">
        <f>IF(X484="ADMITIDO","ADMITIDO",IF(X484="CANCELADA","CANCELADA",IF(H484="","",IFERROR(_xlfn.XLOOKUP(H484,Listas!I:I,Listas!J:J),"OUTROS"))))</f>
        <v>ADMITIDO</v>
      </c>
      <c r="J484" s="359" t="s">
        <v>53</v>
      </c>
      <c r="K484" s="248" t="s">
        <v>54</v>
      </c>
      <c r="L484" s="248" t="s">
        <v>164</v>
      </c>
      <c r="M484" s="248"/>
      <c r="N484" s="248" t="s">
        <v>88</v>
      </c>
      <c r="O484" s="73" t="s">
        <v>34</v>
      </c>
      <c r="P484" s="73" t="s">
        <v>57</v>
      </c>
      <c r="Q484" s="73" t="s">
        <v>94</v>
      </c>
      <c r="R484" s="74"/>
      <c r="S484" s="228" t="s">
        <v>899</v>
      </c>
      <c r="T484" s="229" t="s">
        <v>1579</v>
      </c>
      <c r="U484" s="73" t="s">
        <v>38</v>
      </c>
      <c r="V484" s="220">
        <v>46160</v>
      </c>
      <c r="W484" s="118" t="s">
        <v>1580</v>
      </c>
      <c r="X484" s="227" t="s">
        <v>40</v>
      </c>
      <c r="Y484" s="249">
        <v>46164</v>
      </c>
      <c r="Z484" s="249">
        <v>46165</v>
      </c>
      <c r="AA484" s="256">
        <v>145991</v>
      </c>
      <c r="AB484" s="74"/>
      <c r="AC484" s="74"/>
      <c r="AD484" s="256">
        <v>0</v>
      </c>
    </row>
    <row r="485" spans="1:30" s="251" customFormat="1" ht="18" customHeight="1">
      <c r="A485" s="223">
        <v>30313</v>
      </c>
      <c r="B485" s="256">
        <v>1</v>
      </c>
      <c r="C485" s="201">
        <v>46154</v>
      </c>
      <c r="D485" s="105">
        <f t="shared" ca="1" si="17"/>
        <v>73</v>
      </c>
      <c r="E485" s="138" t="str">
        <f t="shared" si="16"/>
        <v>ADMITIDO</v>
      </c>
      <c r="F485" s="230" t="s">
        <v>42</v>
      </c>
      <c r="G485" s="147" t="s">
        <v>29</v>
      </c>
      <c r="H485" s="117" t="s">
        <v>40</v>
      </c>
      <c r="I485" s="117" t="str">
        <f>IF(X485="ADMITIDO","ADMITIDO",IF(X485="CANCELADA","CANCELADA",IF(H485="","",IFERROR(_xlfn.XLOOKUP(H485,Listas!I:I,Listas!J:J),"OUTROS"))))</f>
        <v>ADMITIDO</v>
      </c>
      <c r="J485" s="359" t="s">
        <v>116</v>
      </c>
      <c r="K485" s="248" t="s">
        <v>54</v>
      </c>
      <c r="L485" s="248" t="s">
        <v>164</v>
      </c>
      <c r="M485" s="248"/>
      <c r="N485" s="248" t="s">
        <v>88</v>
      </c>
      <c r="O485" s="73" t="s">
        <v>34</v>
      </c>
      <c r="P485" s="73" t="s">
        <v>57</v>
      </c>
      <c r="Q485" s="73" t="s">
        <v>231</v>
      </c>
      <c r="R485" s="74"/>
      <c r="S485" s="228"/>
      <c r="T485" s="229" t="s">
        <v>1260</v>
      </c>
      <c r="U485" s="73" t="s">
        <v>38</v>
      </c>
      <c r="V485" s="220">
        <v>46155</v>
      </c>
      <c r="W485" s="203" t="s">
        <v>1261</v>
      </c>
      <c r="X485" s="227" t="s">
        <v>40</v>
      </c>
      <c r="Y485" s="249">
        <v>46162</v>
      </c>
      <c r="Z485" s="249">
        <v>46163</v>
      </c>
      <c r="AA485" s="256">
        <v>145981</v>
      </c>
      <c r="AB485" s="74"/>
      <c r="AC485" s="74"/>
      <c r="AD485" s="256">
        <v>0</v>
      </c>
    </row>
    <row r="486" spans="1:30" s="251" customFormat="1" ht="18" customHeight="1">
      <c r="A486" s="398">
        <v>30307</v>
      </c>
      <c r="B486" s="384">
        <v>1</v>
      </c>
      <c r="C486" s="385">
        <v>46154</v>
      </c>
      <c r="D486" s="386">
        <f t="shared" ca="1" si="17"/>
        <v>73</v>
      </c>
      <c r="E486" s="170" t="str">
        <f t="shared" si="16"/>
        <v>CANCELADA</v>
      </c>
      <c r="F486" s="397" t="s">
        <v>28</v>
      </c>
      <c r="G486" s="392" t="s">
        <v>240</v>
      </c>
      <c r="H486" s="139" t="s">
        <v>52</v>
      </c>
      <c r="I486" s="139" t="str">
        <f>IF(X486="ADMITIDO","ADMITIDO",IF(X486="CANCELADA","CANCELADA",IF(H486="","",IFERROR(_xlfn.XLOOKUP(H486,Listas!I:I,Listas!J:J),"OUTROS"))))</f>
        <v>CANCELADA</v>
      </c>
      <c r="J486" s="248" t="s">
        <v>268</v>
      </c>
      <c r="K486" s="248" t="s">
        <v>423</v>
      </c>
      <c r="L486" s="248" t="s">
        <v>1262</v>
      </c>
      <c r="M486" s="248"/>
      <c r="N486" s="248" t="s">
        <v>63</v>
      </c>
      <c r="O486" s="73" t="s">
        <v>34</v>
      </c>
      <c r="P486" s="73" t="s">
        <v>48</v>
      </c>
      <c r="Q486" s="73" t="s">
        <v>1263</v>
      </c>
      <c r="R486" s="74" t="s">
        <v>1581</v>
      </c>
      <c r="S486" s="228"/>
      <c r="T486" s="229"/>
      <c r="U486" s="73"/>
      <c r="V486" s="220"/>
      <c r="W486" s="203"/>
      <c r="X486" s="227"/>
      <c r="Y486" s="249"/>
      <c r="Z486" s="249"/>
      <c r="AA486" s="256"/>
      <c r="AB486" s="74"/>
      <c r="AC486" s="74"/>
      <c r="AD486" s="256">
        <v>0</v>
      </c>
    </row>
    <row r="487" spans="1:30" s="251" customFormat="1" ht="18" customHeight="1">
      <c r="A487" s="370">
        <v>30298</v>
      </c>
      <c r="B487" s="365">
        <v>1</v>
      </c>
      <c r="C487" s="366">
        <v>46154</v>
      </c>
      <c r="D487" s="367">
        <f t="shared" ca="1" si="17"/>
        <v>73</v>
      </c>
      <c r="E487" s="368" t="str">
        <f t="shared" si="16"/>
        <v>CANCELADA</v>
      </c>
      <c r="F487" s="371" t="s">
        <v>42</v>
      </c>
      <c r="G487" s="369" t="s">
        <v>60</v>
      </c>
      <c r="H487" s="146" t="s">
        <v>52</v>
      </c>
      <c r="I487" s="146" t="str">
        <f>IF(X487="ADMITIDO","ADMITIDO",IF(X487="CANCELADA","CANCELADA",IF(H487="","",IFERROR(_xlfn.XLOOKUP(H487,Listas!I:I,Listas!J:J),"OUTROS"))))</f>
        <v>CANCELADA</v>
      </c>
      <c r="J487" s="248" t="s">
        <v>53</v>
      </c>
      <c r="K487" s="248" t="s">
        <v>61</v>
      </c>
      <c r="L487" s="248" t="s">
        <v>506</v>
      </c>
      <c r="M487" s="248"/>
      <c r="N487" s="248" t="s">
        <v>63</v>
      </c>
      <c r="O487" s="73" t="s">
        <v>34</v>
      </c>
      <c r="P487" s="73" t="s">
        <v>219</v>
      </c>
      <c r="Q487" s="73" t="s">
        <v>578</v>
      </c>
      <c r="R487" s="74" t="s">
        <v>1582</v>
      </c>
      <c r="S487" s="228" t="s">
        <v>1583</v>
      </c>
      <c r="T487" s="229" t="s">
        <v>1584</v>
      </c>
      <c r="U487" s="73"/>
      <c r="V487" s="220">
        <v>46163</v>
      </c>
      <c r="W487" s="203" t="s">
        <v>1585</v>
      </c>
      <c r="X487" s="227" t="s">
        <v>52</v>
      </c>
      <c r="Y487" s="249"/>
      <c r="Z487" s="249"/>
      <c r="AA487" s="256"/>
      <c r="AB487" s="74" t="s">
        <v>1586</v>
      </c>
      <c r="AC487" s="74" t="s">
        <v>1393</v>
      </c>
      <c r="AD487" s="256">
        <v>0</v>
      </c>
    </row>
    <row r="488" spans="1:30" s="251" customFormat="1" ht="18" customHeight="1">
      <c r="A488" s="223">
        <v>30306</v>
      </c>
      <c r="B488" s="256">
        <v>1</v>
      </c>
      <c r="C488" s="201">
        <v>46154</v>
      </c>
      <c r="D488" s="105">
        <f t="shared" ca="1" si="17"/>
        <v>73</v>
      </c>
      <c r="E488" s="138" t="str">
        <f t="shared" si="16"/>
        <v>ADMITIDO</v>
      </c>
      <c r="F488" s="230" t="s">
        <v>28</v>
      </c>
      <c r="G488" s="147" t="s">
        <v>29</v>
      </c>
      <c r="H488" s="117" t="s">
        <v>40</v>
      </c>
      <c r="I488" s="117" t="str">
        <f>IF(X488="ADMITIDO","ADMITIDO",IF(X488="CANCELADA","CANCELADA",IF(H488="","",IFERROR(_xlfn.XLOOKUP(H488,Listas!I:I,Listas!J:J),"OUTROS"))))</f>
        <v>ADMITIDO</v>
      </c>
      <c r="J488" s="359" t="s">
        <v>427</v>
      </c>
      <c r="K488" s="248" t="s">
        <v>31</v>
      </c>
      <c r="L488" s="248" t="s">
        <v>428</v>
      </c>
      <c r="M488" s="248"/>
      <c r="N488" s="248" t="s">
        <v>205</v>
      </c>
      <c r="O488" s="73" t="s">
        <v>34</v>
      </c>
      <c r="P488" s="73" t="s">
        <v>35</v>
      </c>
      <c r="Q488" s="73" t="s">
        <v>36</v>
      </c>
      <c r="R488" s="74" t="s">
        <v>1587</v>
      </c>
      <c r="S488" s="228"/>
      <c r="T488" s="229" t="s">
        <v>1588</v>
      </c>
      <c r="U488" s="73" t="s">
        <v>1203</v>
      </c>
      <c r="V488" s="220">
        <v>46168</v>
      </c>
      <c r="W488" s="203" t="s">
        <v>1589</v>
      </c>
      <c r="X488" s="227" t="s">
        <v>40</v>
      </c>
      <c r="Y488" s="249">
        <v>46171</v>
      </c>
      <c r="Z488" s="249">
        <v>46172</v>
      </c>
      <c r="AA488" s="256">
        <v>914366</v>
      </c>
      <c r="AB488" s="74"/>
      <c r="AC488" s="74"/>
      <c r="AD488" s="256">
        <v>0</v>
      </c>
    </row>
    <row r="489" spans="1:30" s="251" customFormat="1" ht="18" customHeight="1">
      <c r="A489" s="223">
        <v>30309</v>
      </c>
      <c r="B489" s="256">
        <v>1</v>
      </c>
      <c r="C489" s="201">
        <v>46154</v>
      </c>
      <c r="D489" s="105">
        <f t="shared" ca="1" si="17"/>
        <v>73</v>
      </c>
      <c r="E489" s="138" t="str">
        <f t="shared" si="16"/>
        <v>ADMITIDO</v>
      </c>
      <c r="F489" s="230" t="s">
        <v>28</v>
      </c>
      <c r="G489" s="147" t="s">
        <v>29</v>
      </c>
      <c r="H489" s="117" t="s">
        <v>40</v>
      </c>
      <c r="I489" s="117" t="str">
        <f>IF(X489="ADMITIDO","ADMITIDO",IF(X489="CANCELADA","CANCELADA",IF(H489="","",IFERROR(_xlfn.XLOOKUP(H489,Listas!I:I,Listas!J:J),"OUTROS"))))</f>
        <v>ADMITIDO</v>
      </c>
      <c r="J489" s="359" t="s">
        <v>202</v>
      </c>
      <c r="K489" s="248" t="s">
        <v>31</v>
      </c>
      <c r="L489" s="248" t="s">
        <v>204</v>
      </c>
      <c r="M489" s="248"/>
      <c r="N489" s="248" t="s">
        <v>205</v>
      </c>
      <c r="O489" s="73" t="s">
        <v>34</v>
      </c>
      <c r="P489" s="73" t="s">
        <v>35</v>
      </c>
      <c r="Q489" s="73" t="s">
        <v>36</v>
      </c>
      <c r="R489" s="74"/>
      <c r="S489" s="228"/>
      <c r="T489" s="229" t="s">
        <v>1264</v>
      </c>
      <c r="U489" s="73" t="s">
        <v>38</v>
      </c>
      <c r="V489" s="220">
        <v>46160</v>
      </c>
      <c r="W489" s="203" t="s">
        <v>1265</v>
      </c>
      <c r="X489" s="227" t="s">
        <v>40</v>
      </c>
      <c r="Y489" s="249">
        <v>46162</v>
      </c>
      <c r="Z489" s="249">
        <v>46163</v>
      </c>
      <c r="AA489" s="256">
        <v>914309</v>
      </c>
      <c r="AB489" s="74"/>
      <c r="AC489" s="74"/>
      <c r="AD489" s="256">
        <v>0</v>
      </c>
    </row>
    <row r="490" spans="1:30" s="251" customFormat="1" ht="18" customHeight="1">
      <c r="A490" s="223">
        <v>30304</v>
      </c>
      <c r="B490" s="256">
        <v>1</v>
      </c>
      <c r="C490" s="201">
        <v>46154</v>
      </c>
      <c r="D490" s="105">
        <f t="shared" ca="1" si="17"/>
        <v>73</v>
      </c>
      <c r="E490" s="138" t="str">
        <f t="shared" si="16"/>
        <v>ADMITIDO</v>
      </c>
      <c r="F490" s="230" t="s">
        <v>28</v>
      </c>
      <c r="G490" s="147" t="s">
        <v>552</v>
      </c>
      <c r="H490" s="117" t="s">
        <v>40</v>
      </c>
      <c r="I490" s="117" t="str">
        <f>IF(X490="ADMITIDO","ADMITIDO",IF(X490="CANCELADA","CANCELADA",IF(H490="","",IFERROR(_xlfn.XLOOKUP(H490,Listas!I:I,Listas!J:J),"OUTROS"))))</f>
        <v>ADMITIDO</v>
      </c>
      <c r="J490" s="359" t="s">
        <v>1266</v>
      </c>
      <c r="K490" s="248" t="s">
        <v>553</v>
      </c>
      <c r="L490" s="248" t="s">
        <v>1028</v>
      </c>
      <c r="M490" s="248"/>
      <c r="N490" s="248" t="s">
        <v>1029</v>
      </c>
      <c r="O490" s="73" t="s">
        <v>34</v>
      </c>
      <c r="P490" s="73" t="s">
        <v>210</v>
      </c>
      <c r="Q490" s="73" t="s">
        <v>1267</v>
      </c>
      <c r="R490" s="74"/>
      <c r="S490" s="228"/>
      <c r="T490" s="229"/>
      <c r="U490" s="73" t="s">
        <v>552</v>
      </c>
      <c r="V490" s="220">
        <v>46160</v>
      </c>
      <c r="W490" s="203" t="s">
        <v>1590</v>
      </c>
      <c r="X490" s="227" t="s">
        <v>40</v>
      </c>
      <c r="Y490" s="249">
        <v>46163</v>
      </c>
      <c r="Z490" s="249">
        <v>46163</v>
      </c>
      <c r="AA490" s="256">
        <v>914326</v>
      </c>
      <c r="AB490" s="74"/>
      <c r="AC490" s="74"/>
      <c r="AD490" s="256">
        <v>0</v>
      </c>
    </row>
    <row r="491" spans="1:30" s="251" customFormat="1" ht="18" customHeight="1">
      <c r="A491" s="223">
        <v>30305</v>
      </c>
      <c r="B491" s="256">
        <v>1</v>
      </c>
      <c r="C491" s="201">
        <v>46154</v>
      </c>
      <c r="D491" s="105">
        <f t="shared" ca="1" si="17"/>
        <v>73</v>
      </c>
      <c r="E491" s="138" t="str">
        <f t="shared" si="16"/>
        <v>ADMITIDO</v>
      </c>
      <c r="F491" s="230" t="s">
        <v>28</v>
      </c>
      <c r="G491" s="147" t="s">
        <v>145</v>
      </c>
      <c r="H491" s="117" t="s">
        <v>40</v>
      </c>
      <c r="I491" s="117" t="str">
        <f>IF(X491="ADMITIDO","ADMITIDO",IF(X491="CANCELADA","CANCELADA",IF(H491="","",IFERROR(_xlfn.XLOOKUP(H491,Listas!I:I,Listas!J:J),"OUTROS"))))</f>
        <v>ADMITIDO</v>
      </c>
      <c r="J491" s="359" t="s">
        <v>1268</v>
      </c>
      <c r="K491" s="248" t="s">
        <v>371</v>
      </c>
      <c r="L491" s="248" t="s">
        <v>895</v>
      </c>
      <c r="M491" s="248"/>
      <c r="N491" s="248" t="s">
        <v>391</v>
      </c>
      <c r="O491" s="73" t="s">
        <v>34</v>
      </c>
      <c r="P491" s="73" t="s">
        <v>1243</v>
      </c>
      <c r="Q491" s="73" t="s">
        <v>1269</v>
      </c>
      <c r="R491" s="74" t="s">
        <v>1591</v>
      </c>
      <c r="S491" s="228" t="s">
        <v>1592</v>
      </c>
      <c r="T491" s="229" t="s">
        <v>1593</v>
      </c>
      <c r="U491" s="73" t="s">
        <v>76</v>
      </c>
      <c r="V491" s="220">
        <v>46167</v>
      </c>
      <c r="W491" s="203" t="s">
        <v>1594</v>
      </c>
      <c r="X491" s="227" t="s">
        <v>40</v>
      </c>
      <c r="Y491" s="249">
        <v>46170</v>
      </c>
      <c r="Z491" s="249">
        <v>46175</v>
      </c>
      <c r="AA491" s="256">
        <v>914365</v>
      </c>
      <c r="AB491" s="74" t="s">
        <v>1595</v>
      </c>
      <c r="AC491" s="74"/>
      <c r="AD491" s="256">
        <v>1</v>
      </c>
    </row>
    <row r="492" spans="1:30" s="251" customFormat="1" ht="18" customHeight="1">
      <c r="A492" s="394">
        <v>30293</v>
      </c>
      <c r="B492" s="378">
        <v>1</v>
      </c>
      <c r="C492" s="379">
        <v>46154</v>
      </c>
      <c r="D492" s="380">
        <f t="shared" ca="1" si="17"/>
        <v>73</v>
      </c>
      <c r="E492" s="381" t="str">
        <f t="shared" si="16"/>
        <v>CANCELADA</v>
      </c>
      <c r="F492" s="395" t="s">
        <v>42</v>
      </c>
      <c r="G492" s="390" t="s">
        <v>43</v>
      </c>
      <c r="H492" s="382" t="s">
        <v>52</v>
      </c>
      <c r="I492" s="382" t="str">
        <f>IF(X492="ADMITIDO","ADMITIDO",IF(X492="CANCELADA","CANCELADA",IF(H492="","",IFERROR(_xlfn.XLOOKUP(H492,Listas!I:I,Listas!J:J),"OUTROS"))))</f>
        <v>CANCELADA</v>
      </c>
      <c r="J492" s="248" t="s">
        <v>53</v>
      </c>
      <c r="K492" s="248" t="s">
        <v>45</v>
      </c>
      <c r="L492" s="248" t="s">
        <v>46</v>
      </c>
      <c r="M492" s="248"/>
      <c r="N492" s="248" t="s">
        <v>47</v>
      </c>
      <c r="O492" s="73" t="s">
        <v>34</v>
      </c>
      <c r="P492" s="73" t="s">
        <v>48</v>
      </c>
      <c r="Q492" s="73" t="s">
        <v>49</v>
      </c>
      <c r="R492" s="74"/>
      <c r="S492" s="228"/>
      <c r="T492" s="229"/>
      <c r="U492" s="73"/>
      <c r="V492" s="220"/>
      <c r="W492" s="203"/>
      <c r="X492" s="227"/>
      <c r="Y492" s="249"/>
      <c r="Z492" s="249"/>
      <c r="AA492" s="256"/>
      <c r="AB492" s="74"/>
      <c r="AC492" s="74" t="s">
        <v>1596</v>
      </c>
      <c r="AD492" s="256">
        <v>0</v>
      </c>
    </row>
    <row r="493" spans="1:30" s="251" customFormat="1" ht="18" customHeight="1">
      <c r="A493" s="223">
        <v>30297</v>
      </c>
      <c r="B493" s="256">
        <v>1</v>
      </c>
      <c r="C493" s="201">
        <v>46154</v>
      </c>
      <c r="D493" s="105">
        <f t="shared" ca="1" si="17"/>
        <v>73</v>
      </c>
      <c r="E493" s="138" t="str">
        <f t="shared" si="16"/>
        <v>ADMITIDO</v>
      </c>
      <c r="F493" s="230" t="s">
        <v>42</v>
      </c>
      <c r="G493" s="147" t="s">
        <v>60</v>
      </c>
      <c r="H493" s="117" t="s">
        <v>40</v>
      </c>
      <c r="I493" s="117" t="str">
        <f>IF(X493="ADMITIDO","ADMITIDO",IF(X493="CANCELADA","CANCELADA",IF(H493="","",IFERROR(_xlfn.XLOOKUP(H493,Listas!I:I,Listas!J:J),"OUTROS"))))</f>
        <v>ADMITIDO</v>
      </c>
      <c r="J493" s="359" t="s">
        <v>53</v>
      </c>
      <c r="K493" s="248" t="s">
        <v>61</v>
      </c>
      <c r="L493" s="248" t="s">
        <v>255</v>
      </c>
      <c r="M493" s="248"/>
      <c r="N493" s="248" t="s">
        <v>63</v>
      </c>
      <c r="O493" s="73" t="s">
        <v>34</v>
      </c>
      <c r="P493" s="73" t="s">
        <v>219</v>
      </c>
      <c r="Q493" s="73" t="s">
        <v>73</v>
      </c>
      <c r="R493" s="74" t="s">
        <v>1597</v>
      </c>
      <c r="S493" s="228" t="s">
        <v>65</v>
      </c>
      <c r="T493" s="229" t="s">
        <v>1598</v>
      </c>
      <c r="U493" s="73" t="s">
        <v>109</v>
      </c>
      <c r="V493" s="220">
        <v>46171</v>
      </c>
      <c r="W493" s="203" t="s">
        <v>1599</v>
      </c>
      <c r="X493" s="227" t="s">
        <v>40</v>
      </c>
      <c r="Y493" s="249">
        <v>46175</v>
      </c>
      <c r="Z493" s="249">
        <v>46176</v>
      </c>
      <c r="AA493" s="256">
        <v>914390</v>
      </c>
      <c r="AB493" s="74" t="s">
        <v>1600</v>
      </c>
      <c r="AC493" s="74"/>
      <c r="AD493" s="256">
        <v>4</v>
      </c>
    </row>
    <row r="494" spans="1:30" s="251" customFormat="1" ht="18" customHeight="1">
      <c r="A494" s="223">
        <v>30294</v>
      </c>
      <c r="B494" s="256">
        <v>1</v>
      </c>
      <c r="C494" s="201">
        <v>46154</v>
      </c>
      <c r="D494" s="105">
        <f t="shared" ca="1" si="17"/>
        <v>73</v>
      </c>
      <c r="E494" s="138" t="str">
        <f t="shared" si="16"/>
        <v>ADMITIDO</v>
      </c>
      <c r="F494" s="230" t="s">
        <v>42</v>
      </c>
      <c r="G494" s="147" t="s">
        <v>43</v>
      </c>
      <c r="H494" s="117" t="s">
        <v>40</v>
      </c>
      <c r="I494" s="117" t="str">
        <f>IF(X494="ADMITIDO","ADMITIDO",IF(X494="CANCELADA","CANCELADA",IF(H494="","",IFERROR(_xlfn.XLOOKUP(H494,Listas!I:I,Listas!J:J),"OUTROS"))))</f>
        <v>ADMITIDO</v>
      </c>
      <c r="J494" s="359" t="s">
        <v>53</v>
      </c>
      <c r="K494" s="248" t="s">
        <v>45</v>
      </c>
      <c r="L494" s="248" t="s">
        <v>1270</v>
      </c>
      <c r="M494" s="248"/>
      <c r="N494" s="248" t="s">
        <v>97</v>
      </c>
      <c r="O494" s="73" t="s">
        <v>34</v>
      </c>
      <c r="P494" s="73" t="s">
        <v>57</v>
      </c>
      <c r="Q494" s="73" t="s">
        <v>1271</v>
      </c>
      <c r="R494" s="74"/>
      <c r="S494" s="228" t="s">
        <v>1601</v>
      </c>
      <c r="T494" s="229">
        <v>11932374894</v>
      </c>
      <c r="U494" s="73" t="s">
        <v>50</v>
      </c>
      <c r="V494" s="220">
        <v>46170</v>
      </c>
      <c r="W494" s="203" t="s">
        <v>1602</v>
      </c>
      <c r="X494" s="227" t="s">
        <v>40</v>
      </c>
      <c r="Y494" s="249">
        <v>46176</v>
      </c>
      <c r="Z494" s="249">
        <v>46178</v>
      </c>
      <c r="AA494" s="256">
        <v>146042</v>
      </c>
      <c r="AB494" s="74"/>
      <c r="AC494" s="74"/>
      <c r="AD494" s="256">
        <v>0</v>
      </c>
    </row>
    <row r="495" spans="1:30" s="251" customFormat="1" ht="18" customHeight="1">
      <c r="A495" s="223">
        <v>30296</v>
      </c>
      <c r="B495" s="256">
        <v>1</v>
      </c>
      <c r="C495" s="201">
        <v>46154</v>
      </c>
      <c r="D495" s="105">
        <f t="shared" ca="1" si="17"/>
        <v>73</v>
      </c>
      <c r="E495" s="138" t="str">
        <f t="shared" si="16"/>
        <v>ADMITIDO</v>
      </c>
      <c r="F495" s="230" t="s">
        <v>42</v>
      </c>
      <c r="G495" s="147" t="s">
        <v>60</v>
      </c>
      <c r="H495" s="117" t="s">
        <v>40</v>
      </c>
      <c r="I495" s="117" t="str">
        <f>IF(X495="ADMITIDO","ADMITIDO",IF(X495="CANCELADA","CANCELADA",IF(H495="","",IFERROR(_xlfn.XLOOKUP(H495,Listas!I:I,Listas!J:J),"OUTROS"))))</f>
        <v>ADMITIDO</v>
      </c>
      <c r="J495" s="359" t="s">
        <v>53</v>
      </c>
      <c r="K495" s="248" t="s">
        <v>61</v>
      </c>
      <c r="L495" s="248" t="s">
        <v>62</v>
      </c>
      <c r="M495" s="248"/>
      <c r="N495" s="248" t="s">
        <v>63</v>
      </c>
      <c r="O495" s="73" t="s">
        <v>34</v>
      </c>
      <c r="P495" s="73" t="s">
        <v>57</v>
      </c>
      <c r="Q495" s="73" t="s">
        <v>64</v>
      </c>
      <c r="R495" s="74" t="s">
        <v>1603</v>
      </c>
      <c r="S495" s="228" t="s">
        <v>65</v>
      </c>
      <c r="T495" s="229" t="s">
        <v>1604</v>
      </c>
      <c r="U495" s="73" t="s">
        <v>109</v>
      </c>
      <c r="V495" s="220">
        <v>46175</v>
      </c>
      <c r="W495" s="203" t="s">
        <v>1605</v>
      </c>
      <c r="X495" s="227" t="s">
        <v>40</v>
      </c>
      <c r="Y495" s="249">
        <v>46176</v>
      </c>
      <c r="Z495" s="249">
        <v>46181</v>
      </c>
      <c r="AA495" s="256">
        <v>146046</v>
      </c>
      <c r="AB495" s="74" t="s">
        <v>1606</v>
      </c>
      <c r="AC495" s="74"/>
      <c r="AD495" s="256">
        <v>3</v>
      </c>
    </row>
    <row r="496" spans="1:30" s="251" customFormat="1" ht="18" customHeight="1">
      <c r="A496" s="223">
        <v>30275</v>
      </c>
      <c r="B496" s="256">
        <v>1</v>
      </c>
      <c r="C496" s="201">
        <v>46154</v>
      </c>
      <c r="D496" s="105">
        <f t="shared" ca="1" si="17"/>
        <v>73</v>
      </c>
      <c r="E496" s="138" t="str">
        <f t="shared" si="16"/>
        <v>ADMITIDO</v>
      </c>
      <c r="F496" s="230" t="s">
        <v>28</v>
      </c>
      <c r="G496" s="147" t="s">
        <v>145</v>
      </c>
      <c r="H496" s="117" t="s">
        <v>40</v>
      </c>
      <c r="I496" s="117" t="str">
        <f>IF(X496="ADMITIDO","ADMITIDO",IF(X496="CANCELADA","CANCELADA",IF(H496="","",IFERROR(_xlfn.XLOOKUP(H496,Listas!I:I,Listas!J:J),"OUTROS"))))</f>
        <v>ADMITIDO</v>
      </c>
      <c r="J496" s="359" t="s">
        <v>268</v>
      </c>
      <c r="K496" s="248" t="s">
        <v>371</v>
      </c>
      <c r="L496" s="248" t="s">
        <v>728</v>
      </c>
      <c r="M496" s="248"/>
      <c r="N496" s="248" t="s">
        <v>63</v>
      </c>
      <c r="O496" s="73" t="s">
        <v>34</v>
      </c>
      <c r="P496" s="73" t="s">
        <v>35</v>
      </c>
      <c r="Q496" s="73" t="s">
        <v>36</v>
      </c>
      <c r="R496" s="74" t="s">
        <v>1607</v>
      </c>
      <c r="S496" s="228" t="s">
        <v>1608</v>
      </c>
      <c r="T496" s="229"/>
      <c r="U496" s="73" t="s">
        <v>109</v>
      </c>
      <c r="V496" s="220">
        <v>46168</v>
      </c>
      <c r="W496" s="203" t="s">
        <v>1609</v>
      </c>
      <c r="X496" s="227" t="s">
        <v>40</v>
      </c>
      <c r="Y496" s="249">
        <v>46169</v>
      </c>
      <c r="Z496" s="249">
        <v>46171</v>
      </c>
      <c r="AA496" s="256">
        <v>914364</v>
      </c>
      <c r="AB496" s="74" t="s">
        <v>1610</v>
      </c>
      <c r="AC496" s="74"/>
      <c r="AD496" s="256">
        <v>1</v>
      </c>
    </row>
    <row r="497" spans="1:30" s="251" customFormat="1" ht="18" customHeight="1">
      <c r="A497" s="223">
        <v>30301</v>
      </c>
      <c r="B497" s="256">
        <v>1</v>
      </c>
      <c r="C497" s="201">
        <v>46154</v>
      </c>
      <c r="D497" s="105">
        <f t="shared" ca="1" si="17"/>
        <v>73</v>
      </c>
      <c r="E497" s="138" t="str">
        <f t="shared" si="16"/>
        <v>ADMITIDO</v>
      </c>
      <c r="F497" s="230" t="s">
        <v>28</v>
      </c>
      <c r="G497" s="147" t="s">
        <v>145</v>
      </c>
      <c r="H497" s="117" t="s">
        <v>40</v>
      </c>
      <c r="I497" s="117" t="str">
        <f>IF(X497="ADMITIDO","ADMITIDO",IF(X497="CANCELADA","CANCELADA",IF(H497="","",IFERROR(_xlfn.XLOOKUP(H497,Listas!I:I,Listas!J:J),"OUTROS"))))</f>
        <v>ADMITIDO</v>
      </c>
      <c r="J497" s="359" t="s">
        <v>616</v>
      </c>
      <c r="K497" s="248" t="s">
        <v>326</v>
      </c>
      <c r="L497" s="248" t="s">
        <v>953</v>
      </c>
      <c r="M497" s="248"/>
      <c r="N497" s="248" t="s">
        <v>63</v>
      </c>
      <c r="O497" s="73" t="s">
        <v>56</v>
      </c>
      <c r="P497" s="73" t="s">
        <v>35</v>
      </c>
      <c r="Q497" s="73" t="s">
        <v>176</v>
      </c>
      <c r="R497" s="74"/>
      <c r="S497" s="228"/>
      <c r="T497" s="229"/>
      <c r="U497" s="73" t="s">
        <v>132</v>
      </c>
      <c r="V497" s="220">
        <v>46153</v>
      </c>
      <c r="W497" s="203" t="s">
        <v>1272</v>
      </c>
      <c r="X497" s="119" t="s">
        <v>40</v>
      </c>
      <c r="Y497" s="249">
        <v>46157</v>
      </c>
      <c r="Z497" s="249">
        <v>46161</v>
      </c>
      <c r="AA497" s="256">
        <v>914293</v>
      </c>
      <c r="AB497" s="74"/>
      <c r="AC497" s="74"/>
      <c r="AD497" s="256">
        <v>0</v>
      </c>
    </row>
    <row r="498" spans="1:30" s="251" customFormat="1" ht="18" customHeight="1">
      <c r="A498" s="223">
        <v>30295</v>
      </c>
      <c r="B498" s="256">
        <v>1</v>
      </c>
      <c r="C498" s="201">
        <v>46154</v>
      </c>
      <c r="D498" s="105">
        <f t="shared" ca="1" si="17"/>
        <v>73</v>
      </c>
      <c r="E498" s="138" t="str">
        <f t="shared" si="16"/>
        <v>ADMITIDO</v>
      </c>
      <c r="F498" s="230" t="s">
        <v>42</v>
      </c>
      <c r="G498" s="147" t="s">
        <v>102</v>
      </c>
      <c r="H498" s="117" t="s">
        <v>40</v>
      </c>
      <c r="I498" s="117" t="str">
        <f>IF(X498="ADMITIDO","ADMITIDO",IF(X498="CANCELADA","CANCELADA",IF(H498="","",IFERROR(_xlfn.XLOOKUP(H498,Listas!I:I,Listas!J:J),"OUTROS"))))</f>
        <v>ADMITIDO</v>
      </c>
      <c r="J498" s="359" t="s">
        <v>53</v>
      </c>
      <c r="K498" s="248" t="s">
        <v>103</v>
      </c>
      <c r="L498" s="248" t="s">
        <v>194</v>
      </c>
      <c r="M498" s="248"/>
      <c r="N498" s="248" t="s">
        <v>63</v>
      </c>
      <c r="O498" s="73" t="s">
        <v>34</v>
      </c>
      <c r="P498" s="73" t="s">
        <v>219</v>
      </c>
      <c r="Q498" s="73" t="s">
        <v>238</v>
      </c>
      <c r="R498" s="74" t="s">
        <v>1611</v>
      </c>
      <c r="S498" s="228" t="s">
        <v>1612</v>
      </c>
      <c r="T498" s="229"/>
      <c r="U498" s="73" t="s">
        <v>132</v>
      </c>
      <c r="V498" s="220">
        <v>46169</v>
      </c>
      <c r="W498" s="203" t="s">
        <v>1613</v>
      </c>
      <c r="X498" s="227" t="s">
        <v>40</v>
      </c>
      <c r="Y498" s="249">
        <v>46174</v>
      </c>
      <c r="Z498" s="249">
        <v>46175</v>
      </c>
      <c r="AA498" s="256">
        <v>914385</v>
      </c>
      <c r="AB498" s="74" t="s">
        <v>1614</v>
      </c>
      <c r="AC498" s="74"/>
      <c r="AD498" s="256">
        <v>1</v>
      </c>
    </row>
    <row r="499" spans="1:30" s="251" customFormat="1" ht="18" customHeight="1">
      <c r="A499" s="223">
        <v>30331</v>
      </c>
      <c r="B499" s="256">
        <v>1</v>
      </c>
      <c r="C499" s="201">
        <v>46155</v>
      </c>
      <c r="D499" s="105">
        <f t="shared" ca="1" si="17"/>
        <v>72</v>
      </c>
      <c r="E499" s="138" t="str">
        <f t="shared" si="16"/>
        <v>ADMITIDO</v>
      </c>
      <c r="F499" s="230" t="s">
        <v>42</v>
      </c>
      <c r="G499" s="147" t="s">
        <v>60</v>
      </c>
      <c r="H499" s="117" t="s">
        <v>40</v>
      </c>
      <c r="I499" s="117" t="str">
        <f>IF(X499="ADMITIDO","ADMITIDO",IF(X499="CANCELADA","CANCELADA",IF(H499="","",IFERROR(_xlfn.XLOOKUP(H499,Listas!I:I,Listas!J:J),"OUTROS"))))</f>
        <v>ADMITIDO</v>
      </c>
      <c r="J499" s="359" t="s">
        <v>53</v>
      </c>
      <c r="K499" s="248" t="s">
        <v>61</v>
      </c>
      <c r="L499" s="248" t="s">
        <v>498</v>
      </c>
      <c r="M499" s="248"/>
      <c r="N499" s="269" t="s">
        <v>63</v>
      </c>
      <c r="O499" s="73" t="s">
        <v>34</v>
      </c>
      <c r="P499" s="73" t="s">
        <v>72</v>
      </c>
      <c r="Q499" s="73" t="s">
        <v>151</v>
      </c>
      <c r="R499" s="74" t="s">
        <v>1615</v>
      </c>
      <c r="S499" s="228" t="s">
        <v>65</v>
      </c>
      <c r="T499" s="229" t="s">
        <v>1616</v>
      </c>
      <c r="U499" s="73" t="s">
        <v>76</v>
      </c>
      <c r="V499" s="220">
        <v>46174</v>
      </c>
      <c r="W499" s="203" t="s">
        <v>1617</v>
      </c>
      <c r="X499" s="227" t="s">
        <v>40</v>
      </c>
      <c r="Y499" s="249">
        <v>46176</v>
      </c>
      <c r="Z499" s="249">
        <v>46181</v>
      </c>
      <c r="AA499" s="256">
        <v>146045</v>
      </c>
      <c r="AB499" s="203" t="s">
        <v>1618</v>
      </c>
      <c r="AC499" s="74"/>
      <c r="AD499" s="256">
        <v>2</v>
      </c>
    </row>
    <row r="500" spans="1:30" s="251" customFormat="1" ht="18" customHeight="1">
      <c r="A500" s="223">
        <v>30315</v>
      </c>
      <c r="B500" s="224">
        <v>1</v>
      </c>
      <c r="C500" s="201">
        <v>46155</v>
      </c>
      <c r="D500" s="105">
        <f t="shared" ca="1" si="17"/>
        <v>72</v>
      </c>
      <c r="E500" s="138" t="str">
        <f t="shared" si="16"/>
        <v>ADMITIDO</v>
      </c>
      <c r="F500" s="230" t="s">
        <v>171</v>
      </c>
      <c r="G500" s="147" t="s">
        <v>60</v>
      </c>
      <c r="H500" s="117" t="s">
        <v>40</v>
      </c>
      <c r="I500" s="117" t="str">
        <f>IF(X500="ADMITIDO","ADMITIDO",IF(X500="CANCELADA","CANCELADA",IF(H500="","",IFERROR(_xlfn.XLOOKUP(H500,Listas!I:I,Listas!J:J),"OUTROS"))))</f>
        <v>ADMITIDO</v>
      </c>
      <c r="J500" s="359" t="s">
        <v>1273</v>
      </c>
      <c r="K500" s="248" t="s">
        <v>330</v>
      </c>
      <c r="L500" s="248" t="s">
        <v>407</v>
      </c>
      <c r="M500" s="248"/>
      <c r="N500" s="269" t="s">
        <v>243</v>
      </c>
      <c r="O500" s="73" t="s">
        <v>34</v>
      </c>
      <c r="P500" s="73" t="s">
        <v>35</v>
      </c>
      <c r="Q500" s="73" t="s">
        <v>612</v>
      </c>
      <c r="R500" s="74" t="s">
        <v>1619</v>
      </c>
      <c r="S500" s="228" t="s">
        <v>65</v>
      </c>
      <c r="T500" s="229" t="s">
        <v>1620</v>
      </c>
      <c r="U500" s="73" t="s">
        <v>132</v>
      </c>
      <c r="V500" s="220">
        <v>46174</v>
      </c>
      <c r="W500" s="203" t="s">
        <v>1621</v>
      </c>
      <c r="X500" s="227" t="s">
        <v>40</v>
      </c>
      <c r="Y500" s="249">
        <v>46176</v>
      </c>
      <c r="Z500" s="249">
        <v>46178</v>
      </c>
      <c r="AA500" s="256">
        <v>83330</v>
      </c>
      <c r="AB500" s="74"/>
      <c r="AC500" s="74"/>
      <c r="AD500" s="256">
        <v>0</v>
      </c>
    </row>
    <row r="501" spans="1:30" s="251" customFormat="1" ht="18" customHeight="1">
      <c r="A501" s="394">
        <v>30323</v>
      </c>
      <c r="B501" s="399">
        <v>1</v>
      </c>
      <c r="C501" s="379">
        <v>46155</v>
      </c>
      <c r="D501" s="380">
        <f t="shared" ca="1" si="17"/>
        <v>72</v>
      </c>
      <c r="E501" s="381" t="str">
        <f t="shared" si="16"/>
        <v>CANCELADA</v>
      </c>
      <c r="F501" s="395" t="s">
        <v>171</v>
      </c>
      <c r="G501" s="390" t="s">
        <v>43</v>
      </c>
      <c r="H501" s="382" t="s">
        <v>52</v>
      </c>
      <c r="I501" s="382" t="str">
        <f>IF(X501="ADMITIDO","ADMITIDO",IF(X501="CANCELADA","CANCELADA",IF(H501="","",IFERROR(_xlfn.XLOOKUP(H501,Listas!I:I,Listas!J:J),"OUTROS"))))</f>
        <v>CANCELADA</v>
      </c>
      <c r="J501" s="248" t="s">
        <v>787</v>
      </c>
      <c r="K501" s="248" t="s">
        <v>335</v>
      </c>
      <c r="L501" s="248" t="s">
        <v>788</v>
      </c>
      <c r="M501" s="248"/>
      <c r="N501" s="269" t="s">
        <v>337</v>
      </c>
      <c r="O501" s="73" t="s">
        <v>56</v>
      </c>
      <c r="P501" s="73" t="s">
        <v>35</v>
      </c>
      <c r="Q501" s="73" t="s">
        <v>176</v>
      </c>
      <c r="R501" s="74"/>
      <c r="S501" s="228"/>
      <c r="T501" s="229"/>
      <c r="U501" s="73"/>
      <c r="V501" s="220"/>
      <c r="W501" s="203"/>
      <c r="X501" s="227"/>
      <c r="Y501" s="249"/>
      <c r="Z501" s="249"/>
      <c r="AA501" s="256"/>
      <c r="AB501" s="74"/>
      <c r="AC501" s="74" t="s">
        <v>1386</v>
      </c>
      <c r="AD501" s="256">
        <v>0</v>
      </c>
    </row>
    <row r="502" spans="1:30" s="251" customFormat="1" ht="18" customHeight="1">
      <c r="A502" s="223">
        <v>30332</v>
      </c>
      <c r="B502" s="224">
        <v>1</v>
      </c>
      <c r="C502" s="201">
        <v>46155</v>
      </c>
      <c r="D502" s="105">
        <f t="shared" ca="1" si="17"/>
        <v>72</v>
      </c>
      <c r="E502" s="138" t="str">
        <f t="shared" si="16"/>
        <v>ADMITIDO</v>
      </c>
      <c r="F502" s="230" t="s">
        <v>42</v>
      </c>
      <c r="G502" s="147" t="s">
        <v>60</v>
      </c>
      <c r="H502" s="117" t="s">
        <v>40</v>
      </c>
      <c r="I502" s="117" t="str">
        <f>IF(X502="ADMITIDO","ADMITIDO",IF(X502="CANCELADA","CANCELADA",IF(H502="","",IFERROR(_xlfn.XLOOKUP(H502,Listas!I:I,Listas!J:J),"OUTROS"))))</f>
        <v>ADMITIDO</v>
      </c>
      <c r="J502" s="359" t="s">
        <v>53</v>
      </c>
      <c r="K502" s="248" t="s">
        <v>61</v>
      </c>
      <c r="L502" s="248" t="s">
        <v>161</v>
      </c>
      <c r="M502" s="248"/>
      <c r="N502" s="269" t="s">
        <v>33</v>
      </c>
      <c r="O502" s="73" t="s">
        <v>34</v>
      </c>
      <c r="P502" s="73" t="s">
        <v>72</v>
      </c>
      <c r="Q502" s="73" t="s">
        <v>73</v>
      </c>
      <c r="R502" s="74"/>
      <c r="S502" s="228" t="s">
        <v>1533</v>
      </c>
      <c r="T502" s="229" t="s">
        <v>1622</v>
      </c>
      <c r="U502" s="73" t="s">
        <v>132</v>
      </c>
      <c r="V502" s="220">
        <v>46182</v>
      </c>
      <c r="W502" s="203" t="s">
        <v>1623</v>
      </c>
      <c r="X502" s="227" t="s">
        <v>40</v>
      </c>
      <c r="Y502" s="249">
        <v>46184</v>
      </c>
      <c r="Z502" s="249">
        <v>46185</v>
      </c>
      <c r="AA502" s="256">
        <v>146081</v>
      </c>
      <c r="AB502" s="74"/>
      <c r="AC502" s="74"/>
      <c r="AD502" s="256">
        <v>0</v>
      </c>
    </row>
    <row r="503" spans="1:30" s="251" customFormat="1" ht="18" customHeight="1">
      <c r="A503" s="223">
        <v>30327</v>
      </c>
      <c r="B503" s="224">
        <v>1</v>
      </c>
      <c r="C503" s="201">
        <v>46155</v>
      </c>
      <c r="D503" s="105">
        <f t="shared" ca="1" si="17"/>
        <v>72</v>
      </c>
      <c r="E503" s="138" t="str">
        <f t="shared" si="16"/>
        <v>ADMITIDO</v>
      </c>
      <c r="F503" s="230" t="s">
        <v>42</v>
      </c>
      <c r="G503" s="147" t="s">
        <v>60</v>
      </c>
      <c r="H503" s="117" t="s">
        <v>40</v>
      </c>
      <c r="I503" s="117" t="str">
        <f>IF(X503="ADMITIDO","ADMITIDO",IF(X503="CANCELADA","CANCELADA",IF(H503="","",IFERROR(_xlfn.XLOOKUP(H503,Listas!I:I,Listas!J:J),"OUTROS"))))</f>
        <v>ADMITIDO</v>
      </c>
      <c r="J503" s="359" t="s">
        <v>461</v>
      </c>
      <c r="K503" s="248" t="s">
        <v>61</v>
      </c>
      <c r="L503" s="248" t="s">
        <v>506</v>
      </c>
      <c r="M503" s="248"/>
      <c r="N503" s="269" t="s">
        <v>63</v>
      </c>
      <c r="O503" s="73" t="s">
        <v>34</v>
      </c>
      <c r="P503" s="73" t="s">
        <v>57</v>
      </c>
      <c r="Q503" s="73" t="s">
        <v>98</v>
      </c>
      <c r="R503" s="74" t="s">
        <v>1624</v>
      </c>
      <c r="S503" s="228" t="s">
        <v>1625</v>
      </c>
      <c r="T503" s="229" t="s">
        <v>1626</v>
      </c>
      <c r="U503" s="73" t="s">
        <v>76</v>
      </c>
      <c r="V503" s="220">
        <v>46167</v>
      </c>
      <c r="W503" s="203" t="s">
        <v>1627</v>
      </c>
      <c r="X503" s="227" t="s">
        <v>40</v>
      </c>
      <c r="Y503" s="249">
        <v>46169</v>
      </c>
      <c r="Z503" s="249">
        <v>46170</v>
      </c>
      <c r="AA503" s="256">
        <v>914360</v>
      </c>
      <c r="AB503" s="74" t="s">
        <v>1628</v>
      </c>
      <c r="AC503" s="74"/>
      <c r="AD503" s="256">
        <v>1</v>
      </c>
    </row>
    <row r="504" spans="1:30" s="251" customFormat="1" ht="18" customHeight="1">
      <c r="A504" s="223">
        <v>30321</v>
      </c>
      <c r="B504" s="224">
        <v>1</v>
      </c>
      <c r="C504" s="201">
        <v>46155</v>
      </c>
      <c r="D504" s="105">
        <f t="shared" ca="1" si="17"/>
        <v>72</v>
      </c>
      <c r="E504" s="138" t="str">
        <f t="shared" si="16"/>
        <v>ADMITIDO</v>
      </c>
      <c r="F504" s="230" t="s">
        <v>28</v>
      </c>
      <c r="G504" s="147" t="s">
        <v>43</v>
      </c>
      <c r="H504" s="117" t="s">
        <v>40</v>
      </c>
      <c r="I504" s="117" t="str">
        <f>IF(X504="ADMITIDO","ADMITIDO",IF(X504="CANCELADA","CANCELADA",IF(H504="","",IFERROR(_xlfn.XLOOKUP(H504,Listas!I:I,Listas!J:J),"OUTROS"))))</f>
        <v>ADMITIDO</v>
      </c>
      <c r="J504" s="359" t="s">
        <v>268</v>
      </c>
      <c r="K504" s="248" t="s">
        <v>1144</v>
      </c>
      <c r="L504" s="248" t="s">
        <v>1275</v>
      </c>
      <c r="M504" s="248"/>
      <c r="N504" s="269" t="s">
        <v>378</v>
      </c>
      <c r="O504" s="73" t="s">
        <v>34</v>
      </c>
      <c r="P504" s="73" t="s">
        <v>35</v>
      </c>
      <c r="Q504" s="73" t="s">
        <v>287</v>
      </c>
      <c r="R504" s="74"/>
      <c r="S504" s="228" t="s">
        <v>1629</v>
      </c>
      <c r="T504" s="229">
        <v>11994827703</v>
      </c>
      <c r="U504" s="73" t="s">
        <v>50</v>
      </c>
      <c r="V504" s="220">
        <v>46164</v>
      </c>
      <c r="W504" s="203" t="s">
        <v>1630</v>
      </c>
      <c r="X504" s="227" t="s">
        <v>40</v>
      </c>
      <c r="Y504" s="249">
        <v>46168</v>
      </c>
      <c r="Z504" s="249">
        <v>46170</v>
      </c>
      <c r="AA504" s="256"/>
      <c r="AB504" s="74"/>
      <c r="AC504" s="74"/>
      <c r="AD504" s="256">
        <v>0</v>
      </c>
    </row>
    <row r="505" spans="1:30" s="251" customFormat="1" ht="18" customHeight="1">
      <c r="A505" s="370">
        <v>30344</v>
      </c>
      <c r="B505" s="355">
        <v>1</v>
      </c>
      <c r="C505" s="366">
        <v>46155</v>
      </c>
      <c r="D505" s="367">
        <f t="shared" ca="1" si="17"/>
        <v>72</v>
      </c>
      <c r="E505" s="368" t="str">
        <f t="shared" si="16"/>
        <v>ADMITIDO</v>
      </c>
      <c r="F505" s="371" t="s">
        <v>28</v>
      </c>
      <c r="G505" s="369" t="s">
        <v>240</v>
      </c>
      <c r="H505" s="146" t="s">
        <v>40</v>
      </c>
      <c r="I505" s="146" t="str">
        <f>IF(X505="ADMITIDO","ADMITIDO",IF(X505="CANCELADA","CANCELADA",IF(H505="","",IFERROR(_xlfn.XLOOKUP(H505,Listas!I:I,Listas!J:J),"OUTROS"))))</f>
        <v>ADMITIDO</v>
      </c>
      <c r="J505" s="408" t="s">
        <v>268</v>
      </c>
      <c r="K505" s="412" t="s">
        <v>423</v>
      </c>
      <c r="L505" s="412" t="s">
        <v>424</v>
      </c>
      <c r="M505" s="412"/>
      <c r="N505" s="442" t="s">
        <v>243</v>
      </c>
      <c r="O505" s="326" t="s">
        <v>34</v>
      </c>
      <c r="P505" s="326" t="s">
        <v>35</v>
      </c>
      <c r="Q505" s="326" t="s">
        <v>36</v>
      </c>
      <c r="R505" s="409"/>
      <c r="S505" s="410" t="s">
        <v>65</v>
      </c>
      <c r="T505" s="411" t="s">
        <v>1631</v>
      </c>
      <c r="U505" s="326" t="s">
        <v>76</v>
      </c>
      <c r="V505" s="335">
        <v>46160</v>
      </c>
      <c r="W505" s="336" t="s">
        <v>1632</v>
      </c>
      <c r="X505" s="413" t="s">
        <v>40</v>
      </c>
      <c r="Y505" s="354">
        <v>46162</v>
      </c>
      <c r="Z505" s="354">
        <v>46164</v>
      </c>
      <c r="AA505" s="365">
        <v>914310</v>
      </c>
      <c r="AB505" s="409"/>
      <c r="AC505" s="409"/>
      <c r="AD505" s="365">
        <v>0</v>
      </c>
    </row>
    <row r="506" spans="1:30" s="251" customFormat="1" ht="18" customHeight="1">
      <c r="A506" s="223">
        <v>30318</v>
      </c>
      <c r="B506" s="224">
        <v>1</v>
      </c>
      <c r="C506" s="201">
        <v>46155</v>
      </c>
      <c r="D506" s="105">
        <f t="shared" ca="1" si="17"/>
        <v>72</v>
      </c>
      <c r="E506" s="138" t="str">
        <f t="shared" si="16"/>
        <v>ADMITIDO</v>
      </c>
      <c r="F506" s="230" t="s">
        <v>42</v>
      </c>
      <c r="G506" s="147" t="s">
        <v>43</v>
      </c>
      <c r="H506" s="117" t="s">
        <v>40</v>
      </c>
      <c r="I506" s="117" t="str">
        <f>IF(X506="ADMITIDO","ADMITIDO",IF(X506="CANCELADA","CANCELADA",IF(H506="","",IFERROR(_xlfn.XLOOKUP(H506,Listas!I:I,Listas!J:J),"OUTROS"))))</f>
        <v>ADMITIDO</v>
      </c>
      <c r="J506" s="248" t="s">
        <v>53</v>
      </c>
      <c r="K506" s="248" t="s">
        <v>189</v>
      </c>
      <c r="L506" s="248" t="s">
        <v>924</v>
      </c>
      <c r="M506" s="248"/>
      <c r="N506" s="269" t="s">
        <v>925</v>
      </c>
      <c r="O506" s="73" t="s">
        <v>34</v>
      </c>
      <c r="P506" s="73" t="s">
        <v>57</v>
      </c>
      <c r="Q506" s="1" t="s">
        <v>1633</v>
      </c>
      <c r="R506" s="74" t="s">
        <v>1634</v>
      </c>
      <c r="S506" s="191" t="s">
        <v>1635</v>
      </c>
      <c r="T506" s="229">
        <v>11930992904</v>
      </c>
      <c r="U506" s="73" t="s">
        <v>50</v>
      </c>
      <c r="V506" s="220">
        <v>46197</v>
      </c>
      <c r="W506" s="73" t="s">
        <v>1636</v>
      </c>
      <c r="X506" s="227" t="s">
        <v>40</v>
      </c>
      <c r="Y506" s="249">
        <v>46206</v>
      </c>
      <c r="Z506" s="249">
        <v>46207</v>
      </c>
      <c r="AA506" s="520">
        <v>914580</v>
      </c>
      <c r="AB506" s="74" t="s">
        <v>1637</v>
      </c>
      <c r="AC506" s="74"/>
      <c r="AD506" s="256">
        <v>0</v>
      </c>
    </row>
    <row r="507" spans="1:30" s="251" customFormat="1" ht="18" customHeight="1">
      <c r="A507" s="398">
        <v>30319</v>
      </c>
      <c r="B507" s="358">
        <v>1</v>
      </c>
      <c r="C507" s="385">
        <v>46155</v>
      </c>
      <c r="D507" s="386">
        <f t="shared" ca="1" si="17"/>
        <v>72</v>
      </c>
      <c r="E507" s="170" t="str">
        <f t="shared" si="16"/>
        <v>ADMITIDO</v>
      </c>
      <c r="F507" s="397" t="s">
        <v>42</v>
      </c>
      <c r="G507" s="392" t="s">
        <v>43</v>
      </c>
      <c r="H507" s="139" t="s">
        <v>40</v>
      </c>
      <c r="I507" s="139" t="str">
        <f>IF(X507="ADMITIDO","ADMITIDO",IF(X507="CANCELADA","CANCELADA",IF(H507="","",IFERROR(_xlfn.XLOOKUP(H507,Listas!I:I,Listas!J:J),"OUTROS"))))</f>
        <v>ADMITIDO</v>
      </c>
      <c r="J507" s="421" t="s">
        <v>44</v>
      </c>
      <c r="K507" s="426" t="s">
        <v>189</v>
      </c>
      <c r="L507" s="426" t="s">
        <v>924</v>
      </c>
      <c r="M507" s="426"/>
      <c r="N507" s="460" t="s">
        <v>925</v>
      </c>
      <c r="O507" s="327" t="s">
        <v>34</v>
      </c>
      <c r="P507" s="327" t="s">
        <v>57</v>
      </c>
      <c r="Q507" s="327" t="s">
        <v>308</v>
      </c>
      <c r="R507" s="422"/>
      <c r="S507" s="423" t="s">
        <v>1638</v>
      </c>
      <c r="T507" s="424">
        <v>11964065351</v>
      </c>
      <c r="U507" s="327" t="s">
        <v>50</v>
      </c>
      <c r="V507" s="337">
        <v>46170</v>
      </c>
      <c r="W507" s="338" t="s">
        <v>1639</v>
      </c>
      <c r="X507" s="356" t="s">
        <v>40</v>
      </c>
      <c r="Y507" s="357">
        <v>46181</v>
      </c>
      <c r="Z507" s="357">
        <v>46182</v>
      </c>
      <c r="AA507" s="384">
        <v>914392</v>
      </c>
      <c r="AB507" s="422"/>
      <c r="AC507" s="422"/>
      <c r="AD507" s="384">
        <v>0</v>
      </c>
    </row>
    <row r="508" spans="1:30" s="251" customFormat="1" ht="18" customHeight="1">
      <c r="A508" s="223">
        <v>30320</v>
      </c>
      <c r="B508" s="224">
        <v>1</v>
      </c>
      <c r="C508" s="201">
        <v>46155</v>
      </c>
      <c r="D508" s="105">
        <f t="shared" ca="1" si="17"/>
        <v>72</v>
      </c>
      <c r="E508" s="138" t="str">
        <f t="shared" si="16"/>
        <v>ADMITIDO</v>
      </c>
      <c r="F508" s="230" t="s">
        <v>28</v>
      </c>
      <c r="G508" s="147" t="s">
        <v>43</v>
      </c>
      <c r="H508" s="117" t="s">
        <v>40</v>
      </c>
      <c r="I508" s="117" t="str">
        <f>IF(X508="ADMITIDO","ADMITIDO",IF(X508="CANCELADA","CANCELADA",IF(H508="","",IFERROR(_xlfn.XLOOKUP(H508,Listas!I:I,Listas!J:J),"OUTROS"))))</f>
        <v>ADMITIDO</v>
      </c>
      <c r="J508" s="359" t="s">
        <v>268</v>
      </c>
      <c r="K508" s="248" t="s">
        <v>1144</v>
      </c>
      <c r="L508" s="248" t="s">
        <v>386</v>
      </c>
      <c r="M508" s="248"/>
      <c r="N508" s="269" t="s">
        <v>243</v>
      </c>
      <c r="O508" s="73" t="s">
        <v>34</v>
      </c>
      <c r="P508" s="73" t="s">
        <v>57</v>
      </c>
      <c r="Q508" s="73" t="s">
        <v>532</v>
      </c>
      <c r="R508" s="74"/>
      <c r="S508" s="228" t="s">
        <v>1276</v>
      </c>
      <c r="T508" s="229">
        <v>11954127095</v>
      </c>
      <c r="U508" s="73" t="s">
        <v>67</v>
      </c>
      <c r="V508" s="220">
        <v>46156</v>
      </c>
      <c r="W508" s="203" t="s">
        <v>1277</v>
      </c>
      <c r="X508" s="227" t="s">
        <v>40</v>
      </c>
      <c r="Y508" s="249">
        <v>46164</v>
      </c>
      <c r="Z508" s="249">
        <v>46164</v>
      </c>
      <c r="AA508" s="256">
        <v>914320</v>
      </c>
      <c r="AB508" s="74" t="s">
        <v>1010</v>
      </c>
      <c r="AC508" s="74"/>
      <c r="AD508" s="256">
        <v>0</v>
      </c>
    </row>
    <row r="509" spans="1:30" s="251" customFormat="1" ht="18" customHeight="1">
      <c r="A509" s="223">
        <v>30334</v>
      </c>
      <c r="B509" s="224">
        <v>1</v>
      </c>
      <c r="C509" s="201">
        <v>46155</v>
      </c>
      <c r="D509" s="105">
        <f t="shared" ca="1" si="17"/>
        <v>72</v>
      </c>
      <c r="E509" s="138" t="str">
        <f t="shared" si="16"/>
        <v>ADMITIDO</v>
      </c>
      <c r="F509" s="230" t="s">
        <v>42</v>
      </c>
      <c r="G509" s="147" t="s">
        <v>102</v>
      </c>
      <c r="H509" s="117" t="s">
        <v>40</v>
      </c>
      <c r="I509" s="117" t="str">
        <f>IF(X509="ADMITIDO","ADMITIDO",IF(X509="CANCELADA","CANCELADA",IF(H509="","",IFERROR(_xlfn.XLOOKUP(H509,Listas!I:I,Listas!J:J),"OUTROS"))))</f>
        <v>ADMITIDO</v>
      </c>
      <c r="J509" s="359" t="s">
        <v>53</v>
      </c>
      <c r="K509" s="248" t="s">
        <v>103</v>
      </c>
      <c r="L509" s="248" t="s">
        <v>1173</v>
      </c>
      <c r="M509" s="248"/>
      <c r="N509" s="269" t="s">
        <v>1174</v>
      </c>
      <c r="O509" s="73" t="s">
        <v>34</v>
      </c>
      <c r="P509" s="73" t="s">
        <v>57</v>
      </c>
      <c r="Q509" s="73" t="s">
        <v>1175</v>
      </c>
      <c r="R509" s="74" t="s">
        <v>1640</v>
      </c>
      <c r="S509" s="228" t="s">
        <v>1641</v>
      </c>
      <c r="T509" s="250" t="s">
        <v>1642</v>
      </c>
      <c r="U509" s="73" t="s">
        <v>132</v>
      </c>
      <c r="V509" s="220">
        <v>46167</v>
      </c>
      <c r="W509" s="203" t="s">
        <v>1643</v>
      </c>
      <c r="X509" s="227" t="s">
        <v>40</v>
      </c>
      <c r="Y509" s="249">
        <v>46170</v>
      </c>
      <c r="Z509" s="249">
        <v>46175</v>
      </c>
      <c r="AA509" s="256">
        <v>146031</v>
      </c>
      <c r="AB509" s="74"/>
      <c r="AC509" s="74"/>
      <c r="AD509" s="256">
        <v>0</v>
      </c>
    </row>
    <row r="510" spans="1:30" s="251" customFormat="1" ht="18" customHeight="1">
      <c r="A510" s="370">
        <v>30322</v>
      </c>
      <c r="B510" s="355">
        <v>1</v>
      </c>
      <c r="C510" s="366">
        <v>46155</v>
      </c>
      <c r="D510" s="367">
        <f t="shared" ca="1" si="17"/>
        <v>72</v>
      </c>
      <c r="E510" s="368" t="str">
        <f t="shared" si="16"/>
        <v>ADMITIDO</v>
      </c>
      <c r="F510" s="371" t="s">
        <v>171</v>
      </c>
      <c r="G510" s="369" t="s">
        <v>43</v>
      </c>
      <c r="H510" s="146" t="s">
        <v>40</v>
      </c>
      <c r="I510" s="146" t="str">
        <f>IF(X510="ADMITIDO","ADMITIDO",IF(X510="CANCELADA","CANCELADA",IF(H510="","",IFERROR(_xlfn.XLOOKUP(H510,Listas!I:I,Listas!J:J),"OUTROS"))))</f>
        <v>ADMITIDO</v>
      </c>
      <c r="J510" s="408" t="s">
        <v>172</v>
      </c>
      <c r="K510" s="412" t="s">
        <v>360</v>
      </c>
      <c r="L510" s="412" t="s">
        <v>696</v>
      </c>
      <c r="M510" s="412"/>
      <c r="N510" s="442" t="s">
        <v>337</v>
      </c>
      <c r="O510" s="326" t="s">
        <v>34</v>
      </c>
      <c r="P510" s="326" t="s">
        <v>35</v>
      </c>
      <c r="Q510" s="326" t="s">
        <v>36</v>
      </c>
      <c r="R510" s="409" t="s">
        <v>1644</v>
      </c>
      <c r="S510" s="410" t="s">
        <v>1645</v>
      </c>
      <c r="T510" s="411">
        <v>15988202931</v>
      </c>
      <c r="U510" s="326" t="s">
        <v>50</v>
      </c>
      <c r="V510" s="335">
        <v>46175</v>
      </c>
      <c r="W510" s="336" t="s">
        <v>1646</v>
      </c>
      <c r="X510" s="413" t="s">
        <v>40</v>
      </c>
      <c r="Y510" s="354">
        <v>46185</v>
      </c>
      <c r="Z510" s="354">
        <v>46185</v>
      </c>
      <c r="AA510" s="365">
        <v>83341</v>
      </c>
      <c r="AB510" s="409"/>
      <c r="AC510" s="409"/>
      <c r="AD510" s="365">
        <v>0</v>
      </c>
    </row>
    <row r="511" spans="1:30" s="251" customFormat="1" ht="18" customHeight="1">
      <c r="A511" s="223">
        <v>30324</v>
      </c>
      <c r="B511" s="224">
        <v>1</v>
      </c>
      <c r="C511" s="587">
        <v>46155</v>
      </c>
      <c r="D511" s="489">
        <f t="shared" ca="1" si="17"/>
        <v>72</v>
      </c>
      <c r="E511" s="589" t="str">
        <f t="shared" ca="1" si="16"/>
        <v>CRÍTICO</v>
      </c>
      <c r="F511" s="586" t="s">
        <v>42</v>
      </c>
      <c r="G511" s="147" t="s">
        <v>43</v>
      </c>
      <c r="H511" s="117" t="s">
        <v>279</v>
      </c>
      <c r="I511" s="117" t="str">
        <f>IF(X511="ADMITIDO","ADMITIDO",IF(X511="CANCELADA","CANCELADA",IF(H511="","",IFERROR(_xlfn.XLOOKUP(H511,Listas!I:I,Listas!J:J),"OUTROS"))))</f>
        <v>DOCUMENTAÇÃO</v>
      </c>
      <c r="J511" t="s">
        <v>1647</v>
      </c>
      <c r="K511" s="248" t="s">
        <v>45</v>
      </c>
      <c r="L511" s="248" t="s">
        <v>46</v>
      </c>
      <c r="M511" s="248"/>
      <c r="N511" s="269" t="s">
        <v>47</v>
      </c>
      <c r="O511" s="73" t="s">
        <v>34</v>
      </c>
      <c r="P511" s="73" t="s">
        <v>48</v>
      </c>
      <c r="Q511" s="73" t="s">
        <v>49</v>
      </c>
      <c r="R511" t="s">
        <v>1648</v>
      </c>
      <c r="S511" s="228" t="s">
        <v>1375</v>
      </c>
      <c r="T511" s="229">
        <v>11934891126</v>
      </c>
      <c r="U511" s="73" t="s">
        <v>50</v>
      </c>
      <c r="V511" s="220">
        <v>46223</v>
      </c>
      <c r="W511" s="203" t="s">
        <v>1649</v>
      </c>
      <c r="X511" s="227" t="s">
        <v>284</v>
      </c>
      <c r="Y511" s="249"/>
      <c r="Z511" s="249"/>
      <c r="AA511" s="256"/>
      <c r="AB511" s="74" t="s">
        <v>1650</v>
      </c>
      <c r="AC511" s="74"/>
      <c r="AD511" s="256">
        <v>3</v>
      </c>
    </row>
    <row r="512" spans="1:30" s="251" customFormat="1" ht="18" customHeight="1">
      <c r="A512" s="394">
        <v>30325</v>
      </c>
      <c r="B512" s="399">
        <v>1</v>
      </c>
      <c r="C512" s="379">
        <v>46155</v>
      </c>
      <c r="D512" s="380">
        <f t="shared" ca="1" si="17"/>
        <v>72</v>
      </c>
      <c r="E512" s="381" t="str">
        <f t="shared" si="16"/>
        <v>CANCELADA</v>
      </c>
      <c r="F512" s="395" t="s">
        <v>42</v>
      </c>
      <c r="G512" s="390" t="s">
        <v>60</v>
      </c>
      <c r="H512" s="382" t="s">
        <v>52</v>
      </c>
      <c r="I512" s="382" t="str">
        <f>IF(X512="ADMITIDO","ADMITIDO",IF(X512="CANCELADA","CANCELADA",IF(H512="","",IFERROR(_xlfn.XLOOKUP(H512,Listas!I:I,Listas!J:J),"OUTROS"))))</f>
        <v>CANCELADA</v>
      </c>
      <c r="J512" s="426" t="s">
        <v>53</v>
      </c>
      <c r="K512" s="426" t="s">
        <v>61</v>
      </c>
      <c r="L512" s="426" t="s">
        <v>255</v>
      </c>
      <c r="M512" s="426"/>
      <c r="N512" s="460" t="s">
        <v>63</v>
      </c>
      <c r="O512" s="327" t="s">
        <v>34</v>
      </c>
      <c r="P512" s="327" t="s">
        <v>219</v>
      </c>
      <c r="Q512" s="327" t="s">
        <v>73</v>
      </c>
      <c r="R512" s="422"/>
      <c r="S512" s="423"/>
      <c r="T512" s="424"/>
      <c r="U512" s="327"/>
      <c r="V512" s="337"/>
      <c r="W512" s="338"/>
      <c r="X512" s="356" t="s">
        <v>52</v>
      </c>
      <c r="Y512" s="357"/>
      <c r="Z512" s="357"/>
      <c r="AA512" s="384"/>
      <c r="AB512" s="422"/>
      <c r="AC512" s="422" t="s">
        <v>1444</v>
      </c>
      <c r="AD512" s="384">
        <v>0</v>
      </c>
    </row>
    <row r="513" spans="1:30" s="251" customFormat="1" ht="18" customHeight="1">
      <c r="A513" s="223">
        <v>30326</v>
      </c>
      <c r="B513" s="224">
        <v>1</v>
      </c>
      <c r="C513" s="201">
        <v>46155</v>
      </c>
      <c r="D513" s="105">
        <f t="shared" ca="1" si="17"/>
        <v>72</v>
      </c>
      <c r="E513" s="138" t="str">
        <f t="shared" si="16"/>
        <v>ADMITIDO</v>
      </c>
      <c r="F513" s="230" t="s">
        <v>42</v>
      </c>
      <c r="G513" s="147" t="s">
        <v>60</v>
      </c>
      <c r="H513" s="117" t="s">
        <v>40</v>
      </c>
      <c r="I513" s="117" t="str">
        <f>IF(X513="ADMITIDO","ADMITIDO",IF(X513="CANCELADA","CANCELADA",IF(H513="","",IFERROR(_xlfn.XLOOKUP(H513,Listas!I:I,Listas!J:J),"OUTROS"))))</f>
        <v>ADMITIDO</v>
      </c>
      <c r="J513" s="359" t="s">
        <v>53</v>
      </c>
      <c r="K513" s="248" t="s">
        <v>61</v>
      </c>
      <c r="L513" s="248" t="s">
        <v>255</v>
      </c>
      <c r="M513" s="248"/>
      <c r="N513" s="269" t="s">
        <v>63</v>
      </c>
      <c r="O513" s="73" t="s">
        <v>34</v>
      </c>
      <c r="P513" s="73" t="s">
        <v>219</v>
      </c>
      <c r="Q513" s="73" t="s">
        <v>73</v>
      </c>
      <c r="R513" s="74" t="s">
        <v>1651</v>
      </c>
      <c r="S513" s="228" t="s">
        <v>65</v>
      </c>
      <c r="T513" s="229" t="s">
        <v>1652</v>
      </c>
      <c r="U513" s="73" t="s">
        <v>132</v>
      </c>
      <c r="V513" s="220">
        <v>46170</v>
      </c>
      <c r="W513" s="203" t="s">
        <v>1653</v>
      </c>
      <c r="X513" s="227" t="s">
        <v>40</v>
      </c>
      <c r="Y513" s="249">
        <v>46175</v>
      </c>
      <c r="Z513" s="249">
        <v>46176</v>
      </c>
      <c r="AA513" s="256">
        <v>914389</v>
      </c>
      <c r="AB513" s="74" t="s">
        <v>1654</v>
      </c>
      <c r="AC513" s="74"/>
      <c r="AD513" s="256">
        <v>2</v>
      </c>
    </row>
    <row r="514" spans="1:30" s="251" customFormat="1" ht="18" customHeight="1">
      <c r="A514" s="223">
        <v>30317</v>
      </c>
      <c r="B514" s="224">
        <v>1</v>
      </c>
      <c r="C514" s="201">
        <v>46155</v>
      </c>
      <c r="D514" s="105">
        <f t="shared" ca="1" si="17"/>
        <v>72</v>
      </c>
      <c r="E514" s="138" t="str">
        <f t="shared" ref="E514:E538" si="18">IF(X514="ADMITIDO","ADMITIDO",IF(X514="CANCELADA","CANCELADA",IF(H514="","",IF(H514="ADMITIDO","ADMITIDO",IF(H514="CANCELADA","CANCELADA",IF(OR(H514="ANALISE CANCELAMENTO",H514="ANÁLISE CANCELAMENTO"),"EM ANÁLISE",IF(D514="","",IF(D514&lt;=7,"NO PRAZO",IF(D514&lt;=14,"ATENÇÃO","CRÍTICO")))))))))</f>
        <v>ADMITIDO</v>
      </c>
      <c r="F514" s="230" t="s">
        <v>28</v>
      </c>
      <c r="G514" s="147" t="s">
        <v>29</v>
      </c>
      <c r="H514" s="117" t="s">
        <v>40</v>
      </c>
      <c r="I514" s="117" t="str">
        <f>IF(X514="ADMITIDO","ADMITIDO",IF(X514="CANCELADA","CANCELADA",IF(H514="","",IFERROR(_xlfn.XLOOKUP(H514,Listas!I:I,Listas!J:J),"OUTROS"))))</f>
        <v>ADMITIDO</v>
      </c>
      <c r="J514" s="359" t="s">
        <v>146</v>
      </c>
      <c r="K514" s="248" t="s">
        <v>86</v>
      </c>
      <c r="L514" s="248" t="s">
        <v>903</v>
      </c>
      <c r="M514" s="248"/>
      <c r="N514" s="269" t="s">
        <v>904</v>
      </c>
      <c r="O514" s="73" t="s">
        <v>34</v>
      </c>
      <c r="P514" s="73" t="s">
        <v>35</v>
      </c>
      <c r="Q514" s="73" t="s">
        <v>905</v>
      </c>
      <c r="R514" s="74"/>
      <c r="S514" s="228"/>
      <c r="T514" s="229" t="s">
        <v>1655</v>
      </c>
      <c r="U514" s="73" t="s">
        <v>1203</v>
      </c>
      <c r="V514" s="220">
        <v>46160</v>
      </c>
      <c r="W514" s="118" t="s">
        <v>1656</v>
      </c>
      <c r="X514" s="227" t="s">
        <v>40</v>
      </c>
      <c r="Y514" s="249">
        <v>46164</v>
      </c>
      <c r="Z514" s="249">
        <v>46165</v>
      </c>
      <c r="AA514" s="256">
        <v>914324</v>
      </c>
      <c r="AB514" s="74"/>
      <c r="AC514" s="74"/>
      <c r="AD514" s="256">
        <v>0</v>
      </c>
    </row>
    <row r="515" spans="1:30" s="251" customFormat="1" ht="18" customHeight="1">
      <c r="A515" s="223">
        <v>30316</v>
      </c>
      <c r="B515" s="224">
        <v>1</v>
      </c>
      <c r="C515" s="201">
        <v>46155</v>
      </c>
      <c r="D515" s="105">
        <f t="shared" ca="1" si="17"/>
        <v>72</v>
      </c>
      <c r="E515" s="138" t="str">
        <f t="shared" si="18"/>
        <v>ADMITIDO</v>
      </c>
      <c r="F515" s="230" t="s">
        <v>28</v>
      </c>
      <c r="G515" s="147" t="s">
        <v>60</v>
      </c>
      <c r="H515" s="117" t="s">
        <v>40</v>
      </c>
      <c r="I515" s="117" t="str">
        <f>IF(X515="ADMITIDO","ADMITIDO",IF(X515="CANCELADA","CANCELADA",IF(H515="","",IFERROR(_xlfn.XLOOKUP(H515,Listas!I:I,Listas!J:J),"OUTROS"))))</f>
        <v>ADMITIDO</v>
      </c>
      <c r="J515" s="359" t="s">
        <v>487</v>
      </c>
      <c r="K515" s="248" t="s">
        <v>330</v>
      </c>
      <c r="L515" s="248" t="s">
        <v>907</v>
      </c>
      <c r="M515" s="248"/>
      <c r="N515" s="269" t="s">
        <v>63</v>
      </c>
      <c r="O515" s="73" t="s">
        <v>34</v>
      </c>
      <c r="P515" s="73" t="s">
        <v>35</v>
      </c>
      <c r="Q515" s="73" t="s">
        <v>36</v>
      </c>
      <c r="R515" s="74" t="s">
        <v>1657</v>
      </c>
      <c r="S515" s="228" t="s">
        <v>1658</v>
      </c>
      <c r="T515" s="229" t="s">
        <v>1659</v>
      </c>
      <c r="U515" s="73" t="s">
        <v>76</v>
      </c>
      <c r="V515" s="220">
        <v>46160</v>
      </c>
      <c r="W515" s="118" t="s">
        <v>1660</v>
      </c>
      <c r="X515" s="119" t="s">
        <v>40</v>
      </c>
      <c r="Y515" s="249">
        <v>46163</v>
      </c>
      <c r="Z515" s="249">
        <v>46167</v>
      </c>
      <c r="AA515" s="256">
        <v>914314</v>
      </c>
      <c r="AB515" s="74"/>
      <c r="AC515" s="74"/>
      <c r="AD515" s="256">
        <v>0</v>
      </c>
    </row>
    <row r="516" spans="1:30" s="251" customFormat="1" ht="18" customHeight="1">
      <c r="A516" s="398">
        <v>30328</v>
      </c>
      <c r="B516" s="358">
        <v>1</v>
      </c>
      <c r="C516" s="385">
        <v>46155</v>
      </c>
      <c r="D516" s="386">
        <f t="shared" ca="1" si="17"/>
        <v>72</v>
      </c>
      <c r="E516" s="170" t="str">
        <f t="shared" si="18"/>
        <v>CANCELADA</v>
      </c>
      <c r="F516" s="397" t="s">
        <v>42</v>
      </c>
      <c r="G516" s="392" t="s">
        <v>60</v>
      </c>
      <c r="H516" s="139" t="s">
        <v>52</v>
      </c>
      <c r="I516" s="139" t="str">
        <f>IF(X516="ADMITIDO","ADMITIDO",IF(X516="CANCELADA","CANCELADA",IF(H516="","",IFERROR(_xlfn.XLOOKUP(H516,Listas!I:I,Listas!J:J),"OUTROS"))))</f>
        <v>CANCELADA</v>
      </c>
      <c r="J516" s="248" t="s">
        <v>53</v>
      </c>
      <c r="K516" s="248" t="s">
        <v>61</v>
      </c>
      <c r="L516" s="248" t="s">
        <v>62</v>
      </c>
      <c r="M516" s="248"/>
      <c r="N516" s="269" t="s">
        <v>63</v>
      </c>
      <c r="O516" s="73" t="s">
        <v>34</v>
      </c>
      <c r="P516" s="73" t="s">
        <v>219</v>
      </c>
      <c r="Q516" s="73" t="s">
        <v>73</v>
      </c>
      <c r="R516" s="74"/>
      <c r="S516" s="228"/>
      <c r="T516" s="229"/>
      <c r="U516" s="73"/>
      <c r="V516" s="220"/>
      <c r="W516" s="203"/>
      <c r="X516" s="227" t="s">
        <v>52</v>
      </c>
      <c r="Y516" s="249"/>
      <c r="Z516" s="249"/>
      <c r="AA516" s="256"/>
      <c r="AB516" s="74"/>
      <c r="AC516" s="74"/>
      <c r="AD516" s="256">
        <v>0</v>
      </c>
    </row>
    <row r="517" spans="1:30" s="251" customFormat="1" ht="18" customHeight="1">
      <c r="A517" s="370">
        <v>30333</v>
      </c>
      <c r="B517" s="355">
        <v>1</v>
      </c>
      <c r="C517" s="366">
        <v>46155</v>
      </c>
      <c r="D517" s="367">
        <f t="shared" ref="D517:D538" ca="1" si="19">TODAY()-C517</f>
        <v>72</v>
      </c>
      <c r="E517" s="368" t="str">
        <f t="shared" si="18"/>
        <v>CANCELADA</v>
      </c>
      <c r="F517" s="371" t="s">
        <v>42</v>
      </c>
      <c r="G517" s="369" t="s">
        <v>102</v>
      </c>
      <c r="H517" s="146" t="s">
        <v>52</v>
      </c>
      <c r="I517" s="146" t="str">
        <f>IF(X517="ADMITIDO","ADMITIDO",IF(X517="CANCELADA","CANCELADA",IF(H517="","",IFERROR(_xlfn.XLOOKUP(H517,Listas!I:I,Listas!J:J),"OUTROS"))))</f>
        <v>CANCELADA</v>
      </c>
      <c r="J517" s="248" t="s">
        <v>44</v>
      </c>
      <c r="K517" s="248" t="s">
        <v>103</v>
      </c>
      <c r="L517" s="248" t="s">
        <v>194</v>
      </c>
      <c r="M517" s="248"/>
      <c r="N517" s="269" t="s">
        <v>63</v>
      </c>
      <c r="O517" s="73" t="s">
        <v>34</v>
      </c>
      <c r="P517" s="73" t="s">
        <v>35</v>
      </c>
      <c r="Q517" s="73" t="s">
        <v>287</v>
      </c>
      <c r="R517" s="74"/>
      <c r="S517" s="228"/>
      <c r="T517" s="229"/>
      <c r="U517" s="73"/>
      <c r="V517" s="220"/>
      <c r="W517" s="203"/>
      <c r="X517" s="227" t="s">
        <v>52</v>
      </c>
      <c r="Y517" s="249"/>
      <c r="Z517" s="249"/>
      <c r="AA517" s="256"/>
      <c r="AB517" s="277" t="s">
        <v>1661</v>
      </c>
      <c r="AC517" s="74" t="s">
        <v>1523</v>
      </c>
      <c r="AD517" s="256">
        <v>0</v>
      </c>
    </row>
    <row r="518" spans="1:30" s="251" customFormat="1" ht="18" customHeight="1">
      <c r="A518" s="97">
        <v>29743</v>
      </c>
      <c r="B518" s="105">
        <v>1</v>
      </c>
      <c r="C518" s="247">
        <v>46120</v>
      </c>
      <c r="D518" s="105">
        <f ca="1">TODAY()-C518</f>
        <v>107</v>
      </c>
      <c r="E518" s="138" t="str">
        <f>IF(X518="ADMITIDO","ADMITIDO",IF(X518="CANCELADA","CANCELADA",IF(H518="","",IF(H518="ADMITIDO","ADMITIDO",IF(H518="CANCELADA","CANCELADA",IF(OR(H518="ANALISE CANCELAMENTO",H518="ANÁLISE CANCELAMENTO"),"EM ANÁLISE",IF(D518="","",IF(D518&lt;=7,"NO PRAZO",IF(D518&lt;=14,"ATENÇÃO","CRÍTICO")))))))))</f>
        <v>ADMITIDO</v>
      </c>
      <c r="F518" s="138" t="s">
        <v>42</v>
      </c>
      <c r="G518" s="117" t="s">
        <v>29</v>
      </c>
      <c r="H518" s="117" t="s">
        <v>40</v>
      </c>
      <c r="I518" s="117" t="str">
        <f>IF(X518="ADMITIDO","ADMITIDO",IF(X518="CANCELADA","CANCELADA",IF(H518="","",IFERROR(_xlfn.XLOOKUP(H518,Listas!I:I,Listas!J:J),"OUTROS"))))</f>
        <v>ADMITIDO</v>
      </c>
      <c r="J518" s="359" t="s">
        <v>227</v>
      </c>
      <c r="K518" s="73" t="s">
        <v>228</v>
      </c>
      <c r="L518" s="73" t="s">
        <v>229</v>
      </c>
      <c r="M518" s="73"/>
      <c r="N518" s="73" t="s">
        <v>88</v>
      </c>
      <c r="O518" s="73" t="s">
        <v>34</v>
      </c>
      <c r="P518" s="73" t="s">
        <v>381</v>
      </c>
      <c r="Q518" s="73" t="s">
        <v>231</v>
      </c>
      <c r="R518" s="74" t="s">
        <v>1662</v>
      </c>
      <c r="S518" s="228"/>
      <c r="T518" s="74" t="s">
        <v>1663</v>
      </c>
      <c r="U518" s="73" t="s">
        <v>38</v>
      </c>
      <c r="V518" s="220">
        <v>46059</v>
      </c>
      <c r="W518" s="203" t="s">
        <v>1664</v>
      </c>
      <c r="X518" s="227" t="s">
        <v>40</v>
      </c>
      <c r="Y518" s="249">
        <v>46181</v>
      </c>
      <c r="Z518" s="249">
        <v>46182</v>
      </c>
      <c r="AA518" s="224">
        <v>146064</v>
      </c>
      <c r="AB518" s="74" t="s">
        <v>1665</v>
      </c>
      <c r="AC518" s="74"/>
      <c r="AD518" s="256">
        <v>2</v>
      </c>
    </row>
    <row r="519" spans="1:30" s="251" customFormat="1" ht="18" customHeight="1">
      <c r="A519" s="223">
        <v>30354</v>
      </c>
      <c r="B519" s="224">
        <v>1</v>
      </c>
      <c r="C519" s="201">
        <v>46156</v>
      </c>
      <c r="D519" s="105">
        <f t="shared" ca="1" si="19"/>
        <v>71</v>
      </c>
      <c r="E519" s="138" t="str">
        <f t="shared" si="18"/>
        <v>ADMITIDO</v>
      </c>
      <c r="F519" s="230" t="s">
        <v>42</v>
      </c>
      <c r="G519" s="147" t="s">
        <v>60</v>
      </c>
      <c r="H519" s="117" t="s">
        <v>40</v>
      </c>
      <c r="I519" s="117" t="str">
        <f>IF(X519="ADMITIDO","ADMITIDO",IF(X519="CANCELADA","CANCELADA",IF(H519="","",IFERROR(_xlfn.XLOOKUP(H519,Listas!I:I,Listas!J:J),"OUTROS"))))</f>
        <v>ADMITIDO</v>
      </c>
      <c r="J519" s="359" t="s">
        <v>53</v>
      </c>
      <c r="K519" s="248" t="s">
        <v>61</v>
      </c>
      <c r="L519" s="248" t="s">
        <v>556</v>
      </c>
      <c r="M519" s="248"/>
      <c r="N519" s="248" t="s">
        <v>63</v>
      </c>
      <c r="O519" s="73" t="s">
        <v>34</v>
      </c>
      <c r="P519" s="73" t="s">
        <v>72</v>
      </c>
      <c r="Q519" s="73" t="s">
        <v>73</v>
      </c>
      <c r="R519" s="74" t="s">
        <v>1666</v>
      </c>
      <c r="S519" s="228" t="s">
        <v>65</v>
      </c>
      <c r="T519" s="229" t="s">
        <v>1667</v>
      </c>
      <c r="U519" s="73" t="s">
        <v>1668</v>
      </c>
      <c r="V519" s="220">
        <v>46163</v>
      </c>
      <c r="W519" s="203" t="s">
        <v>1669</v>
      </c>
      <c r="X519" s="227" t="s">
        <v>40</v>
      </c>
      <c r="Y519" s="249">
        <v>46168</v>
      </c>
      <c r="Z519" s="249">
        <v>46169</v>
      </c>
      <c r="AA519" s="256">
        <v>146015</v>
      </c>
      <c r="AB519" s="74"/>
      <c r="AC519" s="74"/>
      <c r="AD519" s="256">
        <v>0</v>
      </c>
    </row>
    <row r="520" spans="1:30" s="251" customFormat="1" ht="18" customHeight="1">
      <c r="A520" s="223">
        <v>30300</v>
      </c>
      <c r="B520" s="224">
        <v>1</v>
      </c>
      <c r="C520" s="201">
        <v>46156</v>
      </c>
      <c r="D520" s="105">
        <f t="shared" ca="1" si="19"/>
        <v>71</v>
      </c>
      <c r="E520" s="138" t="str">
        <f t="shared" si="18"/>
        <v>ADMITIDO</v>
      </c>
      <c r="F520" s="230" t="s">
        <v>171</v>
      </c>
      <c r="G520" s="147" t="s">
        <v>29</v>
      </c>
      <c r="H520" s="117" t="s">
        <v>40</v>
      </c>
      <c r="I520" s="117" t="str">
        <f>IF(X520="ADMITIDO","ADMITIDO",IF(X520="CANCELADA","CANCELADA",IF(H520="","",IFERROR(_xlfn.XLOOKUP(H520,Listas!I:I,Listas!J:J),"OUTROS"))))</f>
        <v>ADMITIDO</v>
      </c>
      <c r="J520" s="359" t="s">
        <v>172</v>
      </c>
      <c r="K520" s="248" t="s">
        <v>203</v>
      </c>
      <c r="L520" s="248" t="s">
        <v>32</v>
      </c>
      <c r="M520" s="248"/>
      <c r="N520" s="248" t="s">
        <v>33</v>
      </c>
      <c r="O520" s="73" t="s">
        <v>56</v>
      </c>
      <c r="P520" s="73" t="s">
        <v>35</v>
      </c>
      <c r="Q520" s="73" t="s">
        <v>176</v>
      </c>
      <c r="R520" s="74"/>
      <c r="S520" s="228"/>
      <c r="T520" s="229" t="s">
        <v>1670</v>
      </c>
      <c r="U520" s="73" t="s">
        <v>38</v>
      </c>
      <c r="V520" s="220">
        <v>46163</v>
      </c>
      <c r="W520" s="203" t="s">
        <v>1671</v>
      </c>
      <c r="X520" s="227" t="s">
        <v>40</v>
      </c>
      <c r="Y520" s="249">
        <v>46167</v>
      </c>
      <c r="Z520" s="249">
        <v>46168</v>
      </c>
      <c r="AA520" s="256">
        <v>83306</v>
      </c>
      <c r="AB520" s="74"/>
      <c r="AC520" s="74"/>
      <c r="AD520" s="256">
        <v>0</v>
      </c>
    </row>
    <row r="521" spans="1:30" s="251" customFormat="1" ht="18" customHeight="1">
      <c r="A521" s="398">
        <v>30349</v>
      </c>
      <c r="B521" s="358">
        <v>1</v>
      </c>
      <c r="C521" s="385">
        <v>46156</v>
      </c>
      <c r="D521" s="386">
        <f t="shared" ca="1" si="19"/>
        <v>71</v>
      </c>
      <c r="E521" s="170" t="str">
        <f t="shared" si="18"/>
        <v>CANCELADA</v>
      </c>
      <c r="F521" s="397" t="s">
        <v>28</v>
      </c>
      <c r="G521" s="392" t="s">
        <v>60</v>
      </c>
      <c r="H521" s="139" t="s">
        <v>52</v>
      </c>
      <c r="I521" s="139" t="str">
        <f>IF(X521="ADMITIDO","ADMITIDO",IF(X521="CANCELADA","CANCELADA",IF(H521="","",IFERROR(_xlfn.XLOOKUP(H521,Listas!I:I,Listas!J:J),"OUTROS"))))</f>
        <v>CANCELADA</v>
      </c>
      <c r="J521" s="248" t="s">
        <v>616</v>
      </c>
      <c r="K521" s="248" t="s">
        <v>318</v>
      </c>
      <c r="L521" s="248" t="s">
        <v>1278</v>
      </c>
      <c r="M521" s="248"/>
      <c r="N521" s="248" t="s">
        <v>63</v>
      </c>
      <c r="O521" s="73" t="s">
        <v>56</v>
      </c>
      <c r="P521" s="73" t="s">
        <v>35</v>
      </c>
      <c r="Q521" s="73" t="s">
        <v>176</v>
      </c>
      <c r="R521" s="74"/>
      <c r="S521" s="228"/>
      <c r="T521" s="229"/>
      <c r="U521" s="73"/>
      <c r="V521" s="220"/>
      <c r="W521" s="203"/>
      <c r="X521" s="227" t="s">
        <v>52</v>
      </c>
      <c r="Y521" s="249"/>
      <c r="Z521" s="249"/>
      <c r="AA521" s="256"/>
      <c r="AB521" s="74"/>
      <c r="AC521" s="74"/>
      <c r="AD521" s="256">
        <v>0</v>
      </c>
    </row>
    <row r="522" spans="1:30" s="251" customFormat="1" ht="18" customHeight="1">
      <c r="A522" s="370">
        <v>30350</v>
      </c>
      <c r="B522" s="355">
        <v>1</v>
      </c>
      <c r="C522" s="366">
        <v>46156</v>
      </c>
      <c r="D522" s="367">
        <f t="shared" ca="1" si="19"/>
        <v>71</v>
      </c>
      <c r="E522" s="368" t="str">
        <f t="shared" si="18"/>
        <v>CANCELADA</v>
      </c>
      <c r="F522" s="371" t="s">
        <v>28</v>
      </c>
      <c r="G522" s="369" t="s">
        <v>60</v>
      </c>
      <c r="H522" s="146" t="s">
        <v>52</v>
      </c>
      <c r="I522" s="146" t="str">
        <f>IF(X522="ADMITIDO","ADMITIDO",IF(X522="CANCELADA","CANCELADA",IF(H522="","",IFERROR(_xlfn.XLOOKUP(H522,Listas!I:I,Listas!J:J),"OUTROS"))))</f>
        <v>CANCELADA</v>
      </c>
      <c r="J522" s="248" t="s">
        <v>616</v>
      </c>
      <c r="K522" s="248" t="s">
        <v>318</v>
      </c>
      <c r="L522" s="248" t="s">
        <v>1278</v>
      </c>
      <c r="M522" s="248"/>
      <c r="N522" s="248" t="s">
        <v>63</v>
      </c>
      <c r="O522" s="73" t="s">
        <v>56</v>
      </c>
      <c r="P522" s="73" t="s">
        <v>35</v>
      </c>
      <c r="Q522" s="73" t="s">
        <v>176</v>
      </c>
      <c r="R522" s="74"/>
      <c r="S522" s="228"/>
      <c r="T522" s="229"/>
      <c r="U522" s="73"/>
      <c r="V522" s="220"/>
      <c r="W522" s="203"/>
      <c r="X522" s="227" t="s">
        <v>52</v>
      </c>
      <c r="Y522" s="249"/>
      <c r="Z522" s="249"/>
      <c r="AA522" s="256"/>
      <c r="AB522" s="74"/>
      <c r="AC522" s="74"/>
      <c r="AD522" s="256">
        <v>0</v>
      </c>
    </row>
    <row r="523" spans="1:30" s="251" customFormat="1" ht="18" customHeight="1">
      <c r="A523" s="223">
        <v>30356</v>
      </c>
      <c r="B523" s="224">
        <v>1</v>
      </c>
      <c r="C523" s="201">
        <v>46156</v>
      </c>
      <c r="D523" s="105">
        <f t="shared" ca="1" si="19"/>
        <v>71</v>
      </c>
      <c r="E523" s="138" t="str">
        <f t="shared" si="18"/>
        <v>ADMITIDO</v>
      </c>
      <c r="F523" s="230" t="s">
        <v>42</v>
      </c>
      <c r="G523" s="147" t="s">
        <v>663</v>
      </c>
      <c r="H523" s="117" t="s">
        <v>40</v>
      </c>
      <c r="I523" s="117" t="str">
        <f>IF(X523="ADMITIDO","ADMITIDO",IF(X523="CANCELADA","CANCELADA",IF(H523="","",IFERROR(_xlfn.XLOOKUP(H523,Listas!I:I,Listas!J:J),"OUTROS"))))</f>
        <v>ADMITIDO</v>
      </c>
      <c r="J523" s="359" t="s">
        <v>44</v>
      </c>
      <c r="K523" s="248" t="s">
        <v>228</v>
      </c>
      <c r="L523" s="248" t="s">
        <v>807</v>
      </c>
      <c r="M523" s="248"/>
      <c r="N523" s="248" t="s">
        <v>88</v>
      </c>
      <c r="O523" s="73" t="s">
        <v>34</v>
      </c>
      <c r="P523" s="73" t="s">
        <v>210</v>
      </c>
      <c r="Q523" s="73" t="s">
        <v>349</v>
      </c>
      <c r="R523" s="74"/>
      <c r="S523" s="228"/>
      <c r="T523" s="252" t="s">
        <v>1672</v>
      </c>
      <c r="U523" s="73" t="s">
        <v>1203</v>
      </c>
      <c r="V523" s="220">
        <v>46163</v>
      </c>
      <c r="W523" s="233" t="s">
        <v>1673</v>
      </c>
      <c r="X523" s="119" t="s">
        <v>40</v>
      </c>
      <c r="Y523" s="249">
        <v>46169</v>
      </c>
      <c r="Z523" s="249">
        <v>46170</v>
      </c>
      <c r="AA523" s="256">
        <v>914337</v>
      </c>
      <c r="AB523" s="74"/>
      <c r="AC523" s="74"/>
      <c r="AD523" s="256">
        <v>0</v>
      </c>
    </row>
    <row r="524" spans="1:30" s="251" customFormat="1" ht="18" customHeight="1">
      <c r="A524" s="223">
        <v>30353</v>
      </c>
      <c r="B524" s="224">
        <v>1</v>
      </c>
      <c r="C524" s="201">
        <v>46156</v>
      </c>
      <c r="D524" s="105">
        <f t="shared" ca="1" si="19"/>
        <v>71</v>
      </c>
      <c r="E524" s="138" t="str">
        <f t="shared" si="18"/>
        <v>ADMITIDO</v>
      </c>
      <c r="F524" s="230" t="s">
        <v>28</v>
      </c>
      <c r="G524" s="147" t="s">
        <v>240</v>
      </c>
      <c r="H524" s="117" t="s">
        <v>40</v>
      </c>
      <c r="I524" s="117" t="str">
        <f>IF(X524="ADMITIDO","ADMITIDO",IF(X524="CANCELADA","CANCELADA",IF(H524="","",IFERROR(_xlfn.XLOOKUP(H524,Listas!I:I,Listas!J:J),"OUTROS"))))</f>
        <v>ADMITIDO</v>
      </c>
      <c r="J524" s="359" t="s">
        <v>268</v>
      </c>
      <c r="K524" s="248" t="s">
        <v>676</v>
      </c>
      <c r="L524" s="248" t="s">
        <v>312</v>
      </c>
      <c r="M524" s="248"/>
      <c r="N524" s="248" t="s">
        <v>243</v>
      </c>
      <c r="O524" s="73" t="s">
        <v>56</v>
      </c>
      <c r="P524" s="73" t="s">
        <v>35</v>
      </c>
      <c r="Q524" s="73" t="s">
        <v>176</v>
      </c>
      <c r="R524" s="74"/>
      <c r="S524" s="228" t="s">
        <v>1533</v>
      </c>
      <c r="T524" s="252" t="s">
        <v>1674</v>
      </c>
      <c r="U524" s="73" t="s">
        <v>67</v>
      </c>
      <c r="V524" s="220">
        <v>46162</v>
      </c>
      <c r="W524" s="118" t="s">
        <v>1675</v>
      </c>
      <c r="X524" s="119" t="s">
        <v>40</v>
      </c>
      <c r="Y524" s="249">
        <v>46167</v>
      </c>
      <c r="Z524" s="249">
        <v>46169</v>
      </c>
      <c r="AA524" s="256">
        <v>914349</v>
      </c>
      <c r="AB524" s="74"/>
      <c r="AC524" s="74"/>
      <c r="AD524" s="256">
        <v>0</v>
      </c>
    </row>
    <row r="525" spans="1:30" s="251" customFormat="1" ht="18" customHeight="1">
      <c r="A525" s="223">
        <v>30358</v>
      </c>
      <c r="B525" s="224">
        <v>1</v>
      </c>
      <c r="C525" s="201">
        <v>46156</v>
      </c>
      <c r="D525" s="105">
        <f t="shared" ca="1" si="19"/>
        <v>71</v>
      </c>
      <c r="E525" s="138" t="str">
        <f t="shared" si="18"/>
        <v>ADMITIDO</v>
      </c>
      <c r="F525" s="230" t="s">
        <v>28</v>
      </c>
      <c r="G525" s="147" t="s">
        <v>663</v>
      </c>
      <c r="H525" s="117" t="s">
        <v>40</v>
      </c>
      <c r="I525" s="117" t="str">
        <f>IF(X525="ADMITIDO","ADMITIDO",IF(X525="CANCELADA","CANCELADA",IF(H525="","",IFERROR(_xlfn.XLOOKUP(H525,Listas!I:I,Listas!J:J),"OUTROS"))))</f>
        <v>ADMITIDO</v>
      </c>
      <c r="J525" s="359" t="s">
        <v>146</v>
      </c>
      <c r="K525" s="248" t="s">
        <v>86</v>
      </c>
      <c r="L525" s="248" t="s">
        <v>1232</v>
      </c>
      <c r="M525" s="248"/>
      <c r="N525" s="248" t="s">
        <v>88</v>
      </c>
      <c r="O525" s="73" t="s">
        <v>34</v>
      </c>
      <c r="P525" s="73" t="s">
        <v>35</v>
      </c>
      <c r="Q525" s="73" t="s">
        <v>362</v>
      </c>
      <c r="R525" s="74"/>
      <c r="S525" s="228"/>
      <c r="T525" s="252" t="s">
        <v>1676</v>
      </c>
      <c r="U525" s="73" t="s">
        <v>38</v>
      </c>
      <c r="V525" s="220">
        <v>46162</v>
      </c>
      <c r="W525" s="234" t="s">
        <v>1677</v>
      </c>
      <c r="X525" s="119" t="s">
        <v>40</v>
      </c>
      <c r="Y525" s="249">
        <v>46167</v>
      </c>
      <c r="Z525" s="249">
        <v>46168</v>
      </c>
      <c r="AA525" s="256">
        <v>914335</v>
      </c>
      <c r="AB525" s="74"/>
      <c r="AC525" s="74"/>
      <c r="AD525" s="256">
        <v>0</v>
      </c>
    </row>
    <row r="526" spans="1:30" s="251" customFormat="1" ht="18" customHeight="1">
      <c r="A526" s="223">
        <v>30347</v>
      </c>
      <c r="B526" s="224">
        <v>1</v>
      </c>
      <c r="C526" s="201">
        <v>46156</v>
      </c>
      <c r="D526" s="105">
        <f t="shared" ca="1" si="19"/>
        <v>71</v>
      </c>
      <c r="E526" s="138" t="str">
        <f t="shared" si="18"/>
        <v>ADMITIDO</v>
      </c>
      <c r="F526" s="230" t="s">
        <v>28</v>
      </c>
      <c r="G526" s="147" t="s">
        <v>29</v>
      </c>
      <c r="H526" s="117" t="s">
        <v>40</v>
      </c>
      <c r="I526" s="117" t="str">
        <f>IF(X526="ADMITIDO","ADMITIDO",IF(X526="CANCELADA","CANCELADA",IF(H526="","",IFERROR(_xlfn.XLOOKUP(H526,Listas!I:I,Listas!J:J),"OUTROS"))))</f>
        <v>ADMITIDO</v>
      </c>
      <c r="J526" s="359" t="s">
        <v>146</v>
      </c>
      <c r="K526" s="248" t="s">
        <v>614</v>
      </c>
      <c r="L526" s="248" t="s">
        <v>1232</v>
      </c>
      <c r="M526" s="248"/>
      <c r="N526" s="248" t="s">
        <v>88</v>
      </c>
      <c r="O526" s="73" t="s">
        <v>56</v>
      </c>
      <c r="P526" s="73" t="s">
        <v>35</v>
      </c>
      <c r="Q526" s="73" t="s">
        <v>357</v>
      </c>
      <c r="R526" s="74"/>
      <c r="S526" s="228"/>
      <c r="T526" s="229" t="s">
        <v>1678</v>
      </c>
      <c r="U526" s="73" t="s">
        <v>38</v>
      </c>
      <c r="V526" s="220">
        <v>46160</v>
      </c>
      <c r="W526" s="118" t="s">
        <v>1679</v>
      </c>
      <c r="X526" s="227" t="s">
        <v>40</v>
      </c>
      <c r="Y526" s="249">
        <v>46164</v>
      </c>
      <c r="Z526" s="249">
        <v>46165</v>
      </c>
      <c r="AA526" s="256">
        <v>914319</v>
      </c>
      <c r="AB526" s="74"/>
      <c r="AC526" s="74"/>
      <c r="AD526" s="256">
        <v>0</v>
      </c>
    </row>
    <row r="527" spans="1:30" s="251" customFormat="1" ht="18" customHeight="1">
      <c r="A527" s="223">
        <v>30348</v>
      </c>
      <c r="B527" s="224">
        <v>1</v>
      </c>
      <c r="C527" s="201">
        <v>46156</v>
      </c>
      <c r="D527" s="105">
        <f t="shared" ca="1" si="19"/>
        <v>71</v>
      </c>
      <c r="E527" s="138" t="str">
        <f t="shared" si="18"/>
        <v>ADMITIDO</v>
      </c>
      <c r="F527" s="230" t="s">
        <v>28</v>
      </c>
      <c r="G527" s="147" t="s">
        <v>663</v>
      </c>
      <c r="H527" s="117" t="s">
        <v>40</v>
      </c>
      <c r="I527" s="117" t="str">
        <f>IF(X527="ADMITIDO","ADMITIDO",IF(X527="CANCELADA","CANCELADA",IF(H527="","",IFERROR(_xlfn.XLOOKUP(H527,Listas!I:I,Listas!J:J),"OUTROS"))))</f>
        <v>ADMITIDO</v>
      </c>
      <c r="J527" s="359" t="s">
        <v>146</v>
      </c>
      <c r="K527" s="248" t="s">
        <v>614</v>
      </c>
      <c r="L527" s="248" t="s">
        <v>1232</v>
      </c>
      <c r="M527" s="248"/>
      <c r="N527" s="248" t="s">
        <v>88</v>
      </c>
      <c r="O527" s="73" t="s">
        <v>56</v>
      </c>
      <c r="P527" s="73" t="s">
        <v>35</v>
      </c>
      <c r="Q527" s="73" t="s">
        <v>357</v>
      </c>
      <c r="R527" s="74" t="s">
        <v>1680</v>
      </c>
      <c r="S527" s="228"/>
      <c r="T527" s="229" t="s">
        <v>1681</v>
      </c>
      <c r="U527" s="73" t="s">
        <v>1203</v>
      </c>
      <c r="V527" s="220">
        <v>46167</v>
      </c>
      <c r="W527" s="245" t="s">
        <v>1682</v>
      </c>
      <c r="X527" s="227" t="s">
        <v>40</v>
      </c>
      <c r="Y527" s="249">
        <v>46171</v>
      </c>
      <c r="Z527" s="249">
        <v>46172</v>
      </c>
      <c r="AA527" s="256">
        <v>914359</v>
      </c>
      <c r="AB527" s="74" t="s">
        <v>1683</v>
      </c>
      <c r="AC527" s="74"/>
      <c r="AD527" s="256">
        <v>1</v>
      </c>
    </row>
    <row r="528" spans="1:30" s="251" customFormat="1" ht="18" customHeight="1">
      <c r="A528" s="223">
        <v>30352</v>
      </c>
      <c r="B528" s="224">
        <v>1</v>
      </c>
      <c r="C528" s="201">
        <v>46156</v>
      </c>
      <c r="D528" s="105">
        <f t="shared" ca="1" si="19"/>
        <v>71</v>
      </c>
      <c r="E528" s="138" t="str">
        <f t="shared" si="18"/>
        <v>ADMITIDO</v>
      </c>
      <c r="F528" s="230" t="s">
        <v>171</v>
      </c>
      <c r="G528" s="147" t="s">
        <v>145</v>
      </c>
      <c r="H528" s="117" t="s">
        <v>40</v>
      </c>
      <c r="I528" s="117" t="str">
        <f>IF(X528="ADMITIDO","ADMITIDO",IF(X528="CANCELADA","CANCELADA",IF(H528="","",IFERROR(_xlfn.XLOOKUP(H528,Listas!I:I,Listas!J:J),"OUTROS"))))</f>
        <v>ADMITIDO</v>
      </c>
      <c r="J528" s="359" t="s">
        <v>172</v>
      </c>
      <c r="K528" s="248" t="s">
        <v>986</v>
      </c>
      <c r="L528" s="248" t="s">
        <v>1279</v>
      </c>
      <c r="M528" s="248"/>
      <c r="N528" s="248" t="s">
        <v>33</v>
      </c>
      <c r="O528" s="73" t="s">
        <v>56</v>
      </c>
      <c r="P528" s="73" t="s">
        <v>35</v>
      </c>
      <c r="Q528" s="73" t="s">
        <v>176</v>
      </c>
      <c r="R528" s="74"/>
      <c r="S528" s="228" t="s">
        <v>373</v>
      </c>
      <c r="T528" s="229"/>
      <c r="U528" s="73" t="s">
        <v>76</v>
      </c>
      <c r="V528" s="220">
        <v>46157</v>
      </c>
      <c r="W528" s="203" t="s">
        <v>1280</v>
      </c>
      <c r="X528" s="227" t="s">
        <v>40</v>
      </c>
      <c r="Y528" s="249">
        <v>46161</v>
      </c>
      <c r="Z528" s="249">
        <v>46162</v>
      </c>
      <c r="AA528" s="256">
        <v>83298</v>
      </c>
      <c r="AB528" s="74"/>
      <c r="AC528" s="74"/>
      <c r="AD528" s="256">
        <v>0</v>
      </c>
    </row>
    <row r="529" spans="1:30" s="251" customFormat="1" ht="18" customHeight="1">
      <c r="A529" s="370">
        <v>30345</v>
      </c>
      <c r="B529" s="355">
        <v>1</v>
      </c>
      <c r="C529" s="366">
        <v>46156</v>
      </c>
      <c r="D529" s="367">
        <f t="shared" ca="1" si="19"/>
        <v>71</v>
      </c>
      <c r="E529" s="368" t="str">
        <f>IF(X529="ADMITIDO","ADMITIDO",IF(X529="CANCELADA","CANCELADA",IF(H529="","",IF(H529="ADMITIDO","ADMITIDO",IF(H529="CANCELADA","CANCELADA",IF(OR(H529="ANALISE CANCELAMENTO",H529="ANÁLISE CANCELAMENTO"),"EM ANÁLISE",IF(D529="","",IF(D529&lt;=7,"NO PRAZO",IF(D529&lt;=14,"ATENÇÃO","CRÍTICO")))))))))</f>
        <v>ADMITIDO</v>
      </c>
      <c r="F529" s="371" t="s">
        <v>28</v>
      </c>
      <c r="G529" s="369" t="s">
        <v>43</v>
      </c>
      <c r="H529" s="146" t="s">
        <v>40</v>
      </c>
      <c r="I529" s="146" t="str">
        <f>IF(X529="ADMITIDO","ADMITIDO",IF(X529="CANCELADA","CANCELADA",IF(H529="","",IFERROR(_xlfn.XLOOKUP(H529,Listas!I:I,Listas!J:J),"OUTROS"))))</f>
        <v>ADMITIDO</v>
      </c>
      <c r="J529" s="408" t="s">
        <v>586</v>
      </c>
      <c r="K529" s="248" t="s">
        <v>335</v>
      </c>
      <c r="L529" s="248" t="s">
        <v>1281</v>
      </c>
      <c r="M529" s="248"/>
      <c r="N529" s="248" t="s">
        <v>337</v>
      </c>
      <c r="O529" s="73" t="s">
        <v>56</v>
      </c>
      <c r="P529" s="73" t="s">
        <v>35</v>
      </c>
      <c r="Q529" s="73" t="s">
        <v>760</v>
      </c>
      <c r="R529" s="74"/>
      <c r="S529" s="228" t="s">
        <v>1684</v>
      </c>
      <c r="T529" s="229">
        <v>11976686705</v>
      </c>
      <c r="U529" s="73" t="s">
        <v>67</v>
      </c>
      <c r="V529" s="220">
        <v>46190</v>
      </c>
      <c r="W529" s="203" t="s">
        <v>1685</v>
      </c>
      <c r="X529" s="227" t="s">
        <v>40</v>
      </c>
      <c r="Y529" s="249">
        <v>46198</v>
      </c>
      <c r="Z529" s="249">
        <v>46198</v>
      </c>
      <c r="AA529" s="256">
        <v>914510</v>
      </c>
      <c r="AB529" s="74" t="s">
        <v>1686</v>
      </c>
      <c r="AC529" s="74"/>
      <c r="AD529" s="256">
        <v>2</v>
      </c>
    </row>
    <row r="530" spans="1:30" s="251" customFormat="1" ht="18" customHeight="1">
      <c r="A530" s="223">
        <v>30364</v>
      </c>
      <c r="B530" s="224">
        <v>1</v>
      </c>
      <c r="C530" s="201">
        <v>46157</v>
      </c>
      <c r="D530" s="105">
        <f t="shared" ca="1" si="19"/>
        <v>70</v>
      </c>
      <c r="E530" s="138" t="str">
        <f t="shared" si="18"/>
        <v>CANCELADA</v>
      </c>
      <c r="F530" s="230" t="s">
        <v>42</v>
      </c>
      <c r="G530" s="147" t="s">
        <v>43</v>
      </c>
      <c r="H530" s="117" t="s">
        <v>52</v>
      </c>
      <c r="I530" s="117" t="str">
        <f>IF(X530="ADMITIDO","ADMITIDO",IF(X530="CANCELADA","CANCELADA",IF(H530="","",IFERROR(_xlfn.XLOOKUP(H530,Listas!I:I,Listas!J:J),"OUTROS"))))</f>
        <v>CANCELADA</v>
      </c>
      <c r="J530" s="235" t="s">
        <v>1687</v>
      </c>
      <c r="K530" s="361" t="s">
        <v>45</v>
      </c>
      <c r="L530" s="226" t="s">
        <v>1282</v>
      </c>
      <c r="M530" s="226"/>
      <c r="N530" s="226" t="s">
        <v>97</v>
      </c>
      <c r="O530" s="227" t="s">
        <v>34</v>
      </c>
      <c r="P530" s="227" t="s">
        <v>72</v>
      </c>
      <c r="Q530" s="227" t="s">
        <v>238</v>
      </c>
      <c r="R530" s="74" t="s">
        <v>1688</v>
      </c>
      <c r="S530" s="228"/>
      <c r="T530" s="229"/>
      <c r="U530" s="73"/>
      <c r="V530" s="220"/>
      <c r="W530" s="203"/>
      <c r="X530" s="227"/>
      <c r="Y530" s="249"/>
      <c r="Z530" s="249"/>
      <c r="AA530" s="256"/>
      <c r="AB530" s="74"/>
      <c r="AC530" s="74" t="s">
        <v>1689</v>
      </c>
      <c r="AD530" s="256">
        <v>0</v>
      </c>
    </row>
    <row r="531" spans="1:30" s="251" customFormat="1" ht="18" customHeight="1">
      <c r="A531" s="398">
        <v>30359</v>
      </c>
      <c r="B531" s="358">
        <v>1</v>
      </c>
      <c r="C531" s="385">
        <v>46157</v>
      </c>
      <c r="D531" s="386">
        <f t="shared" ca="1" si="19"/>
        <v>70</v>
      </c>
      <c r="E531" s="170" t="str">
        <f t="shared" si="18"/>
        <v>ADMITIDO</v>
      </c>
      <c r="F531" s="397" t="s">
        <v>42</v>
      </c>
      <c r="G531" s="392" t="s">
        <v>240</v>
      </c>
      <c r="H531" s="139" t="s">
        <v>40</v>
      </c>
      <c r="I531" s="139" t="str">
        <f>IF(X531="ADMITIDO","ADMITIDO",IF(X531="CANCELADA","CANCELADA",IF(H531="","",IFERROR(_xlfn.XLOOKUP(H531,Listas!I:I,Listas!J:J),"OUTROS"))))</f>
        <v>ADMITIDO</v>
      </c>
      <c r="J531" s="461" t="s">
        <v>53</v>
      </c>
      <c r="K531" s="226" t="s">
        <v>241</v>
      </c>
      <c r="L531" s="226" t="s">
        <v>307</v>
      </c>
      <c r="M531" s="226"/>
      <c r="N531" s="226" t="s">
        <v>243</v>
      </c>
      <c r="O531" s="227" t="s">
        <v>34</v>
      </c>
      <c r="P531" s="227" t="s">
        <v>57</v>
      </c>
      <c r="Q531" s="227" t="s">
        <v>1283</v>
      </c>
      <c r="R531" s="74"/>
      <c r="S531" s="228"/>
      <c r="T531" s="229">
        <v>11954372505</v>
      </c>
      <c r="U531" s="73" t="s">
        <v>109</v>
      </c>
      <c r="V531" s="220">
        <v>46162</v>
      </c>
      <c r="W531" s="118" t="s">
        <v>1690</v>
      </c>
      <c r="X531" s="119" t="s">
        <v>40</v>
      </c>
      <c r="Y531" s="249">
        <v>46163</v>
      </c>
      <c r="Z531" s="249">
        <v>46167</v>
      </c>
      <c r="AA531" s="256">
        <v>145999</v>
      </c>
      <c r="AB531" s="74"/>
      <c r="AC531" s="74"/>
      <c r="AD531" s="256">
        <v>0</v>
      </c>
    </row>
    <row r="532" spans="1:30" s="251" customFormat="1" ht="18" customHeight="1">
      <c r="A532" s="223">
        <v>30355</v>
      </c>
      <c r="B532" s="224">
        <v>1</v>
      </c>
      <c r="C532" s="201">
        <v>46157</v>
      </c>
      <c r="D532" s="105">
        <f t="shared" ca="1" si="19"/>
        <v>70</v>
      </c>
      <c r="E532" s="138" t="str">
        <f t="shared" si="18"/>
        <v>ADMITIDO</v>
      </c>
      <c r="F532" s="230" t="s">
        <v>42</v>
      </c>
      <c r="G532" s="147" t="s">
        <v>663</v>
      </c>
      <c r="H532" s="117" t="s">
        <v>40</v>
      </c>
      <c r="I532" s="117" t="str">
        <f>IF(X532="ADMITIDO","ADMITIDO",IF(X532="CANCELADA","CANCELADA",IF(H532="","",IFERROR(_xlfn.XLOOKUP(H532,Listas!I:I,Listas!J:J),"OUTROS"))))</f>
        <v>ADMITIDO</v>
      </c>
      <c r="J532" s="361" t="s">
        <v>44</v>
      </c>
      <c r="K532" s="226" t="s">
        <v>228</v>
      </c>
      <c r="L532" s="226" t="s">
        <v>807</v>
      </c>
      <c r="M532" s="226"/>
      <c r="N532" s="226" t="s">
        <v>88</v>
      </c>
      <c r="O532" s="227" t="s">
        <v>34</v>
      </c>
      <c r="P532" s="227" t="s">
        <v>210</v>
      </c>
      <c r="Q532" s="227" t="s">
        <v>349</v>
      </c>
      <c r="R532" s="74"/>
      <c r="S532" s="228"/>
      <c r="T532" s="252" t="s">
        <v>1691</v>
      </c>
      <c r="U532" s="73" t="s">
        <v>1203</v>
      </c>
      <c r="V532" s="220">
        <v>46163</v>
      </c>
      <c r="W532" s="234" t="s">
        <v>1692</v>
      </c>
      <c r="X532" s="119" t="s">
        <v>40</v>
      </c>
      <c r="Y532" s="249">
        <v>46167</v>
      </c>
      <c r="Z532" s="249">
        <v>46168</v>
      </c>
      <c r="AA532" s="256">
        <v>914339</v>
      </c>
      <c r="AB532" s="74"/>
      <c r="AC532" s="74"/>
      <c r="AD532" s="256">
        <v>0</v>
      </c>
    </row>
    <row r="533" spans="1:30" s="251" customFormat="1" ht="18" customHeight="1">
      <c r="A533" s="223">
        <v>30366</v>
      </c>
      <c r="B533" s="224">
        <v>1</v>
      </c>
      <c r="C533" s="201">
        <v>46157</v>
      </c>
      <c r="D533" s="105">
        <f t="shared" ca="1" si="19"/>
        <v>70</v>
      </c>
      <c r="E533" s="138" t="str">
        <f t="shared" si="18"/>
        <v>ADMITIDO</v>
      </c>
      <c r="F533" s="230" t="s">
        <v>28</v>
      </c>
      <c r="G533" s="147" t="s">
        <v>43</v>
      </c>
      <c r="H533" s="117" t="s">
        <v>40</v>
      </c>
      <c r="I533" s="117" t="str">
        <f>IF(X533="ADMITIDO","ADMITIDO",IF(X533="CANCELADA","CANCELADA",IF(H533="","",IFERROR(_xlfn.XLOOKUP(H533,Listas!I:I,Listas!J:J),"OUTROS"))))</f>
        <v>ADMITIDO</v>
      </c>
      <c r="J533" s="361" t="s">
        <v>1284</v>
      </c>
      <c r="K533" s="226" t="s">
        <v>1144</v>
      </c>
      <c r="L533" s="226" t="s">
        <v>700</v>
      </c>
      <c r="M533" s="226"/>
      <c r="N533" s="226" t="s">
        <v>47</v>
      </c>
      <c r="O533" s="227" t="s">
        <v>34</v>
      </c>
      <c r="P533" s="227" t="s">
        <v>703</v>
      </c>
      <c r="Q533" s="227" t="s">
        <v>36</v>
      </c>
      <c r="R533" s="74" t="s">
        <v>1693</v>
      </c>
      <c r="S533" s="228" t="s">
        <v>1694</v>
      </c>
      <c r="T533" s="229" t="s">
        <v>1695</v>
      </c>
      <c r="U533" s="73" t="s">
        <v>50</v>
      </c>
      <c r="V533" s="220">
        <v>46176</v>
      </c>
      <c r="W533" s="203" t="s">
        <v>1696</v>
      </c>
      <c r="X533" s="227" t="s">
        <v>40</v>
      </c>
      <c r="Y533" s="249">
        <v>46183</v>
      </c>
      <c r="Z533" s="249">
        <v>46184</v>
      </c>
      <c r="AA533" s="256">
        <v>914408</v>
      </c>
      <c r="AB533" s="74"/>
      <c r="AC533" s="74"/>
      <c r="AD533" s="256">
        <v>1</v>
      </c>
    </row>
    <row r="534" spans="1:30" s="251" customFormat="1" ht="18" customHeight="1">
      <c r="A534" s="223">
        <v>30357</v>
      </c>
      <c r="B534" s="224">
        <v>1</v>
      </c>
      <c r="C534" s="201">
        <v>46157</v>
      </c>
      <c r="D534" s="105">
        <f t="shared" ca="1" si="19"/>
        <v>70</v>
      </c>
      <c r="E534" s="138" t="str">
        <f t="shared" si="18"/>
        <v>ADMITIDO</v>
      </c>
      <c r="F534" s="230" t="s">
        <v>28</v>
      </c>
      <c r="G534" s="147" t="s">
        <v>240</v>
      </c>
      <c r="H534" s="117" t="s">
        <v>40</v>
      </c>
      <c r="I534" s="117" t="str">
        <f>IF(X534="ADMITIDO","ADMITIDO",IF(X534="CANCELADA","CANCELADA",IF(H534="","",IFERROR(_xlfn.XLOOKUP(H534,Listas!I:I,Listas!J:J),"OUTROS"))))</f>
        <v>ADMITIDO</v>
      </c>
      <c r="J534" s="361" t="s">
        <v>268</v>
      </c>
      <c r="K534" s="226" t="s">
        <v>423</v>
      </c>
      <c r="L534" s="226" t="s">
        <v>62</v>
      </c>
      <c r="M534" s="226"/>
      <c r="N534" s="226" t="s">
        <v>63</v>
      </c>
      <c r="O534" s="227" t="s">
        <v>34</v>
      </c>
      <c r="P534" s="227" t="s">
        <v>35</v>
      </c>
      <c r="Q534" s="227" t="s">
        <v>36</v>
      </c>
      <c r="R534" s="74"/>
      <c r="S534" s="228" t="s">
        <v>1229</v>
      </c>
      <c r="T534" s="229" t="s">
        <v>1697</v>
      </c>
      <c r="U534" s="73" t="s">
        <v>132</v>
      </c>
      <c r="V534" s="220" t="s">
        <v>1698</v>
      </c>
      <c r="W534" s="203" t="s">
        <v>1699</v>
      </c>
      <c r="X534" s="227" t="s">
        <v>40</v>
      </c>
      <c r="Y534" s="249">
        <v>46170</v>
      </c>
      <c r="Z534" s="249">
        <v>46171</v>
      </c>
      <c r="AA534" s="256">
        <v>914374</v>
      </c>
      <c r="AB534" s="74" t="s">
        <v>1700</v>
      </c>
      <c r="AC534" s="74"/>
      <c r="AD534" s="256">
        <v>2</v>
      </c>
    </row>
    <row r="535" spans="1:30" s="251" customFormat="1" ht="18" customHeight="1">
      <c r="A535" s="394">
        <v>30361</v>
      </c>
      <c r="B535" s="399">
        <v>1</v>
      </c>
      <c r="C535" s="379">
        <v>46157</v>
      </c>
      <c r="D535" s="380">
        <f t="shared" ca="1" si="19"/>
        <v>70</v>
      </c>
      <c r="E535" s="381" t="str">
        <f t="shared" si="18"/>
        <v>CANCELADA</v>
      </c>
      <c r="F535" s="395" t="s">
        <v>42</v>
      </c>
      <c r="G535" s="390" t="s">
        <v>43</v>
      </c>
      <c r="H535" s="382" t="s">
        <v>52</v>
      </c>
      <c r="I535" s="382" t="str">
        <f>IF(X535="ADMITIDO","ADMITIDO",IF(X535="CANCELADA","CANCELADA",IF(H535="","",IFERROR(_xlfn.XLOOKUP(H535,Listas!I:I,Listas!J:J),"OUTROS"))))</f>
        <v>CANCELADA</v>
      </c>
      <c r="J535" s="235" t="s">
        <v>1373</v>
      </c>
      <c r="K535" s="226" t="s">
        <v>45</v>
      </c>
      <c r="L535" s="226" t="s">
        <v>218</v>
      </c>
      <c r="M535" s="226"/>
      <c r="N535" s="226" t="s">
        <v>97</v>
      </c>
      <c r="O535" s="227" t="s">
        <v>34</v>
      </c>
      <c r="P535" s="227" t="s">
        <v>219</v>
      </c>
      <c r="Q535" s="227" t="s">
        <v>220</v>
      </c>
      <c r="R535" s="74" t="s">
        <v>1701</v>
      </c>
      <c r="S535" s="228"/>
      <c r="T535" s="229"/>
      <c r="U535" s="73"/>
      <c r="V535" s="220"/>
      <c r="W535" s="203"/>
      <c r="X535" s="227" t="s">
        <v>52</v>
      </c>
      <c r="Y535" s="249"/>
      <c r="Z535" s="249"/>
      <c r="AA535" s="256"/>
      <c r="AB535" s="74"/>
      <c r="AC535" s="74"/>
      <c r="AD535" s="256">
        <v>0</v>
      </c>
    </row>
    <row r="536" spans="1:30" s="251" customFormat="1" ht="18" customHeight="1">
      <c r="A536" s="223">
        <v>30362</v>
      </c>
      <c r="B536" s="224">
        <v>1</v>
      </c>
      <c r="C536" s="201">
        <v>46157</v>
      </c>
      <c r="D536" s="105">
        <f t="shared" ca="1" si="19"/>
        <v>70</v>
      </c>
      <c r="E536" s="138" t="str">
        <f t="shared" si="18"/>
        <v>ADMITIDO</v>
      </c>
      <c r="F536" s="230" t="s">
        <v>42</v>
      </c>
      <c r="G536" s="147" t="s">
        <v>43</v>
      </c>
      <c r="H536" s="117" t="s">
        <v>40</v>
      </c>
      <c r="I536" s="117" t="str">
        <f>IF(X536="ADMITIDO","ADMITIDO",IF(X536="CANCELADA","CANCELADA",IF(H536="","",IFERROR(_xlfn.XLOOKUP(H536,Listas!I:I,Listas!J:J),"OUTROS"))))</f>
        <v>ADMITIDO</v>
      </c>
      <c r="J536" s="361" t="s">
        <v>53</v>
      </c>
      <c r="K536" s="226" t="s">
        <v>45</v>
      </c>
      <c r="L536" s="226" t="s">
        <v>96</v>
      </c>
      <c r="M536" s="226"/>
      <c r="N536" s="226" t="s">
        <v>97</v>
      </c>
      <c r="O536" s="227" t="s">
        <v>34</v>
      </c>
      <c r="P536" s="227" t="s">
        <v>57</v>
      </c>
      <c r="Q536" s="227" t="s">
        <v>151</v>
      </c>
      <c r="R536" s="74"/>
      <c r="S536" s="228" t="s">
        <v>1702</v>
      </c>
      <c r="T536" s="229">
        <v>11976299220</v>
      </c>
      <c r="U536" s="73" t="s">
        <v>50</v>
      </c>
      <c r="V536" s="220">
        <v>46178</v>
      </c>
      <c r="W536" s="203" t="s">
        <v>1703</v>
      </c>
      <c r="X536" s="227" t="s">
        <v>40</v>
      </c>
      <c r="Y536" s="249">
        <v>46183</v>
      </c>
      <c r="Z536" s="249">
        <v>46183</v>
      </c>
      <c r="AA536" s="256">
        <v>914418</v>
      </c>
      <c r="AB536" s="74"/>
      <c r="AC536" s="74"/>
      <c r="AD536" s="256">
        <v>0</v>
      </c>
    </row>
    <row r="537" spans="1:30" s="251" customFormat="1" ht="18" customHeight="1">
      <c r="A537" s="394">
        <v>30363</v>
      </c>
      <c r="B537" s="399">
        <v>1</v>
      </c>
      <c r="C537" s="379">
        <v>46157</v>
      </c>
      <c r="D537" s="380">
        <f t="shared" ca="1" si="19"/>
        <v>70</v>
      </c>
      <c r="E537" s="381" t="str">
        <f t="shared" si="18"/>
        <v>CANCELADA</v>
      </c>
      <c r="F537" s="395" t="s">
        <v>42</v>
      </c>
      <c r="G537" s="390" t="s">
        <v>43</v>
      </c>
      <c r="H537" s="382" t="s">
        <v>52</v>
      </c>
      <c r="I537" s="382" t="str">
        <f>IF(X537="ADMITIDO","ADMITIDO",IF(X537="CANCELADA","CANCELADA",IF(H537="","",IFERROR(_xlfn.XLOOKUP(H537,Listas!I:I,Listas!J:J),"OUTROS"))))</f>
        <v>CANCELADA</v>
      </c>
      <c r="J537" s="235" t="s">
        <v>1687</v>
      </c>
      <c r="K537" s="226" t="s">
        <v>45</v>
      </c>
      <c r="L537" s="226" t="s">
        <v>96</v>
      </c>
      <c r="M537" s="226"/>
      <c r="N537" s="226" t="s">
        <v>97</v>
      </c>
      <c r="O537" s="227" t="s">
        <v>34</v>
      </c>
      <c r="P537" s="227" t="s">
        <v>57</v>
      </c>
      <c r="Q537" s="227" t="s">
        <v>98</v>
      </c>
      <c r="R537" s="74" t="s">
        <v>1704</v>
      </c>
      <c r="S537" s="228"/>
      <c r="T537" s="229"/>
      <c r="U537" s="73"/>
      <c r="V537" s="220"/>
      <c r="W537" s="203"/>
      <c r="X537" s="227"/>
      <c r="Y537" s="249"/>
      <c r="Z537" s="249"/>
      <c r="AA537" s="256"/>
      <c r="AB537" s="74"/>
      <c r="AC537" s="74" t="s">
        <v>1705</v>
      </c>
      <c r="AD537" s="256">
        <v>0</v>
      </c>
    </row>
    <row r="538" spans="1:30" s="251" customFormat="1" ht="18" customHeight="1">
      <c r="A538" s="223">
        <v>30360</v>
      </c>
      <c r="B538" s="224">
        <v>1</v>
      </c>
      <c r="C538" s="201">
        <v>46157</v>
      </c>
      <c r="D538" s="105">
        <f t="shared" ca="1" si="19"/>
        <v>70</v>
      </c>
      <c r="E538" s="138" t="str">
        <f t="shared" si="18"/>
        <v>ADMITIDO</v>
      </c>
      <c r="F538" s="230" t="s">
        <v>42</v>
      </c>
      <c r="G538" s="147" t="s">
        <v>102</v>
      </c>
      <c r="H538" s="117" t="s">
        <v>40</v>
      </c>
      <c r="I538" s="117" t="str">
        <f>IF(X538="ADMITIDO","ADMITIDO",IF(X538="CANCELADA","CANCELADA",IF(H538="","",IFERROR(_xlfn.XLOOKUP(H538,Listas!I:I,Listas!J:J),"OUTROS"))))</f>
        <v>ADMITIDO</v>
      </c>
      <c r="J538" s="361" t="s">
        <v>53</v>
      </c>
      <c r="K538" s="226" t="s">
        <v>103</v>
      </c>
      <c r="L538" s="226" t="s">
        <v>194</v>
      </c>
      <c r="M538" s="226"/>
      <c r="N538" s="226" t="s">
        <v>63</v>
      </c>
      <c r="O538" s="227" t="s">
        <v>34</v>
      </c>
      <c r="P538" s="227" t="s">
        <v>219</v>
      </c>
      <c r="Q538" s="227" t="s">
        <v>238</v>
      </c>
      <c r="R538" s="74"/>
      <c r="S538" s="228" t="s">
        <v>65</v>
      </c>
      <c r="T538" s="229" t="s">
        <v>1706</v>
      </c>
      <c r="U538" s="73" t="s">
        <v>109</v>
      </c>
      <c r="V538" s="220">
        <v>46185</v>
      </c>
      <c r="W538" s="203" t="s">
        <v>1707</v>
      </c>
      <c r="X538" s="227" t="s">
        <v>40</v>
      </c>
      <c r="Y538" s="249">
        <v>46190</v>
      </c>
      <c r="Z538" s="249">
        <v>46191</v>
      </c>
      <c r="AA538" s="256">
        <v>914453</v>
      </c>
      <c r="AB538" s="74" t="s">
        <v>1708</v>
      </c>
      <c r="AC538" s="74"/>
      <c r="AD538" s="256">
        <v>2</v>
      </c>
    </row>
    <row r="539" spans="1:30" s="251" customFormat="1" ht="18" customHeight="1">
      <c r="A539" s="223">
        <v>30376</v>
      </c>
      <c r="B539" s="224">
        <v>1</v>
      </c>
      <c r="C539" s="201">
        <v>46160</v>
      </c>
      <c r="D539" s="105">
        <f t="shared" ref="D539:D550" ca="1" si="20">TODAY()-C539</f>
        <v>67</v>
      </c>
      <c r="E539" s="138" t="str">
        <f t="shared" ref="E539:E550" si="21">IF(X539="ADMITIDO","ADMITIDO",IF(X539="CANCELADA","CANCELADA",IF(H539="","",IF(H539="ADMITIDO","ADMITIDO",IF(H539="CANCELADA","CANCELADA",IF(OR(H539="ANALISE CANCELAMENTO",H539="ANÁLISE CANCELAMENTO"),"EM ANÁLISE",IF(D539="","",IF(D539&lt;=7,"NO PRAZO",IF(D539&lt;=14,"ATENÇÃO","CRÍTICO")))))))))</f>
        <v>ADMITIDO</v>
      </c>
      <c r="F539" s="230" t="s">
        <v>42</v>
      </c>
      <c r="G539" s="147" t="s">
        <v>240</v>
      </c>
      <c r="H539" s="117" t="s">
        <v>40</v>
      </c>
      <c r="I539" s="117" t="str">
        <f>IF(X539="ADMITIDO","ADMITIDO",IF(X539="CANCELADA","CANCELADA",IF(H539="","",IFERROR(_xlfn.XLOOKUP(H539,Listas!I:I,Listas!J:J),"OUTROS"))))</f>
        <v>ADMITIDO</v>
      </c>
      <c r="J539" s="361" t="s">
        <v>53</v>
      </c>
      <c r="K539" s="226" t="s">
        <v>241</v>
      </c>
      <c r="L539" s="226" t="s">
        <v>407</v>
      </c>
      <c r="M539" s="226"/>
      <c r="N539" s="226" t="s">
        <v>243</v>
      </c>
      <c r="O539" s="227" t="s">
        <v>34</v>
      </c>
      <c r="P539" s="227" t="s">
        <v>48</v>
      </c>
      <c r="Q539" s="227" t="s">
        <v>49</v>
      </c>
      <c r="R539" s="74"/>
      <c r="S539" s="228" t="s">
        <v>65</v>
      </c>
      <c r="T539" s="229" t="s">
        <v>1709</v>
      </c>
      <c r="U539" s="73" t="s">
        <v>76</v>
      </c>
      <c r="V539" s="220">
        <v>46176</v>
      </c>
      <c r="W539" s="203" t="s">
        <v>1710</v>
      </c>
      <c r="X539" s="227" t="s">
        <v>40</v>
      </c>
      <c r="Y539" s="249">
        <v>46181</v>
      </c>
      <c r="Z539" s="249">
        <v>46183</v>
      </c>
      <c r="AA539" s="256">
        <v>146068</v>
      </c>
      <c r="AB539" s="74"/>
      <c r="AC539" s="74"/>
      <c r="AD539" s="256">
        <v>0</v>
      </c>
    </row>
    <row r="540" spans="1:30" s="251" customFormat="1" ht="18" customHeight="1">
      <c r="A540" s="223">
        <v>30374</v>
      </c>
      <c r="B540" s="224">
        <v>1</v>
      </c>
      <c r="C540" s="201">
        <v>46160</v>
      </c>
      <c r="D540" s="105">
        <f t="shared" ca="1" si="20"/>
        <v>67</v>
      </c>
      <c r="E540" s="138" t="str">
        <f t="shared" si="21"/>
        <v>ADMITIDO</v>
      </c>
      <c r="F540" s="230" t="s">
        <v>42</v>
      </c>
      <c r="G540" s="147" t="s">
        <v>43</v>
      </c>
      <c r="H540" s="117" t="s">
        <v>40</v>
      </c>
      <c r="I540" s="117" t="str">
        <f>IF(X540="ADMITIDO","ADMITIDO",IF(X540="CANCELADA","CANCELADA",IF(H540="","",IFERROR(_xlfn.XLOOKUP(H540,Listas!I:I,Listas!J:J),"OUTROS"))))</f>
        <v>ADMITIDO</v>
      </c>
      <c r="J540" s="361" t="s">
        <v>44</v>
      </c>
      <c r="K540" s="226" t="s">
        <v>45</v>
      </c>
      <c r="L540" s="226" t="s">
        <v>1711</v>
      </c>
      <c r="M540" s="226"/>
      <c r="N540" s="226" t="s">
        <v>97</v>
      </c>
      <c r="O540" s="227" t="s">
        <v>34</v>
      </c>
      <c r="P540" s="227" t="s">
        <v>48</v>
      </c>
      <c r="Q540" s="227" t="s">
        <v>131</v>
      </c>
      <c r="R540" s="74" t="s">
        <v>1712</v>
      </c>
      <c r="S540" s="228" t="s">
        <v>1713</v>
      </c>
      <c r="T540" s="229">
        <v>11946673295</v>
      </c>
      <c r="U540" s="73" t="s">
        <v>50</v>
      </c>
      <c r="V540" s="220">
        <v>46161</v>
      </c>
      <c r="W540" s="203" t="s">
        <v>1714</v>
      </c>
      <c r="X540" s="227" t="s">
        <v>40</v>
      </c>
      <c r="Y540" s="249">
        <v>46164</v>
      </c>
      <c r="Z540" s="249">
        <v>46167</v>
      </c>
      <c r="AA540" s="256">
        <v>145993</v>
      </c>
      <c r="AB540" s="74"/>
      <c r="AC540" s="74"/>
      <c r="AD540" s="256">
        <v>0</v>
      </c>
    </row>
    <row r="541" spans="1:30" s="251" customFormat="1" ht="18" customHeight="1">
      <c r="A541" s="223">
        <v>30377</v>
      </c>
      <c r="B541" s="224">
        <v>1</v>
      </c>
      <c r="C541" s="201">
        <v>46160</v>
      </c>
      <c r="D541" s="105">
        <f t="shared" ca="1" si="20"/>
        <v>67</v>
      </c>
      <c r="E541" s="138" t="str">
        <f t="shared" si="21"/>
        <v>ADMITIDO</v>
      </c>
      <c r="F541" s="230" t="s">
        <v>42</v>
      </c>
      <c r="G541" s="147" t="s">
        <v>240</v>
      </c>
      <c r="H541" s="117" t="s">
        <v>40</v>
      </c>
      <c r="I541" s="117" t="str">
        <f>IF(X541="ADMITIDO","ADMITIDO",IF(X541="CANCELADA","CANCELADA",IF(H541="","",IFERROR(_xlfn.XLOOKUP(H541,Listas!I:I,Listas!J:J),"OUTROS"))))</f>
        <v>ADMITIDO</v>
      </c>
      <c r="J541" s="361" t="s">
        <v>53</v>
      </c>
      <c r="K541" s="226" t="s">
        <v>241</v>
      </c>
      <c r="L541" s="226" t="s">
        <v>1715</v>
      </c>
      <c r="M541" s="226"/>
      <c r="N541" s="226" t="s">
        <v>243</v>
      </c>
      <c r="O541" s="227" t="s">
        <v>34</v>
      </c>
      <c r="P541" s="227" t="s">
        <v>48</v>
      </c>
      <c r="Q541" s="227" t="s">
        <v>49</v>
      </c>
      <c r="R541" s="74"/>
      <c r="S541" s="228"/>
      <c r="T541" s="252" t="s">
        <v>1716</v>
      </c>
      <c r="U541" s="73" t="s">
        <v>67</v>
      </c>
      <c r="V541" s="220">
        <v>46162</v>
      </c>
      <c r="W541" s="118" t="s">
        <v>1717</v>
      </c>
      <c r="X541" s="119" t="s">
        <v>40</v>
      </c>
      <c r="Y541" s="249">
        <v>46167</v>
      </c>
      <c r="Z541" s="249">
        <v>46169</v>
      </c>
      <c r="AA541" s="256">
        <v>146012</v>
      </c>
      <c r="AB541" s="74"/>
      <c r="AC541" s="74"/>
      <c r="AD541" s="256">
        <v>0</v>
      </c>
    </row>
    <row r="542" spans="1:30" s="251" customFormat="1" ht="18" customHeight="1">
      <c r="A542" s="223">
        <v>30380</v>
      </c>
      <c r="B542" s="224">
        <v>1</v>
      </c>
      <c r="C542" s="201">
        <v>46160</v>
      </c>
      <c r="D542" s="105">
        <f t="shared" ca="1" si="20"/>
        <v>67</v>
      </c>
      <c r="E542" s="138" t="str">
        <f t="shared" si="21"/>
        <v>ADMITIDO</v>
      </c>
      <c r="F542" s="230" t="s">
        <v>42</v>
      </c>
      <c r="G542" s="147" t="s">
        <v>43</v>
      </c>
      <c r="H542" s="117" t="s">
        <v>40</v>
      </c>
      <c r="I542" s="117" t="str">
        <f>IF(X542="ADMITIDO","ADMITIDO",IF(X542="CANCELADA","CANCELADA",IF(H542="","",IFERROR(_xlfn.XLOOKUP(H542,Listas!I:I,Listas!J:J),"OUTROS"))))</f>
        <v>ADMITIDO</v>
      </c>
      <c r="J542" s="362" t="s">
        <v>1718</v>
      </c>
      <c r="K542" s="226" t="s">
        <v>189</v>
      </c>
      <c r="L542" s="226" t="s">
        <v>1719</v>
      </c>
      <c r="M542" s="226"/>
      <c r="N542" s="226" t="s">
        <v>337</v>
      </c>
      <c r="O542" s="227" t="s">
        <v>34</v>
      </c>
      <c r="P542" s="227" t="s">
        <v>48</v>
      </c>
      <c r="Q542" s="227" t="s">
        <v>131</v>
      </c>
      <c r="R542" s="74"/>
      <c r="S542" s="228" t="s">
        <v>1720</v>
      </c>
      <c r="T542" s="229">
        <v>8192126931</v>
      </c>
      <c r="U542" s="73" t="s">
        <v>67</v>
      </c>
      <c r="V542" s="220">
        <v>46170</v>
      </c>
      <c r="W542" s="203" t="s">
        <v>1721</v>
      </c>
      <c r="X542" s="227" t="s">
        <v>40</v>
      </c>
      <c r="Y542" s="249">
        <v>46184</v>
      </c>
      <c r="Z542" s="249">
        <v>46184</v>
      </c>
      <c r="AA542" s="256">
        <v>146069</v>
      </c>
      <c r="AB542" s="74"/>
      <c r="AC542" s="74"/>
      <c r="AD542" s="256">
        <v>0</v>
      </c>
    </row>
    <row r="543" spans="1:30" s="251" customFormat="1" ht="18" customHeight="1">
      <c r="A543" s="223">
        <v>30369</v>
      </c>
      <c r="B543" s="224">
        <v>1</v>
      </c>
      <c r="C543" s="201">
        <v>46160</v>
      </c>
      <c r="D543" s="105">
        <f t="shared" ca="1" si="20"/>
        <v>67</v>
      </c>
      <c r="E543" s="138" t="str">
        <f t="shared" si="21"/>
        <v>ADMITIDO</v>
      </c>
      <c r="F543" s="230" t="s">
        <v>42</v>
      </c>
      <c r="G543" s="147" t="s">
        <v>60</v>
      </c>
      <c r="H543" s="117" t="s">
        <v>40</v>
      </c>
      <c r="I543" s="117" t="str">
        <f>IF(X543="ADMITIDO","ADMITIDO",IF(X543="CANCELADA","CANCELADA",IF(H543="","",IFERROR(_xlfn.XLOOKUP(H543,Listas!I:I,Listas!J:J),"OUTROS"))))</f>
        <v>ADMITIDO</v>
      </c>
      <c r="J543" s="361" t="s">
        <v>53</v>
      </c>
      <c r="K543" s="226" t="s">
        <v>61</v>
      </c>
      <c r="L543" s="226" t="s">
        <v>506</v>
      </c>
      <c r="M543" s="226"/>
      <c r="N543" s="226" t="s">
        <v>63</v>
      </c>
      <c r="O543" s="227" t="s">
        <v>34</v>
      </c>
      <c r="P543" s="227" t="s">
        <v>219</v>
      </c>
      <c r="Q543" s="227" t="s">
        <v>578</v>
      </c>
      <c r="R543" s="74" t="s">
        <v>1582</v>
      </c>
      <c r="S543" s="228" t="s">
        <v>1583</v>
      </c>
      <c r="T543" s="252" t="s">
        <v>1584</v>
      </c>
      <c r="U543" s="73" t="s">
        <v>132</v>
      </c>
      <c r="V543" s="220">
        <v>46163</v>
      </c>
      <c r="W543" s="118" t="s">
        <v>1585</v>
      </c>
      <c r="X543" s="119" t="s">
        <v>40</v>
      </c>
      <c r="Y543" s="249">
        <v>46167</v>
      </c>
      <c r="Z543" s="249">
        <v>46168</v>
      </c>
      <c r="AA543" s="256">
        <v>914345</v>
      </c>
      <c r="AB543" s="74"/>
      <c r="AC543" s="74"/>
      <c r="AD543" s="256">
        <v>0</v>
      </c>
    </row>
    <row r="544" spans="1:30" s="251" customFormat="1" ht="18" customHeight="1">
      <c r="A544" s="394">
        <v>30378</v>
      </c>
      <c r="B544" s="399">
        <v>1</v>
      </c>
      <c r="C544" s="379">
        <v>46160</v>
      </c>
      <c r="D544" s="380">
        <f t="shared" ca="1" si="20"/>
        <v>67</v>
      </c>
      <c r="E544" s="381" t="str">
        <f t="shared" si="21"/>
        <v>CANCELADA</v>
      </c>
      <c r="F544" s="395" t="s">
        <v>42</v>
      </c>
      <c r="G544" s="390" t="s">
        <v>43</v>
      </c>
      <c r="H544" s="382" t="s">
        <v>52</v>
      </c>
      <c r="I544" s="382" t="str">
        <f>IF(X544="ADMITIDO","ADMITIDO",IF(X544="CANCELADA","CANCELADA",IF(H544="","",IFERROR(_xlfn.XLOOKUP(H544,Listas!I:I,Listas!J:J),"OUTROS"))))</f>
        <v>CANCELADA</v>
      </c>
      <c r="J544" s="443" t="s">
        <v>53</v>
      </c>
      <c r="K544" s="443" t="s">
        <v>45</v>
      </c>
      <c r="L544" s="443" t="s">
        <v>430</v>
      </c>
      <c r="M544" s="443"/>
      <c r="N544" s="443" t="s">
        <v>431</v>
      </c>
      <c r="O544" s="413" t="s">
        <v>34</v>
      </c>
      <c r="P544" s="413" t="s">
        <v>210</v>
      </c>
      <c r="Q544" s="413" t="s">
        <v>432</v>
      </c>
      <c r="R544" s="409" t="s">
        <v>1722</v>
      </c>
      <c r="S544" s="410"/>
      <c r="T544" s="411"/>
      <c r="U544" s="326"/>
      <c r="V544" s="335"/>
      <c r="W544" s="336"/>
      <c r="X544" s="413"/>
      <c r="Y544" s="354"/>
      <c r="Z544" s="354"/>
      <c r="AA544" s="365"/>
      <c r="AB544" s="409" t="s">
        <v>1723</v>
      </c>
      <c r="AC544" s="409" t="s">
        <v>1724</v>
      </c>
      <c r="AD544" s="365">
        <v>0</v>
      </c>
    </row>
    <row r="545" spans="1:30" s="251" customFormat="1" ht="18" customHeight="1">
      <c r="A545" s="223">
        <v>30368</v>
      </c>
      <c r="B545" s="224">
        <v>1</v>
      </c>
      <c r="C545" s="201">
        <v>46160</v>
      </c>
      <c r="D545" s="105">
        <f t="shared" ca="1" si="20"/>
        <v>67</v>
      </c>
      <c r="E545" s="138" t="str">
        <f t="shared" si="21"/>
        <v>ADMITIDO</v>
      </c>
      <c r="F545" s="230" t="s">
        <v>42</v>
      </c>
      <c r="G545" s="147" t="s">
        <v>43</v>
      </c>
      <c r="H545" s="117" t="s">
        <v>40</v>
      </c>
      <c r="I545" s="117" t="str">
        <f>IF(X545="ADMITIDO","ADMITIDO",IF(X545="CANCELADA","CANCELADA",IF(H545="","",IFERROR(_xlfn.XLOOKUP(H545,Listas!I:I,Listas!J:J),"OUTROS"))))</f>
        <v>ADMITIDO</v>
      </c>
      <c r="J545" s="226" t="s">
        <v>53</v>
      </c>
      <c r="K545" s="226" t="s">
        <v>189</v>
      </c>
      <c r="L545" s="226" t="s">
        <v>1725</v>
      </c>
      <c r="M545" s="226"/>
      <c r="N545" s="226" t="s">
        <v>512</v>
      </c>
      <c r="O545" s="227" t="s">
        <v>34</v>
      </c>
      <c r="P545" s="227" t="s">
        <v>57</v>
      </c>
      <c r="Q545" s="227" t="s">
        <v>1726</v>
      </c>
      <c r="R545" s="74"/>
      <c r="S545" s="228" t="s">
        <v>1727</v>
      </c>
      <c r="T545" s="229">
        <v>11996522160</v>
      </c>
      <c r="U545" s="73" t="s">
        <v>67</v>
      </c>
      <c r="V545" s="220">
        <v>46211</v>
      </c>
      <c r="W545" s="203" t="s">
        <v>1728</v>
      </c>
      <c r="X545" s="227" t="s">
        <v>40</v>
      </c>
      <c r="Y545" s="249">
        <v>46220</v>
      </c>
      <c r="Z545" s="249">
        <v>46220</v>
      </c>
      <c r="AA545" s="256">
        <v>914645</v>
      </c>
      <c r="AB545" s="74"/>
      <c r="AC545" s="74"/>
      <c r="AD545" s="256">
        <v>0</v>
      </c>
    </row>
    <row r="546" spans="1:30" s="251" customFormat="1" ht="18" customHeight="1">
      <c r="A546" s="398">
        <v>30373</v>
      </c>
      <c r="B546" s="358">
        <v>1</v>
      </c>
      <c r="C546" s="385">
        <v>46160</v>
      </c>
      <c r="D546" s="386">
        <f t="shared" ca="1" si="20"/>
        <v>67</v>
      </c>
      <c r="E546" s="170" t="str">
        <f t="shared" si="21"/>
        <v>ADMITIDO</v>
      </c>
      <c r="F546" s="397" t="s">
        <v>42</v>
      </c>
      <c r="G546" s="392" t="s">
        <v>43</v>
      </c>
      <c r="H546" s="139" t="s">
        <v>40</v>
      </c>
      <c r="I546" s="139" t="str">
        <f>IF(X546="ADMITIDO","ADMITIDO",IF(X546="CANCELADA","CANCELADA",IF(H546="","",IFERROR(_xlfn.XLOOKUP(H546,Listas!I:I,Listas!J:J),"OUTROS"))))</f>
        <v>ADMITIDO</v>
      </c>
      <c r="J546" s="461" t="s">
        <v>53</v>
      </c>
      <c r="K546" s="462" t="s">
        <v>45</v>
      </c>
      <c r="L546" s="462" t="s">
        <v>402</v>
      </c>
      <c r="M546" s="462"/>
      <c r="N546" s="462" t="s">
        <v>33</v>
      </c>
      <c r="O546" s="356" t="s">
        <v>34</v>
      </c>
      <c r="P546" s="356" t="s">
        <v>57</v>
      </c>
      <c r="Q546" s="356" t="s">
        <v>98</v>
      </c>
      <c r="R546" s="422"/>
      <c r="S546" s="423" t="s">
        <v>1729</v>
      </c>
      <c r="T546" s="459">
        <v>11962427242</v>
      </c>
      <c r="U546" s="327" t="s">
        <v>50</v>
      </c>
      <c r="V546" s="337">
        <v>46162</v>
      </c>
      <c r="W546" s="338" t="s">
        <v>1730</v>
      </c>
      <c r="X546" s="308" t="s">
        <v>40</v>
      </c>
      <c r="Y546" s="357">
        <v>46167</v>
      </c>
      <c r="Z546" s="357">
        <v>46168</v>
      </c>
      <c r="AA546" s="384">
        <v>146010</v>
      </c>
      <c r="AB546" s="422"/>
      <c r="AC546" s="422"/>
      <c r="AD546" s="384">
        <v>0</v>
      </c>
    </row>
    <row r="547" spans="1:30" s="251" customFormat="1" ht="18" customHeight="1">
      <c r="A547" s="223">
        <v>30372</v>
      </c>
      <c r="B547" s="224">
        <v>1</v>
      </c>
      <c r="C547" s="201">
        <v>46160</v>
      </c>
      <c r="D547" s="105">
        <f t="shared" ca="1" si="20"/>
        <v>67</v>
      </c>
      <c r="E547" s="138" t="str">
        <f t="shared" si="21"/>
        <v>ADMITIDO</v>
      </c>
      <c r="F547" s="230" t="s">
        <v>42</v>
      </c>
      <c r="G547" s="147" t="s">
        <v>43</v>
      </c>
      <c r="H547" s="117" t="s">
        <v>40</v>
      </c>
      <c r="I547" s="117" t="str">
        <f>IF(X547="ADMITIDO","ADMITIDO",IF(X547="CANCELADA","CANCELADA",IF(H547="","",IFERROR(_xlfn.XLOOKUP(H547,Listas!I:I,Listas!J:J),"OUTROS"))))</f>
        <v>ADMITIDO</v>
      </c>
      <c r="J547" s="361" t="s">
        <v>163</v>
      </c>
      <c r="K547" s="226" t="s">
        <v>45</v>
      </c>
      <c r="L547" s="226" t="s">
        <v>402</v>
      </c>
      <c r="M547" s="226"/>
      <c r="N547" s="226" t="s">
        <v>33</v>
      </c>
      <c r="O547" s="227" t="s">
        <v>34</v>
      </c>
      <c r="P547" s="227" t="s">
        <v>57</v>
      </c>
      <c r="Q547" s="227" t="s">
        <v>98</v>
      </c>
      <c r="R547" s="74" t="s">
        <v>1731</v>
      </c>
      <c r="S547" s="228" t="s">
        <v>1732</v>
      </c>
      <c r="T547" s="229">
        <v>11951298421</v>
      </c>
      <c r="U547" s="73" t="s">
        <v>50</v>
      </c>
      <c r="V547" s="220">
        <v>46164</v>
      </c>
      <c r="W547" s="203" t="s">
        <v>1733</v>
      </c>
      <c r="X547" s="227" t="s">
        <v>40</v>
      </c>
      <c r="Y547" s="249">
        <v>46171</v>
      </c>
      <c r="Z547" s="249">
        <v>46174</v>
      </c>
      <c r="AA547" s="256">
        <v>146035</v>
      </c>
      <c r="AB547" s="74"/>
      <c r="AC547" s="74"/>
      <c r="AD547" s="256">
        <v>0</v>
      </c>
    </row>
    <row r="548" spans="1:30" s="251" customFormat="1" ht="18" customHeight="1">
      <c r="A548" s="223">
        <v>30371</v>
      </c>
      <c r="B548" s="224">
        <v>1</v>
      </c>
      <c r="C548" s="201">
        <v>46160</v>
      </c>
      <c r="D548" s="105">
        <f t="shared" ca="1" si="20"/>
        <v>67</v>
      </c>
      <c r="E548" s="138" t="str">
        <f>IF(Y548="ADMITIDO","ADMITIDO",IF(Y548="CANCELADA","CANCELADA",IF(H548="","",IF(H548="ADMITIDO","ADMITIDO",IF(H548="CANCELADA","CANCELADA",IF(OR(H548="ANALISE CANCELAMENTO",H548="ANÁLISE CANCELAMENTO"),"EM ANÁLISE",IF(D548="","",IF(D548&lt;=7,"NO PRAZO",IF(D548&lt;=14,"ATENÇÃO","CRÍTICO")))))))))</f>
        <v>ADMITIDO</v>
      </c>
      <c r="F548" s="230" t="s">
        <v>28</v>
      </c>
      <c r="G548" s="147" t="s">
        <v>43</v>
      </c>
      <c r="H548" s="117" t="s">
        <v>40</v>
      </c>
      <c r="I548" s="117" t="str">
        <f>IF(Y548="ADMITIDO","ADMITIDO",IF(Y548="CANCELADA","CANCELADA",IF(H548="","",IFERROR(_xlfn.XLOOKUP(H548,Listas!I:I,Listas!J:J),"OUTROS"))))</f>
        <v>ADMITIDO</v>
      </c>
      <c r="J548" s="361" t="s">
        <v>616</v>
      </c>
      <c r="K548" s="226" t="s">
        <v>1144</v>
      </c>
      <c r="L548" s="226" t="s">
        <v>700</v>
      </c>
      <c r="M548" s="226"/>
      <c r="N548" s="226" t="s">
        <v>47</v>
      </c>
      <c r="O548" s="227" t="s">
        <v>34</v>
      </c>
      <c r="P548" s="227" t="s">
        <v>35</v>
      </c>
      <c r="Q548" s="227" t="s">
        <v>711</v>
      </c>
      <c r="R548" s="74" t="s">
        <v>1734</v>
      </c>
      <c r="S548" s="228" t="s">
        <v>1694</v>
      </c>
      <c r="T548" s="229">
        <v>11952095424</v>
      </c>
      <c r="U548" s="73" t="s">
        <v>50</v>
      </c>
      <c r="V548" s="220">
        <v>46185</v>
      </c>
      <c r="W548" s="203" t="s">
        <v>1735</v>
      </c>
      <c r="X548" s="227" t="s">
        <v>40</v>
      </c>
      <c r="Y548" s="249">
        <v>46192</v>
      </c>
      <c r="Z548" s="249">
        <v>46193</v>
      </c>
      <c r="AA548" s="256">
        <v>914456</v>
      </c>
      <c r="AB548" s="74"/>
      <c r="AC548" s="74"/>
      <c r="AD548" s="256">
        <v>1</v>
      </c>
    </row>
    <row r="549" spans="1:30" s="251" customFormat="1" ht="18" customHeight="1">
      <c r="A549" s="223">
        <v>30370</v>
      </c>
      <c r="B549" s="224">
        <v>1</v>
      </c>
      <c r="C549" s="201">
        <v>46160</v>
      </c>
      <c r="D549" s="105">
        <f t="shared" ca="1" si="20"/>
        <v>67</v>
      </c>
      <c r="E549" s="138" t="str">
        <f t="shared" si="21"/>
        <v>ADMITIDO</v>
      </c>
      <c r="F549" s="230" t="s">
        <v>171</v>
      </c>
      <c r="G549" s="147" t="s">
        <v>43</v>
      </c>
      <c r="H549" s="117" t="s">
        <v>40</v>
      </c>
      <c r="I549" s="117" t="str">
        <f>IF(X549="ADMITIDO","ADMITIDO",IF(X549="CANCELADA","CANCELADA",IF(H549="","",IFERROR(_xlfn.XLOOKUP(H549,Listas!I:I,Listas!J:J),"OUTROS"))))</f>
        <v>ADMITIDO</v>
      </c>
      <c r="J549" s="361" t="s">
        <v>514</v>
      </c>
      <c r="K549" s="226" t="s">
        <v>1144</v>
      </c>
      <c r="L549" s="226" t="s">
        <v>700</v>
      </c>
      <c r="M549" s="226"/>
      <c r="N549" s="226" t="s">
        <v>47</v>
      </c>
      <c r="O549" s="227" t="s">
        <v>34</v>
      </c>
      <c r="P549" s="227" t="s">
        <v>35</v>
      </c>
      <c r="Q549" s="227" t="s">
        <v>36</v>
      </c>
      <c r="R549" s="74"/>
      <c r="S549" s="228" t="s">
        <v>1736</v>
      </c>
      <c r="T549" s="229">
        <v>11948346874</v>
      </c>
      <c r="U549" s="73" t="s">
        <v>50</v>
      </c>
      <c r="V549" s="220">
        <v>46163</v>
      </c>
      <c r="W549" s="203" t="s">
        <v>1737</v>
      </c>
      <c r="X549" s="227" t="s">
        <v>40</v>
      </c>
      <c r="Y549" s="249">
        <v>46170</v>
      </c>
      <c r="Z549" s="249">
        <v>46170</v>
      </c>
      <c r="AA549" s="256">
        <v>83307</v>
      </c>
      <c r="AB549" s="74"/>
      <c r="AC549" s="74"/>
      <c r="AD549" s="256">
        <v>0</v>
      </c>
    </row>
    <row r="550" spans="1:30" s="251" customFormat="1" ht="18" customHeight="1">
      <c r="A550" s="370">
        <v>30379</v>
      </c>
      <c r="B550" s="355">
        <v>1</v>
      </c>
      <c r="C550" s="366">
        <v>46160</v>
      </c>
      <c r="D550" s="367">
        <f t="shared" ca="1" si="20"/>
        <v>67</v>
      </c>
      <c r="E550" s="368" t="str">
        <f t="shared" si="21"/>
        <v>ADMITIDO</v>
      </c>
      <c r="F550" s="371" t="s">
        <v>171</v>
      </c>
      <c r="G550" s="369" t="s">
        <v>29</v>
      </c>
      <c r="H550" s="146" t="s">
        <v>40</v>
      </c>
      <c r="I550" s="146" t="str">
        <f>IF(X550="ADMITIDO","ADMITIDO",IF(X550="CANCELADA","CANCELADA",IF(H550="","",IFERROR(_xlfn.XLOOKUP(H550,Listas!I:I,Listas!J:J),"OUTROS"))))</f>
        <v>ADMITIDO</v>
      </c>
      <c r="J550" s="444" t="s">
        <v>514</v>
      </c>
      <c r="K550" s="443" t="s">
        <v>158</v>
      </c>
      <c r="L550" s="443" t="s">
        <v>1738</v>
      </c>
      <c r="M550" s="443"/>
      <c r="N550" s="443" t="s">
        <v>1739</v>
      </c>
      <c r="O550" s="413" t="s">
        <v>34</v>
      </c>
      <c r="P550" s="413" t="s">
        <v>35</v>
      </c>
      <c r="Q550" s="413" t="s">
        <v>36</v>
      </c>
      <c r="R550" s="409"/>
      <c r="S550" s="410"/>
      <c r="T550" s="411" t="s">
        <v>1740</v>
      </c>
      <c r="U550" s="326" t="s">
        <v>1203</v>
      </c>
      <c r="V550" s="335">
        <v>46087</v>
      </c>
      <c r="W550" s="336" t="s">
        <v>1741</v>
      </c>
      <c r="X550" s="413" t="s">
        <v>40</v>
      </c>
      <c r="Y550" s="354">
        <v>46181</v>
      </c>
      <c r="Z550" s="354">
        <v>46182</v>
      </c>
      <c r="AA550" s="365">
        <v>83333</v>
      </c>
      <c r="AB550" s="409"/>
      <c r="AC550" s="409"/>
      <c r="AD550" s="365">
        <v>0</v>
      </c>
    </row>
    <row r="551" spans="1:30" s="251" customFormat="1" ht="18" customHeight="1">
      <c r="A551" s="223">
        <v>30393</v>
      </c>
      <c r="B551" s="224">
        <v>1</v>
      </c>
      <c r="C551" s="201">
        <v>46161</v>
      </c>
      <c r="D551" s="105">
        <f t="shared" ref="D551:D582" ca="1" si="22">TODAY()-C551</f>
        <v>66</v>
      </c>
      <c r="E551" s="138" t="str">
        <f t="shared" ref="E551:E582" si="23">IF(X551="ADMITIDO","ADMITIDO",IF(X551="CANCELADA","CANCELADA",IF(H551="","",IF(H551="ADMITIDO","ADMITIDO",IF(H551="CANCELADA","CANCELADA",IF(OR(H551="ANALISE CANCELAMENTO",H551="ANÁLISE CANCELAMENTO"),"EM ANÁLISE",IF(D551="","",IF(D551&lt;=7,"NO PRAZO",IF(D551&lt;=14,"ATENÇÃO","CRÍTICO")))))))))</f>
        <v>ADMITIDO</v>
      </c>
      <c r="F551" s="225" t="s">
        <v>42</v>
      </c>
      <c r="G551" s="225" t="s">
        <v>69</v>
      </c>
      <c r="H551" s="146" t="s">
        <v>40</v>
      </c>
      <c r="I551" s="117" t="str">
        <f>IF(X551="ADMITIDO","ADMITIDO",IF(X551="CANCELADA","CANCELADA",IF(H551="","",IFERROR(_xlfn.XLOOKUP(H551,Listas!I:I,Listas!J:J),"OUTROS"))))</f>
        <v>ADMITIDO</v>
      </c>
      <c r="J551" s="226" t="s">
        <v>461</v>
      </c>
      <c r="K551" s="226" t="s">
        <v>70</v>
      </c>
      <c r="L551" s="226" t="s">
        <v>343</v>
      </c>
      <c r="M551" s="226"/>
      <c r="N551" s="226" t="s">
        <v>63</v>
      </c>
      <c r="O551" s="227" t="s">
        <v>34</v>
      </c>
      <c r="P551" s="227" t="s">
        <v>219</v>
      </c>
      <c r="Q551" s="227" t="s">
        <v>462</v>
      </c>
      <c r="R551" s="74"/>
      <c r="S551" s="228"/>
      <c r="T551" s="229"/>
      <c r="U551" s="73" t="s">
        <v>710</v>
      </c>
      <c r="V551" s="220">
        <v>46205</v>
      </c>
      <c r="W551" s="203" t="s">
        <v>1742</v>
      </c>
      <c r="X551" s="227" t="s">
        <v>40</v>
      </c>
      <c r="Y551" s="249">
        <v>46213</v>
      </c>
      <c r="Z551" s="249">
        <v>46216</v>
      </c>
      <c r="AA551" s="256">
        <v>914617</v>
      </c>
      <c r="AB551" s="74" t="s">
        <v>1743</v>
      </c>
      <c r="AC551" s="74"/>
      <c r="AD551" s="256">
        <v>2</v>
      </c>
    </row>
    <row r="552" spans="1:30" s="251" customFormat="1" ht="18" customHeight="1">
      <c r="A552" s="398">
        <v>30337</v>
      </c>
      <c r="B552" s="358">
        <v>1</v>
      </c>
      <c r="C552" s="385">
        <v>46161</v>
      </c>
      <c r="D552" s="386">
        <f ca="1">TODAY()-C552</f>
        <v>66</v>
      </c>
      <c r="E552" s="170" t="str">
        <f>IF(X552="ADMITIDO","ADMITIDO",IF(X552="CANCELADA","CANCELADA",IF(H552="","",IF(H552="ADMITIDO","ADMITIDO",IF(H552="CANCELADA","CANCELADA",IF(OR(H552="ANALISE CANCELAMENTO",H552="ANÁLISE CANCELAMENTO"),"EM ANÁLISE",IF(D552="","",IF(D552&lt;=7,"NO PRAZO",IF(D552&lt;=14,"ATENÇÃO","CRÍTICO")))))))))</f>
        <v>ADMITIDO</v>
      </c>
      <c r="F552" s="401" t="s">
        <v>171</v>
      </c>
      <c r="G552" s="401" t="s">
        <v>43</v>
      </c>
      <c r="H552" s="139" t="s">
        <v>40</v>
      </c>
      <c r="I552" s="139" t="str">
        <f>IF(X552="ADMITIDO","ADMITIDO",IF(X552="CANCELADA","CANCELADA",IF(H552="","",IFERROR(_xlfn.XLOOKUP(H552,Listas!I:I,Listas!J:J),"OUTROS"))))</f>
        <v>ADMITIDO</v>
      </c>
      <c r="J552" s="463" t="s">
        <v>1744</v>
      </c>
      <c r="K552" s="462" t="s">
        <v>360</v>
      </c>
      <c r="L552" s="462" t="s">
        <v>788</v>
      </c>
      <c r="M552" s="462"/>
      <c r="N552" s="462" t="s">
        <v>337</v>
      </c>
      <c r="O552" s="356" t="s">
        <v>34</v>
      </c>
      <c r="P552" s="356" t="s">
        <v>35</v>
      </c>
      <c r="Q552" s="356" t="s">
        <v>36</v>
      </c>
      <c r="R552" s="422" t="s">
        <v>1745</v>
      </c>
      <c r="S552" s="423" t="s">
        <v>1746</v>
      </c>
      <c r="T552" s="424">
        <v>15997844644</v>
      </c>
      <c r="U552" s="327" t="s">
        <v>50</v>
      </c>
      <c r="V552" s="337">
        <v>46167</v>
      </c>
      <c r="W552" s="338" t="s">
        <v>1747</v>
      </c>
      <c r="X552" s="356" t="s">
        <v>40</v>
      </c>
      <c r="Y552" s="357">
        <v>46177</v>
      </c>
      <c r="Z552" s="357">
        <v>46177</v>
      </c>
      <c r="AA552" s="384">
        <v>83321</v>
      </c>
      <c r="AB552" s="422"/>
      <c r="AC552" s="422"/>
      <c r="AD552" s="384">
        <v>0</v>
      </c>
    </row>
    <row r="553" spans="1:30" s="251" customFormat="1" ht="18" customHeight="1">
      <c r="A553" s="223">
        <v>30337</v>
      </c>
      <c r="B553" s="224">
        <v>1</v>
      </c>
      <c r="C553" s="201">
        <v>46161</v>
      </c>
      <c r="D553" s="105">
        <f t="shared" ca="1" si="22"/>
        <v>66</v>
      </c>
      <c r="E553" s="138" t="str">
        <f t="shared" si="23"/>
        <v>ADMITIDO</v>
      </c>
      <c r="F553" s="225" t="s">
        <v>171</v>
      </c>
      <c r="G553" s="225" t="s">
        <v>43</v>
      </c>
      <c r="H553" s="117" t="s">
        <v>40</v>
      </c>
      <c r="I553" s="117" t="str">
        <f>IF(X553="ADMITIDO","ADMITIDO",IF(X553="CANCELADA","CANCELADA",IF(H553="","",IFERROR(_xlfn.XLOOKUP(H553,Listas!I:I,Listas!J:J),"OUTROS"))))</f>
        <v>ADMITIDO</v>
      </c>
      <c r="J553" s="362" t="s">
        <v>1744</v>
      </c>
      <c r="K553" s="226" t="s">
        <v>360</v>
      </c>
      <c r="L553" s="226" t="s">
        <v>788</v>
      </c>
      <c r="M553" s="226"/>
      <c r="N553" s="226" t="s">
        <v>337</v>
      </c>
      <c r="O553" s="227" t="s">
        <v>34</v>
      </c>
      <c r="P553" s="227" t="s">
        <v>35</v>
      </c>
      <c r="Q553" s="227" t="s">
        <v>36</v>
      </c>
      <c r="R553" s="74" t="s">
        <v>1745</v>
      </c>
      <c r="S553" s="228" t="s">
        <v>1746</v>
      </c>
      <c r="T553" s="229">
        <v>11995010838</v>
      </c>
      <c r="U553" s="73" t="s">
        <v>50</v>
      </c>
      <c r="V553" s="220">
        <v>46167</v>
      </c>
      <c r="W553" s="203" t="s">
        <v>1748</v>
      </c>
      <c r="X553" s="227" t="s">
        <v>40</v>
      </c>
      <c r="Y553" s="249">
        <v>46177</v>
      </c>
      <c r="Z553" s="249">
        <v>46177</v>
      </c>
      <c r="AA553" s="256">
        <v>83312</v>
      </c>
      <c r="AB553" s="74"/>
      <c r="AC553" s="74"/>
      <c r="AD553" s="256">
        <v>0</v>
      </c>
    </row>
    <row r="554" spans="1:30" s="251" customFormat="1" ht="18" customHeight="1">
      <c r="A554" s="223">
        <v>30339</v>
      </c>
      <c r="B554" s="224">
        <v>1</v>
      </c>
      <c r="C554" s="201">
        <v>46161</v>
      </c>
      <c r="D554" s="105">
        <f ca="1">TODAY()-C554</f>
        <v>66</v>
      </c>
      <c r="E554" s="138" t="str">
        <f>IF(X554="ADMITIDO","ADMITIDO",IF(X554="CANCELADA","CANCELADA",IF(H554="","",IF(H554="ADMITIDO","ADMITIDO",IF(H554="CANCELADA","CANCELADA",IF(OR(H554="ANALISE CANCELAMENTO",H554="ANÁLISE CANCELAMENTO"),"EM ANÁLISE",IF(D554="","",IF(D554&lt;=7,"NO PRAZO",IF(D554&lt;=14,"ATENÇÃO","CRÍTICO")))))))))</f>
        <v>ADMITIDO</v>
      </c>
      <c r="F554" s="225" t="s">
        <v>171</v>
      </c>
      <c r="G554" s="225" t="s">
        <v>43</v>
      </c>
      <c r="H554" s="117" t="s">
        <v>40</v>
      </c>
      <c r="I554" s="117" t="str">
        <f>IF(X554="ADMITIDO","ADMITIDO",IF(X554="CANCELADA","CANCELADA",IF(H554="","",IFERROR(_xlfn.XLOOKUP(H554,Listas!I:I,Listas!J:J),"OUTROS"))))</f>
        <v>ADMITIDO</v>
      </c>
      <c r="J554" s="362" t="s">
        <v>1744</v>
      </c>
      <c r="K554" s="226" t="s">
        <v>360</v>
      </c>
      <c r="L554" s="226" t="s">
        <v>788</v>
      </c>
      <c r="M554" s="226"/>
      <c r="N554" s="226" t="s">
        <v>337</v>
      </c>
      <c r="O554" s="227" t="s">
        <v>34</v>
      </c>
      <c r="P554" s="227" t="s">
        <v>35</v>
      </c>
      <c r="Q554" s="227" t="s">
        <v>36</v>
      </c>
      <c r="R554" s="74" t="s">
        <v>1749</v>
      </c>
      <c r="S554" s="228" t="s">
        <v>1746</v>
      </c>
      <c r="T554" s="229">
        <v>15991909445</v>
      </c>
      <c r="U554" s="73" t="s">
        <v>50</v>
      </c>
      <c r="V554" s="220">
        <v>46174</v>
      </c>
      <c r="W554" s="203" t="s">
        <v>1750</v>
      </c>
      <c r="X554" s="227" t="s">
        <v>40</v>
      </c>
      <c r="Y554" s="249">
        <v>46177</v>
      </c>
      <c r="Z554" s="249">
        <v>46177</v>
      </c>
      <c r="AA554" s="256">
        <v>83325</v>
      </c>
      <c r="AB554" s="74"/>
      <c r="AC554" s="74"/>
      <c r="AD554" s="256">
        <v>0</v>
      </c>
    </row>
    <row r="555" spans="1:30" s="251" customFormat="1" ht="18" customHeight="1">
      <c r="A555" s="223">
        <v>30339</v>
      </c>
      <c r="B555" s="224">
        <v>1</v>
      </c>
      <c r="C555" s="201">
        <v>46161</v>
      </c>
      <c r="D555" s="105">
        <f t="shared" ca="1" si="22"/>
        <v>66</v>
      </c>
      <c r="E555" s="138" t="str">
        <f t="shared" si="23"/>
        <v>ADMITIDO</v>
      </c>
      <c r="F555" s="225" t="s">
        <v>171</v>
      </c>
      <c r="G555" s="225" t="s">
        <v>43</v>
      </c>
      <c r="H555" s="117" t="s">
        <v>40</v>
      </c>
      <c r="I555" s="117" t="str">
        <f>IF(X555="ADMITIDO","ADMITIDO",IF(X555="CANCELADA","CANCELADA",IF(H555="","",IFERROR(_xlfn.XLOOKUP(H555,Listas!I:I,Listas!J:J),"OUTROS"))))</f>
        <v>ADMITIDO</v>
      </c>
      <c r="J555" s="362" t="s">
        <v>1744</v>
      </c>
      <c r="K555" s="226" t="s">
        <v>360</v>
      </c>
      <c r="L555" s="226" t="s">
        <v>788</v>
      </c>
      <c r="M555" s="226"/>
      <c r="N555" s="226" t="s">
        <v>337</v>
      </c>
      <c r="O555" s="227" t="s">
        <v>34</v>
      </c>
      <c r="P555" s="227" t="s">
        <v>35</v>
      </c>
      <c r="Q555" s="227" t="s">
        <v>36</v>
      </c>
      <c r="R555" s="74" t="s">
        <v>1745</v>
      </c>
      <c r="S555" s="228" t="s">
        <v>1746</v>
      </c>
      <c r="T555" s="229">
        <v>15996666448</v>
      </c>
      <c r="U555" s="73" t="s">
        <v>50</v>
      </c>
      <c r="V555" s="220">
        <v>46167</v>
      </c>
      <c r="W555" s="203" t="s">
        <v>1751</v>
      </c>
      <c r="X555" s="227" t="s">
        <v>40</v>
      </c>
      <c r="Y555" s="249">
        <v>46177</v>
      </c>
      <c r="Z555" s="249">
        <v>46177</v>
      </c>
      <c r="AA555" s="256">
        <v>83310</v>
      </c>
      <c r="AB555" s="74"/>
      <c r="AC555" s="74"/>
      <c r="AD555" s="256">
        <v>0</v>
      </c>
    </row>
    <row r="556" spans="1:30" s="251" customFormat="1" ht="18" customHeight="1">
      <c r="A556" s="223">
        <v>30341</v>
      </c>
      <c r="B556" s="224">
        <v>1</v>
      </c>
      <c r="C556" s="201">
        <v>46161</v>
      </c>
      <c r="D556" s="105">
        <f ca="1">TODAY()-C556</f>
        <v>66</v>
      </c>
      <c r="E556" s="138" t="str">
        <f>IF(X556="ADMITIDO","ADMITIDO",IF(X556="CANCELADA","CANCELADA",IF(H556="","",IF(H556="ADMITIDO","ADMITIDO",IF(H556="CANCELADA","CANCELADA",IF(OR(H556="ANALISE CANCELAMENTO",H556="ANÁLISE CANCELAMENTO"),"EM ANÁLISE",IF(D556="","",IF(D556&lt;=7,"NO PRAZO",IF(D556&lt;=14,"ATENÇÃO","CRÍTICO")))))))))</f>
        <v>ADMITIDO</v>
      </c>
      <c r="F556" s="225" t="s">
        <v>171</v>
      </c>
      <c r="G556" s="225" t="s">
        <v>43</v>
      </c>
      <c r="H556" s="117" t="s">
        <v>40</v>
      </c>
      <c r="I556" s="117" t="str">
        <f>IF(X556="ADMITIDO","ADMITIDO",IF(X556="CANCELADA","CANCELADA",IF(H556="","",IFERROR(_xlfn.XLOOKUP(H556,Listas!I:I,Listas!J:J),"OUTROS"))))</f>
        <v>ADMITIDO</v>
      </c>
      <c r="J556" s="362" t="s">
        <v>1752</v>
      </c>
      <c r="K556" s="226" t="s">
        <v>360</v>
      </c>
      <c r="L556" s="226" t="s">
        <v>788</v>
      </c>
      <c r="M556" s="226"/>
      <c r="N556" s="226" t="s">
        <v>337</v>
      </c>
      <c r="O556" s="227" t="s">
        <v>34</v>
      </c>
      <c r="P556" s="227" t="s">
        <v>35</v>
      </c>
      <c r="Q556" s="227" t="s">
        <v>36</v>
      </c>
      <c r="R556" s="74" t="s">
        <v>1753</v>
      </c>
      <c r="S556" s="228" t="s">
        <v>1746</v>
      </c>
      <c r="T556" s="229">
        <v>15997471626</v>
      </c>
      <c r="U556" s="73" t="s">
        <v>50</v>
      </c>
      <c r="V556" s="220">
        <v>46169</v>
      </c>
      <c r="W556" s="203" t="s">
        <v>1754</v>
      </c>
      <c r="X556" s="227" t="s">
        <v>40</v>
      </c>
      <c r="Y556" s="249">
        <v>46177</v>
      </c>
      <c r="Z556" s="249">
        <v>46177</v>
      </c>
      <c r="AA556" s="256">
        <v>83318</v>
      </c>
      <c r="AB556" s="74"/>
      <c r="AC556" s="74"/>
      <c r="AD556" s="256">
        <v>0</v>
      </c>
    </row>
    <row r="557" spans="1:30" s="251" customFormat="1" ht="18" customHeight="1">
      <c r="A557" s="223">
        <v>30341</v>
      </c>
      <c r="B557" s="224">
        <v>1</v>
      </c>
      <c r="C557" s="201">
        <v>46161</v>
      </c>
      <c r="D557" s="105">
        <f ca="1">TODAY()-C557</f>
        <v>66</v>
      </c>
      <c r="E557" s="138" t="str">
        <f>IF(X557="ADMITIDO","ADMITIDO",IF(X557="CANCELADA","CANCELADA",IF(H557="","",IF(H557="ADMITIDO","ADMITIDO",IF(H557="CANCELADA","CANCELADA",IF(OR(H557="ANALISE CANCELAMENTO",H557="ANÁLISE CANCELAMENTO"),"EM ANÁLISE",IF(D557="","",IF(D557&lt;=7,"NO PRAZO",IF(D557&lt;=14,"ATENÇÃO","CRÍTICO")))))))))</f>
        <v>ADMITIDO</v>
      </c>
      <c r="F557" s="225" t="s">
        <v>171</v>
      </c>
      <c r="G557" s="225" t="s">
        <v>43</v>
      </c>
      <c r="H557" s="117" t="s">
        <v>40</v>
      </c>
      <c r="I557" s="117" t="str">
        <f>IF(X557="ADMITIDO","ADMITIDO",IF(X557="CANCELADA","CANCELADA",IF(H557="","",IFERROR(_xlfn.XLOOKUP(H557,Listas!I:I,Listas!J:J),"OUTROS"))))</f>
        <v>ADMITIDO</v>
      </c>
      <c r="J557" s="362" t="s">
        <v>1752</v>
      </c>
      <c r="K557" s="226" t="s">
        <v>360</v>
      </c>
      <c r="L557" s="226" t="s">
        <v>788</v>
      </c>
      <c r="M557" s="226"/>
      <c r="N557" s="226" t="s">
        <v>337</v>
      </c>
      <c r="O557" s="227" t="s">
        <v>34</v>
      </c>
      <c r="P557" s="227" t="s">
        <v>35</v>
      </c>
      <c r="Q557" s="227" t="s">
        <v>36</v>
      </c>
      <c r="R557" s="74" t="s">
        <v>1745</v>
      </c>
      <c r="S557" s="228" t="s">
        <v>1746</v>
      </c>
      <c r="T557" s="229">
        <v>15981306700</v>
      </c>
      <c r="U557" s="73" t="s">
        <v>50</v>
      </c>
      <c r="V557" s="220">
        <v>46167</v>
      </c>
      <c r="W557" s="203" t="s">
        <v>1755</v>
      </c>
      <c r="X557" s="227" t="s">
        <v>40</v>
      </c>
      <c r="Y557" s="249">
        <v>46177</v>
      </c>
      <c r="Z557" s="249">
        <v>46177</v>
      </c>
      <c r="AA557" s="256">
        <v>83319</v>
      </c>
      <c r="AB557" s="74"/>
      <c r="AC557" s="74"/>
      <c r="AD557" s="256">
        <v>0</v>
      </c>
    </row>
    <row r="558" spans="1:30" s="251" customFormat="1" ht="18" customHeight="1">
      <c r="A558" s="223">
        <v>30341</v>
      </c>
      <c r="B558" s="224">
        <v>1</v>
      </c>
      <c r="C558" s="201">
        <v>46161</v>
      </c>
      <c r="D558" s="105">
        <f ca="1">TODAY()-C558</f>
        <v>66</v>
      </c>
      <c r="E558" s="138" t="str">
        <f>IF(X558="ADMITIDO","ADMITIDO",IF(X558="CANCELADA","CANCELADA",IF(H558="","",IF(H558="ADMITIDO","ADMITIDO",IF(H558="CANCELADA","CANCELADA",IF(OR(H558="ANALISE CANCELAMENTO",H558="ANÁLISE CANCELAMENTO"),"EM ANÁLISE",IF(D558="","",IF(D558&lt;=7,"NO PRAZO",IF(D558&lt;=14,"ATENÇÃO","CRÍTICO")))))))))</f>
        <v>ADMITIDO</v>
      </c>
      <c r="F558" s="225" t="s">
        <v>171</v>
      </c>
      <c r="G558" s="225" t="s">
        <v>43</v>
      </c>
      <c r="H558" s="117" t="s">
        <v>40</v>
      </c>
      <c r="I558" s="117" t="str">
        <f>IF(X558="ADMITIDO","ADMITIDO",IF(X558="CANCELADA","CANCELADA",IF(H558="","",IFERROR(_xlfn.XLOOKUP(H558,Listas!I:I,Listas!J:J),"OUTROS"))))</f>
        <v>ADMITIDO</v>
      </c>
      <c r="J558" s="362" t="s">
        <v>1756</v>
      </c>
      <c r="K558" s="226" t="s">
        <v>360</v>
      </c>
      <c r="L558" s="226" t="s">
        <v>788</v>
      </c>
      <c r="M558" s="226"/>
      <c r="N558" s="226" t="s">
        <v>337</v>
      </c>
      <c r="O558" s="227" t="s">
        <v>34</v>
      </c>
      <c r="P558" s="227" t="s">
        <v>35</v>
      </c>
      <c r="Q558" s="227" t="s">
        <v>36</v>
      </c>
      <c r="R558" s="74" t="s">
        <v>1745</v>
      </c>
      <c r="S558" s="228" t="s">
        <v>1746</v>
      </c>
      <c r="T558" s="229">
        <v>15996010189</v>
      </c>
      <c r="U558" s="73" t="s">
        <v>50</v>
      </c>
      <c r="V558" s="220">
        <v>46167</v>
      </c>
      <c r="W558" s="203" t="s">
        <v>1757</v>
      </c>
      <c r="X558" s="227" t="s">
        <v>40</v>
      </c>
      <c r="Y558" s="249">
        <v>46177</v>
      </c>
      <c r="Z558" s="249">
        <v>46177</v>
      </c>
      <c r="AA558" s="256">
        <v>83311</v>
      </c>
      <c r="AB558" s="74"/>
      <c r="AC558" s="74"/>
      <c r="AD558" s="256">
        <v>0</v>
      </c>
    </row>
    <row r="559" spans="1:30" s="251" customFormat="1" ht="18" customHeight="1">
      <c r="A559" s="223">
        <v>30341</v>
      </c>
      <c r="B559" s="224">
        <v>1</v>
      </c>
      <c r="C559" s="201">
        <v>46161</v>
      </c>
      <c r="D559" s="105">
        <f t="shared" ca="1" si="22"/>
        <v>66</v>
      </c>
      <c r="E559" s="138" t="str">
        <f t="shared" si="23"/>
        <v>ADMITIDO</v>
      </c>
      <c r="F559" s="225" t="s">
        <v>171</v>
      </c>
      <c r="G559" s="225" t="s">
        <v>43</v>
      </c>
      <c r="H559" s="117" t="s">
        <v>40</v>
      </c>
      <c r="I559" s="117" t="str">
        <f>IF(X559="ADMITIDO","ADMITIDO",IF(X559="CANCELADA","CANCELADA",IF(H559="","",IFERROR(_xlfn.XLOOKUP(H559,Listas!I:I,Listas!J:J),"OUTROS"))))</f>
        <v>ADMITIDO</v>
      </c>
      <c r="J559" s="362" t="s">
        <v>1756</v>
      </c>
      <c r="K559" s="226" t="s">
        <v>360</v>
      </c>
      <c r="L559" s="226" t="s">
        <v>788</v>
      </c>
      <c r="M559" s="226"/>
      <c r="N559" s="226" t="s">
        <v>337</v>
      </c>
      <c r="O559" s="227" t="s">
        <v>34</v>
      </c>
      <c r="P559" s="227" t="s">
        <v>35</v>
      </c>
      <c r="Q559" s="227" t="s">
        <v>36</v>
      </c>
      <c r="R559" s="74" t="s">
        <v>1753</v>
      </c>
      <c r="S559" s="228" t="s">
        <v>1746</v>
      </c>
      <c r="T559" s="229">
        <v>15981621509</v>
      </c>
      <c r="U559" s="73" t="s">
        <v>50</v>
      </c>
      <c r="V559" s="220">
        <v>46167</v>
      </c>
      <c r="W559" s="236" t="s">
        <v>1758</v>
      </c>
      <c r="X559" s="227" t="s">
        <v>40</v>
      </c>
      <c r="Y559" s="249">
        <v>46178</v>
      </c>
      <c r="Z559" s="249">
        <v>46177</v>
      </c>
      <c r="AA559" s="256">
        <v>83314</v>
      </c>
      <c r="AB559" s="74"/>
      <c r="AC559" s="74"/>
      <c r="AD559" s="256">
        <v>0</v>
      </c>
    </row>
    <row r="560" spans="1:30" s="251" customFormat="1" ht="18" customHeight="1">
      <c r="A560" s="223">
        <v>30338</v>
      </c>
      <c r="B560" s="224">
        <v>1</v>
      </c>
      <c r="C560" s="201">
        <v>46161</v>
      </c>
      <c r="D560" s="105">
        <f ca="1">TODAY()-C560</f>
        <v>66</v>
      </c>
      <c r="E560" s="138" t="str">
        <f>IF(X560="ADMITIDO","ADMITIDO",IF(X560="CANCELADA","CANCELADA",IF(H560="","",IF(H560="ADMITIDO","ADMITIDO",IF(H560="CANCELADA","CANCELADA",IF(OR(H560="ANALISE CANCELAMENTO",H560="ANÁLISE CANCELAMENTO"),"EM ANÁLISE",IF(D560="","",IF(D560&lt;=7,"NO PRAZO",IF(D560&lt;=14,"ATENÇÃO","CRÍTICO")))))))))</f>
        <v>ADMITIDO</v>
      </c>
      <c r="F560" s="225" t="s">
        <v>171</v>
      </c>
      <c r="G560" s="225" t="s">
        <v>43</v>
      </c>
      <c r="H560" s="117" t="s">
        <v>40</v>
      </c>
      <c r="I560" s="117" t="str">
        <f>IF(X560="ADMITIDO","ADMITIDO",IF(X560="CANCELADA","CANCELADA",IF(H560="","",IFERROR(_xlfn.XLOOKUP(H560,Listas!I:I,Listas!J:J),"OUTROS"))))</f>
        <v>ADMITIDO</v>
      </c>
      <c r="J560" s="362" t="s">
        <v>1756</v>
      </c>
      <c r="K560" s="226" t="s">
        <v>335</v>
      </c>
      <c r="L560" s="226" t="s">
        <v>788</v>
      </c>
      <c r="M560" s="226"/>
      <c r="N560" s="226" t="s">
        <v>337</v>
      </c>
      <c r="O560" s="227" t="s">
        <v>56</v>
      </c>
      <c r="P560" s="227" t="s">
        <v>35</v>
      </c>
      <c r="Q560" s="227" t="s">
        <v>176</v>
      </c>
      <c r="R560" s="74" t="s">
        <v>1759</v>
      </c>
      <c r="S560" s="228" t="s">
        <v>1746</v>
      </c>
      <c r="T560" s="229">
        <v>15981093949</v>
      </c>
      <c r="U560" s="73" t="s">
        <v>50</v>
      </c>
      <c r="V560" s="220">
        <v>46167</v>
      </c>
      <c r="W560" s="203" t="s">
        <v>1760</v>
      </c>
      <c r="X560" s="227" t="s">
        <v>40</v>
      </c>
      <c r="Y560" s="249">
        <v>46177</v>
      </c>
      <c r="Z560" s="249">
        <v>46177</v>
      </c>
      <c r="AA560" s="256">
        <v>83316</v>
      </c>
      <c r="AB560" s="74"/>
      <c r="AC560" s="74"/>
      <c r="AD560" s="256">
        <v>0</v>
      </c>
    </row>
    <row r="561" spans="1:30" s="251" customFormat="1" ht="18" customHeight="1">
      <c r="A561" s="223">
        <v>30338</v>
      </c>
      <c r="B561" s="224">
        <v>1</v>
      </c>
      <c r="C561" s="201">
        <v>46161</v>
      </c>
      <c r="D561" s="105">
        <f t="shared" ca="1" si="22"/>
        <v>66</v>
      </c>
      <c r="E561" s="138" t="str">
        <f t="shared" si="23"/>
        <v>ADMITIDO</v>
      </c>
      <c r="F561" s="225" t="s">
        <v>171</v>
      </c>
      <c r="G561" s="225" t="s">
        <v>43</v>
      </c>
      <c r="H561" s="117" t="s">
        <v>40</v>
      </c>
      <c r="I561" s="117" t="str">
        <f>IF(X561="ADMITIDO","ADMITIDO",IF(X561="CANCELADA","CANCELADA",IF(H561="","",IFERROR(_xlfn.XLOOKUP(H561,Listas!I:I,Listas!J:J),"OUTROS"))))</f>
        <v>ADMITIDO</v>
      </c>
      <c r="J561" s="362" t="s">
        <v>1756</v>
      </c>
      <c r="K561" s="226" t="s">
        <v>335</v>
      </c>
      <c r="L561" s="226" t="s">
        <v>788</v>
      </c>
      <c r="M561" s="226"/>
      <c r="N561" s="226" t="s">
        <v>337</v>
      </c>
      <c r="O561" s="227" t="s">
        <v>56</v>
      </c>
      <c r="P561" s="227" t="s">
        <v>35</v>
      </c>
      <c r="Q561" s="227" t="s">
        <v>176</v>
      </c>
      <c r="R561" s="74" t="s">
        <v>1761</v>
      </c>
      <c r="S561" s="228" t="s">
        <v>1746</v>
      </c>
      <c r="T561" s="229">
        <v>15992437457</v>
      </c>
      <c r="U561" s="73" t="s">
        <v>67</v>
      </c>
      <c r="V561" s="220">
        <v>46167</v>
      </c>
      <c r="W561" s="203" t="s">
        <v>1762</v>
      </c>
      <c r="X561" s="227" t="s">
        <v>40</v>
      </c>
      <c r="Y561" s="249">
        <v>46177</v>
      </c>
      <c r="Z561" s="249">
        <v>46177</v>
      </c>
      <c r="AA561" s="256">
        <v>83313</v>
      </c>
      <c r="AB561" s="74"/>
      <c r="AC561" s="74"/>
      <c r="AD561" s="256">
        <v>0</v>
      </c>
    </row>
    <row r="562" spans="1:30" s="251" customFormat="1" ht="18" customHeight="1">
      <c r="A562" s="223">
        <v>30340</v>
      </c>
      <c r="B562" s="224">
        <v>1</v>
      </c>
      <c r="C562" s="201">
        <v>46161</v>
      </c>
      <c r="D562" s="105">
        <f ca="1">TODAY()-C562</f>
        <v>66</v>
      </c>
      <c r="E562" s="138" t="str">
        <f>IF(X562="ADMITIDO","ADMITIDO",IF(X562="CANCELADA","CANCELADA",IF(H562="","",IF(H562="ADMITIDO","ADMITIDO",IF(H562="CANCELADA","CANCELADA",IF(OR(H562="ANALISE CANCELAMENTO",H562="ANÁLISE CANCELAMENTO"),"EM ANÁLISE",IF(D562="","",IF(D562&lt;=7,"NO PRAZO",IF(D562&lt;=14,"ATENÇÃO","CRÍTICO")))))))))</f>
        <v>ADMITIDO</v>
      </c>
      <c r="F562" s="225" t="s">
        <v>171</v>
      </c>
      <c r="G562" s="225" t="s">
        <v>43</v>
      </c>
      <c r="H562" s="117" t="s">
        <v>40</v>
      </c>
      <c r="I562" s="117" t="str">
        <f>IF(X562="ADMITIDO","ADMITIDO",IF(X562="CANCELADA","CANCELADA",IF(H562="","",IFERROR(_xlfn.XLOOKUP(H562,Listas!I:I,Listas!J:J),"OUTROS"))))</f>
        <v>ADMITIDO</v>
      </c>
      <c r="J562" s="362" t="s">
        <v>1756</v>
      </c>
      <c r="K562" s="226" t="s">
        <v>335</v>
      </c>
      <c r="L562" s="226" t="s">
        <v>788</v>
      </c>
      <c r="M562" s="226"/>
      <c r="N562" s="226" t="s">
        <v>337</v>
      </c>
      <c r="O562" s="227" t="s">
        <v>56</v>
      </c>
      <c r="P562" s="227" t="s">
        <v>35</v>
      </c>
      <c r="Q562" s="227" t="s">
        <v>176</v>
      </c>
      <c r="R562" s="74" t="s">
        <v>1763</v>
      </c>
      <c r="S562" s="228" t="s">
        <v>1746</v>
      </c>
      <c r="T562" s="229" t="s">
        <v>1764</v>
      </c>
      <c r="U562" s="73" t="s">
        <v>67</v>
      </c>
      <c r="V562" s="220">
        <v>46176</v>
      </c>
      <c r="W562" s="203" t="s">
        <v>1765</v>
      </c>
      <c r="X562" s="227" t="s">
        <v>40</v>
      </c>
      <c r="Y562" s="249">
        <v>46183</v>
      </c>
      <c r="Z562" s="249">
        <v>46183</v>
      </c>
      <c r="AA562" s="256">
        <v>83337</v>
      </c>
      <c r="AB562" s="74" t="s">
        <v>1766</v>
      </c>
      <c r="AC562" s="74"/>
      <c r="AD562" s="256">
        <v>2</v>
      </c>
    </row>
    <row r="563" spans="1:30" s="251" customFormat="1" ht="18" customHeight="1">
      <c r="A563" s="223">
        <v>30340</v>
      </c>
      <c r="B563" s="224">
        <v>1</v>
      </c>
      <c r="C563" s="201">
        <v>46161</v>
      </c>
      <c r="D563" s="105">
        <f t="shared" ca="1" si="22"/>
        <v>66</v>
      </c>
      <c r="E563" s="138" t="str">
        <f t="shared" si="23"/>
        <v>ADMITIDO</v>
      </c>
      <c r="F563" s="225" t="s">
        <v>171</v>
      </c>
      <c r="G563" s="225" t="s">
        <v>43</v>
      </c>
      <c r="H563" s="117" t="s">
        <v>40</v>
      </c>
      <c r="I563" s="117" t="str">
        <f>IF(X563="ADMITIDO","ADMITIDO",IF(X563="CANCELADA","CANCELADA",IF(H563="","",IFERROR(_xlfn.XLOOKUP(H563,Listas!I:I,Listas!J:J),"OUTROS"))))</f>
        <v>ADMITIDO</v>
      </c>
      <c r="J563" s="362" t="s">
        <v>1756</v>
      </c>
      <c r="K563" s="226" t="s">
        <v>335</v>
      </c>
      <c r="L563" s="226" t="s">
        <v>788</v>
      </c>
      <c r="M563" s="226"/>
      <c r="N563" s="226" t="s">
        <v>337</v>
      </c>
      <c r="O563" s="227" t="s">
        <v>56</v>
      </c>
      <c r="P563" s="227" t="s">
        <v>35</v>
      </c>
      <c r="Q563" s="227" t="s">
        <v>176</v>
      </c>
      <c r="R563" s="74" t="s">
        <v>1761</v>
      </c>
      <c r="S563" s="228" t="s">
        <v>1746</v>
      </c>
      <c r="T563" s="229" t="s">
        <v>1767</v>
      </c>
      <c r="U563" s="73" t="s">
        <v>67</v>
      </c>
      <c r="V563" s="220">
        <v>46167</v>
      </c>
      <c r="W563" s="203" t="s">
        <v>1768</v>
      </c>
      <c r="X563" s="227" t="s">
        <v>40</v>
      </c>
      <c r="Y563" s="249">
        <v>46177</v>
      </c>
      <c r="Z563" s="249">
        <v>46177</v>
      </c>
      <c r="AA563" s="256">
        <v>83315</v>
      </c>
      <c r="AB563" s="74"/>
      <c r="AC563" s="74"/>
      <c r="AD563" s="256">
        <v>0</v>
      </c>
    </row>
    <row r="564" spans="1:30" s="251" customFormat="1" ht="18" customHeight="1">
      <c r="A564" s="223">
        <v>30342</v>
      </c>
      <c r="B564" s="224">
        <v>1</v>
      </c>
      <c r="C564" s="201">
        <v>46161</v>
      </c>
      <c r="D564" s="105">
        <f ca="1">TODAY()-C564</f>
        <v>66</v>
      </c>
      <c r="E564" s="138" t="str">
        <f>IF(X564="ADMITIDO","ADMITIDO",IF(X564="CANCELADA","CANCELADA",IF(H564="","",IF(H564="ADMITIDO","ADMITIDO",IF(H564="CANCELADA","CANCELADA",IF(OR(H564="ANALISE CANCELAMENTO",H564="ANÁLISE CANCELAMENTO"),"EM ANÁLISE",IF(D564="","",IF(D564&lt;=7,"NO PRAZO",IF(D564&lt;=14,"ATENÇÃO","CRÍTICO")))))))))</f>
        <v>ADMITIDO</v>
      </c>
      <c r="F564" s="225" t="s">
        <v>171</v>
      </c>
      <c r="G564" s="225" t="s">
        <v>43</v>
      </c>
      <c r="H564" s="117" t="s">
        <v>40</v>
      </c>
      <c r="I564" s="117" t="str">
        <f>IF(X564="ADMITIDO","ADMITIDO",IF(X564="CANCELADA","CANCELADA",IF(H564="","",IFERROR(_xlfn.XLOOKUP(H564,Listas!I:I,Listas!J:J),"OUTROS"))))</f>
        <v>ADMITIDO</v>
      </c>
      <c r="J564" s="362" t="s">
        <v>1756</v>
      </c>
      <c r="K564" s="226" t="s">
        <v>335</v>
      </c>
      <c r="L564" s="226" t="s">
        <v>788</v>
      </c>
      <c r="M564" s="226"/>
      <c r="N564" s="226" t="s">
        <v>337</v>
      </c>
      <c r="O564" s="227" t="s">
        <v>56</v>
      </c>
      <c r="P564" s="227" t="s">
        <v>35</v>
      </c>
      <c r="Q564" s="227" t="s">
        <v>176</v>
      </c>
      <c r="R564" s="74" t="s">
        <v>1761</v>
      </c>
      <c r="S564" s="228" t="s">
        <v>1746</v>
      </c>
      <c r="T564" s="229">
        <v>15996572647</v>
      </c>
      <c r="U564" s="73" t="s">
        <v>67</v>
      </c>
      <c r="V564" s="220">
        <v>46169</v>
      </c>
      <c r="W564" s="203" t="s">
        <v>1769</v>
      </c>
      <c r="X564" s="227" t="s">
        <v>40</v>
      </c>
      <c r="Y564" s="249">
        <v>46177</v>
      </c>
      <c r="Z564" s="249">
        <v>46177</v>
      </c>
      <c r="AA564" s="256">
        <v>83326</v>
      </c>
      <c r="AB564" s="74"/>
      <c r="AC564" s="74"/>
      <c r="AD564" s="256">
        <v>0</v>
      </c>
    </row>
    <row r="565" spans="1:30" s="251" customFormat="1" ht="18" customHeight="1">
      <c r="A565" s="223">
        <v>30342</v>
      </c>
      <c r="B565" s="224">
        <v>1</v>
      </c>
      <c r="C565" s="201">
        <v>46161</v>
      </c>
      <c r="D565" s="105">
        <f ca="1">TODAY()-C565</f>
        <v>66</v>
      </c>
      <c r="E565" s="138" t="str">
        <f>IF(X565="ADMITIDO","ADMITIDO",IF(X565="CANCELADA","CANCELADA",IF(H565="","",IF(H565="ADMITIDO","ADMITIDO",IF(H565="CANCELADA","CANCELADA",IF(OR(H565="ANALISE CANCELAMENTO",H565="ANÁLISE CANCELAMENTO"),"EM ANÁLISE",IF(D565="","",IF(D565&lt;=7,"NO PRAZO",IF(D565&lt;=14,"ATENÇÃO","CRÍTICO")))))))))</f>
        <v>ADMITIDO</v>
      </c>
      <c r="F565" s="225" t="s">
        <v>171</v>
      </c>
      <c r="G565" s="225" t="s">
        <v>43</v>
      </c>
      <c r="H565" s="117" t="s">
        <v>40</v>
      </c>
      <c r="I565" s="117" t="str">
        <f>IF(X565="ADMITIDO","ADMITIDO",IF(X565="CANCELADA","CANCELADA",IF(H565="","",IFERROR(_xlfn.XLOOKUP(H565,Listas!I:I,Listas!J:J),"OUTROS"))))</f>
        <v>ADMITIDO</v>
      </c>
      <c r="J565" s="362" t="s">
        <v>1756</v>
      </c>
      <c r="K565" s="226" t="s">
        <v>335</v>
      </c>
      <c r="L565" s="226" t="s">
        <v>788</v>
      </c>
      <c r="M565" s="226"/>
      <c r="N565" s="226" t="s">
        <v>337</v>
      </c>
      <c r="O565" s="227" t="s">
        <v>56</v>
      </c>
      <c r="P565" s="227" t="s">
        <v>35</v>
      </c>
      <c r="Q565" s="227" t="s">
        <v>176</v>
      </c>
      <c r="R565" s="74" t="s">
        <v>1761</v>
      </c>
      <c r="S565" s="228" t="s">
        <v>1746</v>
      </c>
      <c r="T565" s="229">
        <v>15997936803</v>
      </c>
      <c r="U565" s="73" t="s">
        <v>67</v>
      </c>
      <c r="V565" s="220">
        <v>46170</v>
      </c>
      <c r="W565" s="203" t="s">
        <v>1770</v>
      </c>
      <c r="X565" s="227" t="s">
        <v>40</v>
      </c>
      <c r="Y565" s="249">
        <v>46177</v>
      </c>
      <c r="Z565" s="249">
        <v>46177</v>
      </c>
      <c r="AA565" s="256">
        <v>83324</v>
      </c>
      <c r="AB565" s="74" t="s">
        <v>1771</v>
      </c>
      <c r="AC565" s="74"/>
      <c r="AD565" s="256">
        <v>1</v>
      </c>
    </row>
    <row r="566" spans="1:30" s="251" customFormat="1" ht="18" customHeight="1">
      <c r="A566" s="223">
        <v>30342</v>
      </c>
      <c r="B566" s="224">
        <v>1</v>
      </c>
      <c r="C566" s="201">
        <v>46161</v>
      </c>
      <c r="D566" s="105">
        <f ca="1">TODAY()-C566</f>
        <v>66</v>
      </c>
      <c r="E566" s="138" t="str">
        <f>IF(X566="ADMITIDO","ADMITIDO",IF(X566="CANCELADA","CANCELADA",IF(H566="","",IF(H566="ADMITIDO","ADMITIDO",IF(H566="CANCELADA","CANCELADA",IF(OR(H566="ANALISE CANCELAMENTO",H566="ANÁLISE CANCELAMENTO"),"EM ANÁLISE",IF(D566="","",IF(D566&lt;=7,"NO PRAZO",IF(D566&lt;=14,"ATENÇÃO","CRÍTICO")))))))))</f>
        <v>ADMITIDO</v>
      </c>
      <c r="F566" s="225" t="s">
        <v>171</v>
      </c>
      <c r="G566" s="225" t="s">
        <v>145</v>
      </c>
      <c r="H566" s="117" t="s">
        <v>40</v>
      </c>
      <c r="I566" s="117" t="str">
        <f>IF(X566="ADMITIDO","ADMITIDO",IF(X566="CANCELADA","CANCELADA",IF(H566="","",IFERROR(_xlfn.XLOOKUP(H566,Listas!I:I,Listas!J:J),"OUTROS"))))</f>
        <v>ADMITIDO</v>
      </c>
      <c r="J566" s="362" t="s">
        <v>1756</v>
      </c>
      <c r="K566" s="226" t="s">
        <v>335</v>
      </c>
      <c r="L566" s="226" t="s">
        <v>788</v>
      </c>
      <c r="M566" s="226"/>
      <c r="N566" s="226" t="s">
        <v>337</v>
      </c>
      <c r="O566" s="227" t="s">
        <v>56</v>
      </c>
      <c r="P566" s="227" t="s">
        <v>35</v>
      </c>
      <c r="Q566" s="227" t="s">
        <v>176</v>
      </c>
      <c r="R566" s="74" t="s">
        <v>1761</v>
      </c>
      <c r="S566" s="228" t="s">
        <v>1746</v>
      </c>
      <c r="T566" s="229" t="s">
        <v>1772</v>
      </c>
      <c r="U566" s="73" t="s">
        <v>67</v>
      </c>
      <c r="V566" s="220">
        <v>46175</v>
      </c>
      <c r="W566" s="203" t="s">
        <v>1773</v>
      </c>
      <c r="X566" s="227" t="s">
        <v>40</v>
      </c>
      <c r="Y566" s="249">
        <v>46181</v>
      </c>
      <c r="Z566" s="249">
        <v>46181</v>
      </c>
      <c r="AA566" s="256">
        <v>83331</v>
      </c>
      <c r="AB566" s="74" t="s">
        <v>1774</v>
      </c>
      <c r="AC566" s="74"/>
      <c r="AD566" s="256">
        <v>1</v>
      </c>
    </row>
    <row r="567" spans="1:30" s="251" customFormat="1" ht="18" customHeight="1">
      <c r="A567" s="223">
        <v>30342</v>
      </c>
      <c r="B567" s="224">
        <v>1</v>
      </c>
      <c r="C567" s="201">
        <v>46161</v>
      </c>
      <c r="D567" s="105">
        <f t="shared" ca="1" si="22"/>
        <v>66</v>
      </c>
      <c r="E567" s="138" t="str">
        <f t="shared" si="23"/>
        <v>ADMITIDO</v>
      </c>
      <c r="F567" s="225" t="s">
        <v>171</v>
      </c>
      <c r="G567" s="225" t="s">
        <v>145</v>
      </c>
      <c r="H567" s="117" t="s">
        <v>40</v>
      </c>
      <c r="I567" s="117" t="str">
        <f>IF(X567="ADMITIDO","ADMITIDO",IF(X567="CANCELADA","CANCELADA",IF(H567="","",IFERROR(_xlfn.XLOOKUP(H567,Listas!I:I,Listas!J:J),"OUTROS"))))</f>
        <v>ADMITIDO</v>
      </c>
      <c r="J567" s="362" t="s">
        <v>1756</v>
      </c>
      <c r="K567" s="226" t="s">
        <v>335</v>
      </c>
      <c r="L567" s="226" t="s">
        <v>788</v>
      </c>
      <c r="M567" s="226"/>
      <c r="N567" s="226" t="s">
        <v>337</v>
      </c>
      <c r="O567" s="227" t="s">
        <v>56</v>
      </c>
      <c r="P567" s="227" t="s">
        <v>35</v>
      </c>
      <c r="Q567" s="227" t="s">
        <v>176</v>
      </c>
      <c r="R567" s="74" t="s">
        <v>1759</v>
      </c>
      <c r="S567" s="228" t="s">
        <v>1746</v>
      </c>
      <c r="T567" s="229" t="s">
        <v>1775</v>
      </c>
      <c r="U567" s="73" t="s">
        <v>67</v>
      </c>
      <c r="V567" s="220">
        <v>46175</v>
      </c>
      <c r="W567" s="203" t="s">
        <v>1776</v>
      </c>
      <c r="X567" s="227" t="s">
        <v>40</v>
      </c>
      <c r="Y567" s="249">
        <v>46181</v>
      </c>
      <c r="Z567" s="249">
        <v>46181</v>
      </c>
      <c r="AA567" s="256">
        <v>83332</v>
      </c>
      <c r="AB567" s="74" t="s">
        <v>1777</v>
      </c>
      <c r="AC567" s="74"/>
      <c r="AD567" s="256">
        <v>1</v>
      </c>
    </row>
    <row r="568" spans="1:30" s="251" customFormat="1" ht="18" customHeight="1">
      <c r="A568" s="223">
        <v>30335</v>
      </c>
      <c r="B568" s="224">
        <v>1</v>
      </c>
      <c r="C568" s="201">
        <v>46161</v>
      </c>
      <c r="D568" s="105">
        <f ca="1">TODAY()-C568</f>
        <v>66</v>
      </c>
      <c r="E568" s="138" t="str">
        <f>IF(X568="ADMITIDO","ADMITIDO",IF(X568="CANCELADA","CANCELADA",IF(H568="","",IF(H568="ADMITIDO","ADMITIDO",IF(H568="CANCELADA","CANCELADA",IF(OR(H568="ANALISE CANCELAMENTO",H568="ANÁLISE CANCELAMENTO"),"EM ANÁLISE",IF(D568="","",IF(D568&lt;=7,"NO PRAZO",IF(D568&lt;=14,"ATENÇÃO","CRÍTICO")))))))))</f>
        <v>ADMITIDO</v>
      </c>
      <c r="F568" s="225" t="s">
        <v>171</v>
      </c>
      <c r="G568" s="225" t="s">
        <v>43</v>
      </c>
      <c r="H568" s="117" t="s">
        <v>40</v>
      </c>
      <c r="I568" s="117" t="str">
        <f>IF(X568="ADMITIDO","ADMITIDO",IF(X568="CANCELADA","CANCELADA",IF(H568="","",IFERROR(_xlfn.XLOOKUP(H568,Listas!I:I,Listas!J:J),"OUTROS"))))</f>
        <v>ADMITIDO</v>
      </c>
      <c r="J568" s="362" t="s">
        <v>1778</v>
      </c>
      <c r="K568" s="226" t="s">
        <v>360</v>
      </c>
      <c r="L568" s="226" t="s">
        <v>788</v>
      </c>
      <c r="M568" s="226"/>
      <c r="N568" s="226" t="s">
        <v>337</v>
      </c>
      <c r="O568" s="227" t="s">
        <v>34</v>
      </c>
      <c r="P568" s="227" t="s">
        <v>35</v>
      </c>
      <c r="Q568" s="227" t="s">
        <v>36</v>
      </c>
      <c r="R568" s="74" t="s">
        <v>1745</v>
      </c>
      <c r="S568" s="228" t="s">
        <v>1746</v>
      </c>
      <c r="T568" s="229">
        <v>15992571886</v>
      </c>
      <c r="U568" s="73" t="s">
        <v>50</v>
      </c>
      <c r="V568" s="220">
        <v>46167</v>
      </c>
      <c r="W568" s="203" t="s">
        <v>1779</v>
      </c>
      <c r="X568" s="227" t="s">
        <v>40</v>
      </c>
      <c r="Y568" s="249">
        <v>46177</v>
      </c>
      <c r="Z568" s="249">
        <v>46177</v>
      </c>
      <c r="AA568" s="256">
        <v>83309</v>
      </c>
      <c r="AB568" s="74"/>
      <c r="AC568" s="74"/>
      <c r="AD568" s="256">
        <v>0</v>
      </c>
    </row>
    <row r="569" spans="1:30" s="251" customFormat="1" ht="18" customHeight="1">
      <c r="A569" s="223">
        <v>30335</v>
      </c>
      <c r="B569" s="224">
        <v>1</v>
      </c>
      <c r="C569" s="201">
        <v>46161</v>
      </c>
      <c r="D569" s="105">
        <f t="shared" ca="1" si="22"/>
        <v>66</v>
      </c>
      <c r="E569" s="138" t="str">
        <f>IF(X569="ADMITIDO","ADMITIDO",IF(X569="CANCELADA","CANCELADA",IF(H569="","",IF(H569="ADMITIDO","ADMITIDO",IF(H569="CANCELADA","CANCELADA",IF(OR(H569="ANALISE CANCELAMENTO",H569="ANÁLISE CANCELAMENTO"),"EM ANÁLISE",IF(D569="","",IF(D569&lt;=7,"NO PRAZO",IF(D569&lt;=14,"ATENÇÃO","CRÍTICO")))))))))</f>
        <v>ADMITIDO</v>
      </c>
      <c r="F569" s="225" t="s">
        <v>171</v>
      </c>
      <c r="G569" s="225" t="s">
        <v>43</v>
      </c>
      <c r="H569" s="117" t="s">
        <v>40</v>
      </c>
      <c r="I569" s="117" t="str">
        <f>IF(X569="ADMITIDO","ADMITIDO",IF(X569="CANCELADA","CANCELADA",IF(H569="","",IFERROR(_xlfn.XLOOKUP(H569,Listas!I:I,Listas!J:J),"OUTROS"))))</f>
        <v>ADMITIDO</v>
      </c>
      <c r="J569" s="362" t="s">
        <v>1778</v>
      </c>
      <c r="K569" s="226" t="s">
        <v>360</v>
      </c>
      <c r="L569" s="226" t="s">
        <v>788</v>
      </c>
      <c r="M569" s="226"/>
      <c r="N569" s="226" t="s">
        <v>337</v>
      </c>
      <c r="O569" s="227" t="s">
        <v>34</v>
      </c>
      <c r="P569" s="227" t="s">
        <v>35</v>
      </c>
      <c r="Q569" s="227" t="s">
        <v>36</v>
      </c>
      <c r="R569" s="74" t="s">
        <v>1780</v>
      </c>
      <c r="S569" s="228" t="s">
        <v>1746</v>
      </c>
      <c r="T569" s="229">
        <v>15997970972</v>
      </c>
      <c r="U569" s="73" t="s">
        <v>67</v>
      </c>
      <c r="V569" s="220">
        <v>46174</v>
      </c>
      <c r="W569" s="203" t="s">
        <v>1781</v>
      </c>
      <c r="X569" s="227" t="s">
        <v>40</v>
      </c>
      <c r="Y569" s="249">
        <v>46181</v>
      </c>
      <c r="Z569" s="249">
        <v>46181</v>
      </c>
      <c r="AA569" s="256">
        <v>8337</v>
      </c>
      <c r="AB569" s="74"/>
      <c r="AC569" s="74"/>
      <c r="AD569" s="256">
        <v>0</v>
      </c>
    </row>
    <row r="570" spans="1:30" s="251" customFormat="1" ht="18" customHeight="1">
      <c r="A570" s="223">
        <v>30336</v>
      </c>
      <c r="B570" s="224">
        <v>1</v>
      </c>
      <c r="C570" s="201">
        <v>46161</v>
      </c>
      <c r="D570" s="105">
        <f ca="1">TODAY()-C570</f>
        <v>66</v>
      </c>
      <c r="E570" s="138" t="str">
        <f>IF(X570="ADMITIDO","ADMITIDO",IF(X570="CANCELADA","CANCELADA",IF(H570="","",IF(H570="ADMITIDO","ADMITIDO",IF(H570="CANCELADA","CANCELADA",IF(OR(H570="ANALISE CANCELAMENTO",H570="ANÁLISE CANCELAMENTO"),"EM ANÁLISE",IF(D570="","",IF(D570&lt;=7,"NO PRAZO",IF(D570&lt;=14,"ATENÇÃO","CRÍTICO")))))))))</f>
        <v>ADMITIDO</v>
      </c>
      <c r="F570" s="225" t="s">
        <v>171</v>
      </c>
      <c r="G570" s="225" t="s">
        <v>43</v>
      </c>
      <c r="H570" s="117" t="s">
        <v>40</v>
      </c>
      <c r="I570" s="117" t="str">
        <f>IF(X570="ADMITIDO","ADMITIDO",IF(X570="CANCELADA","CANCELADA",IF(H570="","",IFERROR(_xlfn.XLOOKUP(H570,Listas!I:I,Listas!J:J),"OUTROS"))))</f>
        <v>ADMITIDO</v>
      </c>
      <c r="J570" s="362" t="s">
        <v>1778</v>
      </c>
      <c r="K570" s="226" t="s">
        <v>335</v>
      </c>
      <c r="L570" s="226" t="s">
        <v>788</v>
      </c>
      <c r="M570" s="226"/>
      <c r="N570" s="226" t="s">
        <v>337</v>
      </c>
      <c r="O570" s="227" t="s">
        <v>56</v>
      </c>
      <c r="P570" s="227" t="s">
        <v>35</v>
      </c>
      <c r="Q570" s="227" t="s">
        <v>176</v>
      </c>
      <c r="R570" s="74" t="s">
        <v>1761</v>
      </c>
      <c r="S570" s="228" t="s">
        <v>1746</v>
      </c>
      <c r="T570" s="229">
        <v>15996085838</v>
      </c>
      <c r="U570" s="73" t="s">
        <v>67</v>
      </c>
      <c r="V570" s="220">
        <v>46167</v>
      </c>
      <c r="W570" s="203" t="s">
        <v>1782</v>
      </c>
      <c r="X570" s="227" t="s">
        <v>40</v>
      </c>
      <c r="Y570" s="249">
        <v>46177</v>
      </c>
      <c r="Z570" s="249">
        <v>46177</v>
      </c>
      <c r="AA570" s="256">
        <v>83317</v>
      </c>
      <c r="AB570" s="74"/>
      <c r="AC570" s="74"/>
      <c r="AD570" s="256">
        <v>0</v>
      </c>
    </row>
    <row r="571" spans="1:30" s="251" customFormat="1" ht="18" customHeight="1">
      <c r="A571" s="394">
        <v>30336</v>
      </c>
      <c r="B571" s="399">
        <v>1</v>
      </c>
      <c r="C571" s="379">
        <v>46161</v>
      </c>
      <c r="D571" s="380">
        <f t="shared" ca="1" si="22"/>
        <v>66</v>
      </c>
      <c r="E571" s="381" t="str">
        <f t="shared" si="23"/>
        <v>CANCELADA</v>
      </c>
      <c r="F571" s="400" t="s">
        <v>171</v>
      </c>
      <c r="G571" s="400" t="s">
        <v>43</v>
      </c>
      <c r="H571" s="382" t="s">
        <v>52</v>
      </c>
      <c r="I571" s="382" t="str">
        <f>IF(X571="ADMITIDO","ADMITIDO",IF(X571="CANCELADA","CANCELADA",IF(H571="","",IFERROR(_xlfn.XLOOKUP(H571,Listas!I:I,Listas!J:J),"OUTROS"))))</f>
        <v>CANCELADA</v>
      </c>
      <c r="J571" s="235" t="s">
        <v>1778</v>
      </c>
      <c r="K571" s="226" t="s">
        <v>335</v>
      </c>
      <c r="L571" s="226" t="s">
        <v>788</v>
      </c>
      <c r="M571" s="226"/>
      <c r="N571" s="226" t="s">
        <v>337</v>
      </c>
      <c r="O571" s="227" t="s">
        <v>56</v>
      </c>
      <c r="P571" s="227" t="s">
        <v>35</v>
      </c>
      <c r="Q571" s="227" t="s">
        <v>176</v>
      </c>
      <c r="R571" s="74" t="s">
        <v>1783</v>
      </c>
      <c r="S571" s="228"/>
      <c r="T571" s="229"/>
      <c r="U571" s="73"/>
      <c r="V571" s="220"/>
      <c r="W571" s="203"/>
      <c r="X571" s="227"/>
      <c r="Y571" s="249"/>
      <c r="Z571" s="249"/>
      <c r="AA571" s="256"/>
      <c r="AB571" s="74" t="s">
        <v>1784</v>
      </c>
      <c r="AC571" s="74" t="s">
        <v>1397</v>
      </c>
      <c r="AD571" s="256">
        <v>0</v>
      </c>
    </row>
    <row r="572" spans="1:30" s="251" customFormat="1" ht="18" customHeight="1">
      <c r="A572" s="370">
        <v>30389</v>
      </c>
      <c r="B572" s="355">
        <v>1</v>
      </c>
      <c r="C572" s="366">
        <v>46161</v>
      </c>
      <c r="D572" s="367">
        <f t="shared" ca="1" si="22"/>
        <v>66</v>
      </c>
      <c r="E572" s="368" t="str">
        <f t="shared" si="23"/>
        <v>ADMITIDO</v>
      </c>
      <c r="F572" s="372" t="s">
        <v>42</v>
      </c>
      <c r="G572" s="372" t="s">
        <v>43</v>
      </c>
      <c r="H572" s="146" t="s">
        <v>40</v>
      </c>
      <c r="I572" s="146" t="str">
        <f>IF(X572="ADMITIDO","ADMITIDO",IF(X572="CANCELADA","CANCELADA",IF(H572="","",IFERROR(_xlfn.XLOOKUP(H572,Listas!I:I,Listas!J:J),"OUTROS"))))</f>
        <v>ADMITIDO</v>
      </c>
      <c r="J572" s="444" t="s">
        <v>44</v>
      </c>
      <c r="K572" s="443" t="s">
        <v>45</v>
      </c>
      <c r="L572" s="443" t="s">
        <v>771</v>
      </c>
      <c r="M572" s="443"/>
      <c r="N572" s="443" t="s">
        <v>97</v>
      </c>
      <c r="O572" s="413" t="s">
        <v>34</v>
      </c>
      <c r="P572" s="413" t="s">
        <v>48</v>
      </c>
      <c r="Q572" s="413" t="s">
        <v>49</v>
      </c>
      <c r="R572" s="409"/>
      <c r="S572" s="410"/>
      <c r="T572" s="411"/>
      <c r="U572" s="326" t="s">
        <v>50</v>
      </c>
      <c r="V572" s="335">
        <v>46160</v>
      </c>
      <c r="W572" s="336" t="s">
        <v>774</v>
      </c>
      <c r="X572" s="413" t="s">
        <v>40</v>
      </c>
      <c r="Y572" s="354">
        <v>46164</v>
      </c>
      <c r="Z572" s="354">
        <v>46167</v>
      </c>
      <c r="AA572" s="365">
        <v>145992</v>
      </c>
      <c r="AB572" s="409"/>
      <c r="AC572" s="409"/>
      <c r="AD572" s="365">
        <v>0</v>
      </c>
    </row>
    <row r="573" spans="1:30" s="251" customFormat="1" ht="18" customHeight="1">
      <c r="A573" s="223">
        <v>30386</v>
      </c>
      <c r="B573" s="224">
        <v>1</v>
      </c>
      <c r="C573" s="201">
        <v>46161</v>
      </c>
      <c r="D573" s="105">
        <f t="shared" ca="1" si="22"/>
        <v>66</v>
      </c>
      <c r="E573" s="138" t="str">
        <f t="shared" si="23"/>
        <v>ADMITIDO</v>
      </c>
      <c r="F573" s="225" t="s">
        <v>42</v>
      </c>
      <c r="G573" s="225" t="s">
        <v>240</v>
      </c>
      <c r="H573" s="146" t="s">
        <v>40</v>
      </c>
      <c r="I573" s="117" t="str">
        <f>IF(X573="ADMITIDO","ADMITIDO",IF(X573="CANCELADA","CANCELADA",IF(H573="","",IFERROR(_xlfn.XLOOKUP(H573,Listas!I:I,Listas!J:J),"OUTROS"))))</f>
        <v>ADMITIDO</v>
      </c>
      <c r="J573" s="226" t="s">
        <v>53</v>
      </c>
      <c r="K573" s="226" t="s">
        <v>241</v>
      </c>
      <c r="L573" s="226" t="s">
        <v>1715</v>
      </c>
      <c r="M573" s="226"/>
      <c r="N573" s="226" t="s">
        <v>243</v>
      </c>
      <c r="O573" s="227" t="s">
        <v>34</v>
      </c>
      <c r="P573" s="227" t="s">
        <v>48</v>
      </c>
      <c r="Q573" s="227" t="s">
        <v>49</v>
      </c>
      <c r="R573" s="74" t="s">
        <v>1785</v>
      </c>
      <c r="S573" s="228" t="s">
        <v>1786</v>
      </c>
      <c r="T573" s="229" t="s">
        <v>1787</v>
      </c>
      <c r="U573" s="73" t="s">
        <v>67</v>
      </c>
      <c r="V573" s="220">
        <v>46217</v>
      </c>
      <c r="W573" s="203" t="s">
        <v>1788</v>
      </c>
      <c r="X573" s="227" t="s">
        <v>40</v>
      </c>
      <c r="Y573" s="249">
        <v>46219</v>
      </c>
      <c r="Z573" s="249">
        <v>46224</v>
      </c>
      <c r="AA573" s="256">
        <v>146248</v>
      </c>
      <c r="AB573" s="74"/>
      <c r="AC573" s="74"/>
      <c r="AD573" s="256">
        <v>0</v>
      </c>
    </row>
    <row r="574" spans="1:30" s="251" customFormat="1" ht="18" customHeight="1">
      <c r="A574" s="223">
        <v>30387</v>
      </c>
      <c r="B574" s="224">
        <v>1</v>
      </c>
      <c r="C574" s="201">
        <v>46161</v>
      </c>
      <c r="D574" s="105">
        <f t="shared" ca="1" si="22"/>
        <v>66</v>
      </c>
      <c r="E574" s="138" t="str">
        <f t="shared" si="23"/>
        <v>ADMITIDO</v>
      </c>
      <c r="F574" s="225" t="s">
        <v>42</v>
      </c>
      <c r="G574" s="225" t="s">
        <v>240</v>
      </c>
      <c r="H574" s="117" t="s">
        <v>40</v>
      </c>
      <c r="I574" s="117" t="str">
        <f>IF(X574="ADMITIDO","ADMITIDO",IF(X574="CANCELADA","CANCELADA",IF(H574="","",IFERROR(_xlfn.XLOOKUP(H574,Listas!I:I,Listas!J:J),"OUTROS"))))</f>
        <v>ADMITIDO</v>
      </c>
      <c r="J574" s="226" t="s">
        <v>53</v>
      </c>
      <c r="K574" s="226" t="s">
        <v>241</v>
      </c>
      <c r="L574" s="226" t="s">
        <v>1715</v>
      </c>
      <c r="M574" s="226"/>
      <c r="N574" s="226" t="s">
        <v>243</v>
      </c>
      <c r="O574" s="227" t="s">
        <v>34</v>
      </c>
      <c r="P574" s="227" t="s">
        <v>48</v>
      </c>
      <c r="Q574" s="227" t="s">
        <v>49</v>
      </c>
      <c r="R574" s="74" t="s">
        <v>1789</v>
      </c>
      <c r="S574" s="228" t="s">
        <v>1790</v>
      </c>
      <c r="T574" s="229"/>
      <c r="U574" s="73" t="s">
        <v>76</v>
      </c>
      <c r="V574" s="220">
        <v>46216</v>
      </c>
      <c r="W574" s="203" t="s">
        <v>1791</v>
      </c>
      <c r="X574" s="227" t="s">
        <v>40</v>
      </c>
      <c r="Y574" s="249">
        <v>46218</v>
      </c>
      <c r="Z574" s="249">
        <v>46218</v>
      </c>
      <c r="AA574" s="256">
        <v>146234</v>
      </c>
      <c r="AB574" s="257" t="s">
        <v>1792</v>
      </c>
      <c r="AC574" s="74"/>
      <c r="AD574" s="256">
        <v>7</v>
      </c>
    </row>
    <row r="575" spans="1:30" s="251" customFormat="1" ht="18" customHeight="1">
      <c r="A575" s="398">
        <v>30390</v>
      </c>
      <c r="B575" s="358">
        <v>1</v>
      </c>
      <c r="C575" s="385">
        <v>46161</v>
      </c>
      <c r="D575" s="386">
        <f t="shared" ca="1" si="22"/>
        <v>66</v>
      </c>
      <c r="E575" s="170" t="str">
        <f t="shared" si="23"/>
        <v>ADMITIDO</v>
      </c>
      <c r="F575" s="401" t="s">
        <v>42</v>
      </c>
      <c r="G575" s="392" t="s">
        <v>29</v>
      </c>
      <c r="H575" s="139" t="s">
        <v>40</v>
      </c>
      <c r="I575" s="139" t="str">
        <f>IF(X575="ADMITIDO","ADMITIDO",IF(X575="CANCELADA","CANCELADA",IF(H575="","",IFERROR(_xlfn.XLOOKUP(H575,Listas!I:I,Listas!J:J),"OUTROS"))))</f>
        <v>ADMITIDO</v>
      </c>
      <c r="J575" s="461" t="s">
        <v>53</v>
      </c>
      <c r="K575" s="462" t="s">
        <v>54</v>
      </c>
      <c r="L575" s="462" t="s">
        <v>164</v>
      </c>
      <c r="M575" s="462"/>
      <c r="N575" s="462" t="s">
        <v>88</v>
      </c>
      <c r="O575" s="356" t="s">
        <v>56</v>
      </c>
      <c r="P575" s="356" t="s">
        <v>57</v>
      </c>
      <c r="Q575" s="356" t="s">
        <v>572</v>
      </c>
      <c r="R575" s="422"/>
      <c r="S575" s="423"/>
      <c r="T575" s="424" t="s">
        <v>1793</v>
      </c>
      <c r="U575" s="327" t="s">
        <v>1203</v>
      </c>
      <c r="V575" s="337">
        <v>46163</v>
      </c>
      <c r="W575" s="338" t="s">
        <v>1794</v>
      </c>
      <c r="X575" s="356" t="s">
        <v>40</v>
      </c>
      <c r="Y575" s="357">
        <v>46169</v>
      </c>
      <c r="Z575" s="357">
        <v>46170</v>
      </c>
      <c r="AA575" s="384">
        <v>146016</v>
      </c>
      <c r="AB575" s="422"/>
      <c r="AC575" s="422"/>
      <c r="AD575" s="384">
        <v>0</v>
      </c>
    </row>
    <row r="576" spans="1:30" s="251" customFormat="1" ht="18" customHeight="1">
      <c r="A576" s="223">
        <v>30384</v>
      </c>
      <c r="B576" s="224">
        <v>1</v>
      </c>
      <c r="C576" s="201">
        <v>46161</v>
      </c>
      <c r="D576" s="105">
        <f t="shared" ca="1" si="22"/>
        <v>66</v>
      </c>
      <c r="E576" s="138" t="str">
        <f t="shared" si="23"/>
        <v>ADMITIDO</v>
      </c>
      <c r="F576" s="225" t="s">
        <v>42</v>
      </c>
      <c r="G576" s="147" t="s">
        <v>29</v>
      </c>
      <c r="H576" s="117" t="s">
        <v>40</v>
      </c>
      <c r="I576" s="117" t="str">
        <f>IF(X576="ADMITIDO","ADMITIDO",IF(X576="CANCELADA","CANCELADA",IF(H576="","",IFERROR(_xlfn.XLOOKUP(H576,Listas!I:I,Listas!J:J),"OUTROS"))))</f>
        <v>ADMITIDO</v>
      </c>
      <c r="J576" s="361" t="s">
        <v>182</v>
      </c>
      <c r="K576" s="226" t="s">
        <v>54</v>
      </c>
      <c r="L576" s="226" t="s">
        <v>183</v>
      </c>
      <c r="M576" s="226"/>
      <c r="N576" s="226" t="s">
        <v>184</v>
      </c>
      <c r="O576" s="227" t="s">
        <v>56</v>
      </c>
      <c r="P576" s="227" t="s">
        <v>185</v>
      </c>
      <c r="Q576" s="227" t="s">
        <v>176</v>
      </c>
      <c r="R576" s="74"/>
      <c r="S576" s="228" t="s">
        <v>1795</v>
      </c>
      <c r="T576" s="229"/>
      <c r="U576" s="73" t="s">
        <v>1203</v>
      </c>
      <c r="V576" s="220">
        <v>46162</v>
      </c>
      <c r="W576" s="118" t="s">
        <v>1160</v>
      </c>
      <c r="X576" s="227" t="s">
        <v>40</v>
      </c>
      <c r="Y576" s="249">
        <v>46164</v>
      </c>
      <c r="Z576" s="249">
        <v>46165</v>
      </c>
      <c r="AA576" s="256">
        <v>914328</v>
      </c>
      <c r="AB576" s="74"/>
      <c r="AC576" s="74"/>
      <c r="AD576" s="256">
        <v>0</v>
      </c>
    </row>
    <row r="577" spans="1:30" s="251" customFormat="1" ht="18" customHeight="1">
      <c r="A577" s="223">
        <v>30382</v>
      </c>
      <c r="B577" s="224">
        <v>1</v>
      </c>
      <c r="C577" s="201">
        <v>46161</v>
      </c>
      <c r="D577" s="105">
        <f t="shared" ca="1" si="22"/>
        <v>66</v>
      </c>
      <c r="E577" s="138" t="str">
        <f t="shared" si="23"/>
        <v>ADMITIDO</v>
      </c>
      <c r="F577" s="225" t="s">
        <v>42</v>
      </c>
      <c r="G577" s="147" t="s">
        <v>145</v>
      </c>
      <c r="H577" s="117" t="s">
        <v>40</v>
      </c>
      <c r="I577" s="117" t="str">
        <f>IF(X577="ADMITIDO","ADMITIDO",IF(X577="CANCELADA","CANCELADA",IF(H577="","",IFERROR(_xlfn.XLOOKUP(H577,Listas!I:I,Listas!J:J),"OUTROS"))))</f>
        <v>ADMITIDO</v>
      </c>
      <c r="J577" s="361" t="s">
        <v>44</v>
      </c>
      <c r="K577" s="226" t="s">
        <v>228</v>
      </c>
      <c r="L577" s="226" t="s">
        <v>807</v>
      </c>
      <c r="M577" s="226"/>
      <c r="N577" s="226" t="s">
        <v>88</v>
      </c>
      <c r="O577" s="227" t="s">
        <v>34</v>
      </c>
      <c r="P577" s="227" t="s">
        <v>57</v>
      </c>
      <c r="Q577" s="227" t="s">
        <v>94</v>
      </c>
      <c r="R577" s="74"/>
      <c r="S577" s="228"/>
      <c r="T577" s="229" t="s">
        <v>808</v>
      </c>
      <c r="U577" s="73" t="s">
        <v>38</v>
      </c>
      <c r="V577" s="220">
        <v>46156</v>
      </c>
      <c r="W577" s="203" t="s">
        <v>1796</v>
      </c>
      <c r="X577" s="227" t="s">
        <v>40</v>
      </c>
      <c r="Y577" s="249">
        <v>46162</v>
      </c>
      <c r="Z577" s="249">
        <v>46163</v>
      </c>
      <c r="AA577" s="224">
        <v>914311</v>
      </c>
      <c r="AB577" s="74"/>
      <c r="AC577" s="74"/>
      <c r="AD577" s="256">
        <v>0</v>
      </c>
    </row>
    <row r="578" spans="1:30" s="251" customFormat="1" ht="18" customHeight="1">
      <c r="A578" s="223">
        <v>30383</v>
      </c>
      <c r="B578" s="224">
        <v>1</v>
      </c>
      <c r="C578" s="201">
        <v>46161</v>
      </c>
      <c r="D578" s="105">
        <f t="shared" ca="1" si="22"/>
        <v>66</v>
      </c>
      <c r="E578" s="138" t="str">
        <f t="shared" si="23"/>
        <v>ADMITIDO</v>
      </c>
      <c r="F578" s="225" t="s">
        <v>42</v>
      </c>
      <c r="G578" s="225" t="s">
        <v>102</v>
      </c>
      <c r="H578" s="117" t="s">
        <v>40</v>
      </c>
      <c r="I578" s="117" t="str">
        <f>IF(X578="ADMITIDO","ADMITIDO",IF(X578="CANCELADA","CANCELADA",IF(H578="","",IFERROR(_xlfn.XLOOKUP(H578,Listas!I:I,Listas!J:J),"OUTROS"))))</f>
        <v>ADMITIDO</v>
      </c>
      <c r="J578" s="361" t="s">
        <v>198</v>
      </c>
      <c r="K578" s="226" t="s">
        <v>103</v>
      </c>
      <c r="L578" s="226" t="s">
        <v>273</v>
      </c>
      <c r="M578" s="226"/>
      <c r="N578" s="226" t="s">
        <v>274</v>
      </c>
      <c r="O578" s="227" t="s">
        <v>34</v>
      </c>
      <c r="P578" s="227" t="s">
        <v>48</v>
      </c>
      <c r="Q578" s="227" t="s">
        <v>49</v>
      </c>
      <c r="R578" s="74"/>
      <c r="S578" s="228"/>
      <c r="T578" s="229"/>
      <c r="U578" s="73" t="s">
        <v>132</v>
      </c>
      <c r="V578" s="220">
        <v>46178</v>
      </c>
      <c r="W578" s="203" t="s">
        <v>1797</v>
      </c>
      <c r="X578" s="227" t="s">
        <v>40</v>
      </c>
      <c r="Y578" s="249">
        <v>46184</v>
      </c>
      <c r="Z578" s="249">
        <v>46189</v>
      </c>
      <c r="AA578" s="256">
        <v>146073</v>
      </c>
      <c r="AB578" s="74"/>
      <c r="AC578" s="74"/>
      <c r="AD578" s="256">
        <v>0</v>
      </c>
    </row>
    <row r="579" spans="1:30" s="251" customFormat="1" ht="18" customHeight="1">
      <c r="A579" s="370">
        <v>30385</v>
      </c>
      <c r="B579" s="355">
        <v>1</v>
      </c>
      <c r="C579" s="366">
        <v>46161</v>
      </c>
      <c r="D579" s="367">
        <f t="shared" ca="1" si="22"/>
        <v>66</v>
      </c>
      <c r="E579" s="373" t="str">
        <f t="shared" si="23"/>
        <v>ADMITIDO</v>
      </c>
      <c r="F579" s="372" t="s">
        <v>42</v>
      </c>
      <c r="G579" s="372" t="s">
        <v>102</v>
      </c>
      <c r="H579" s="146" t="s">
        <v>40</v>
      </c>
      <c r="I579" s="146" t="str">
        <f>IF(X579="ADMITIDO","ADMITIDO",IF(X579="CANCELADA","CANCELADA",IF(H579="","",IFERROR(_xlfn.XLOOKUP(H579,Listas!I:I,Listas!J:J),"OUTROS"))))</f>
        <v>ADMITIDO</v>
      </c>
      <c r="J579" s="444" t="s">
        <v>44</v>
      </c>
      <c r="K579" s="443" t="s">
        <v>280</v>
      </c>
      <c r="L579" s="443" t="s">
        <v>281</v>
      </c>
      <c r="M579" s="443"/>
      <c r="N579" s="443" t="s">
        <v>63</v>
      </c>
      <c r="O579" s="413" t="s">
        <v>34</v>
      </c>
      <c r="P579" s="413" t="s">
        <v>57</v>
      </c>
      <c r="Q579" s="413" t="s">
        <v>98</v>
      </c>
      <c r="R579" s="409" t="s">
        <v>1798</v>
      </c>
      <c r="S579" s="410" t="s">
        <v>1799</v>
      </c>
      <c r="T579" s="411"/>
      <c r="U579" s="326" t="s">
        <v>109</v>
      </c>
      <c r="V579" s="335">
        <v>46189</v>
      </c>
      <c r="W579" s="336" t="s">
        <v>1800</v>
      </c>
      <c r="X579" s="413" t="s">
        <v>40</v>
      </c>
      <c r="Y579" s="354">
        <v>46197</v>
      </c>
      <c r="Z579" s="354">
        <v>46198</v>
      </c>
      <c r="AA579" s="365">
        <v>146149</v>
      </c>
      <c r="AB579" s="409" t="s">
        <v>1801</v>
      </c>
      <c r="AC579" s="409"/>
      <c r="AD579" s="365">
        <v>1</v>
      </c>
    </row>
    <row r="580" spans="1:30" s="251" customFormat="1" ht="18" customHeight="1">
      <c r="A580" s="223">
        <v>30391</v>
      </c>
      <c r="B580" s="224">
        <v>1</v>
      </c>
      <c r="C580" s="201">
        <v>46161</v>
      </c>
      <c r="D580" s="105">
        <f t="shared" ca="1" si="22"/>
        <v>66</v>
      </c>
      <c r="E580" s="138" t="str">
        <f t="shared" si="23"/>
        <v>ADMITIDO</v>
      </c>
      <c r="F580" s="225" t="s">
        <v>42</v>
      </c>
      <c r="G580" s="225" t="s">
        <v>69</v>
      </c>
      <c r="H580" s="117" t="s">
        <v>40</v>
      </c>
      <c r="I580" s="117" t="str">
        <f>IF(X580="ADMITIDO","ADMITIDO",IF(X580="CANCELADA","CANCELADA",IF(H580="","",IFERROR(_xlfn.XLOOKUP(H580,Listas!I:I,Listas!J:J),"OUTROS"))))</f>
        <v>ADMITIDO</v>
      </c>
      <c r="J580" s="226" t="s">
        <v>53</v>
      </c>
      <c r="K580" s="226" t="s">
        <v>70</v>
      </c>
      <c r="L580" s="226" t="s">
        <v>1242</v>
      </c>
      <c r="M580" s="226"/>
      <c r="N580" s="226" t="s">
        <v>63</v>
      </c>
      <c r="O580" s="227" t="s">
        <v>34</v>
      </c>
      <c r="P580" s="227" t="s">
        <v>72</v>
      </c>
      <c r="Q580" s="227" t="s">
        <v>238</v>
      </c>
      <c r="R580" s="74"/>
      <c r="S580" s="228"/>
      <c r="T580" s="229"/>
      <c r="U580" s="73" t="s">
        <v>1802</v>
      </c>
      <c r="V580" s="220">
        <v>46202</v>
      </c>
      <c r="W580" s="203" t="s">
        <v>1803</v>
      </c>
      <c r="X580" s="227" t="s">
        <v>40</v>
      </c>
      <c r="Y580" s="249">
        <v>46204</v>
      </c>
      <c r="Z580" s="249">
        <v>46205</v>
      </c>
      <c r="AA580" s="256">
        <v>914563</v>
      </c>
      <c r="AB580" s="203" t="s">
        <v>1804</v>
      </c>
      <c r="AC580" s="74"/>
      <c r="AD580" s="256">
        <v>2</v>
      </c>
    </row>
    <row r="581" spans="1:30" s="251" customFormat="1" ht="18" customHeight="1">
      <c r="A581" s="398">
        <v>30392</v>
      </c>
      <c r="B581" s="358">
        <v>1</v>
      </c>
      <c r="C581" s="385">
        <v>46161</v>
      </c>
      <c r="D581" s="386">
        <f t="shared" ca="1" si="22"/>
        <v>66</v>
      </c>
      <c r="E581" s="170" t="str">
        <f t="shared" si="23"/>
        <v>ADMITIDO</v>
      </c>
      <c r="F581" s="401" t="s">
        <v>28</v>
      </c>
      <c r="G581" s="401" t="s">
        <v>43</v>
      </c>
      <c r="H581" s="139" t="s">
        <v>40</v>
      </c>
      <c r="I581" s="139" t="str">
        <f>IF(X581="ADMITIDO","ADMITIDO",IF(X581="CANCELADA","CANCELADA",IF(H581="","",IFERROR(_xlfn.XLOOKUP(H581,Listas!I:I,Listas!J:J),"OUTROS"))))</f>
        <v>ADMITIDO</v>
      </c>
      <c r="J581" s="461" t="s">
        <v>557</v>
      </c>
      <c r="K581" s="462" t="s">
        <v>360</v>
      </c>
      <c r="L581" s="462" t="s">
        <v>932</v>
      </c>
      <c r="M581" s="462"/>
      <c r="N581" s="462" t="s">
        <v>933</v>
      </c>
      <c r="O581" s="356" t="s">
        <v>34</v>
      </c>
      <c r="P581" s="356" t="s">
        <v>35</v>
      </c>
      <c r="Q581" s="356" t="s">
        <v>1805</v>
      </c>
      <c r="R581" s="422"/>
      <c r="S581" s="423" t="s">
        <v>1567</v>
      </c>
      <c r="T581" s="424">
        <v>11987564835</v>
      </c>
      <c r="U581" s="327" t="s">
        <v>67</v>
      </c>
      <c r="V581" s="337">
        <v>46171</v>
      </c>
      <c r="W581" s="338" t="s">
        <v>1806</v>
      </c>
      <c r="X581" s="356" t="s">
        <v>40</v>
      </c>
      <c r="Y581" s="357">
        <v>46184</v>
      </c>
      <c r="Z581" s="357">
        <v>46184</v>
      </c>
      <c r="AA581" s="384">
        <v>914410</v>
      </c>
      <c r="AB581" s="422" t="s">
        <v>1807</v>
      </c>
      <c r="AC581" s="422"/>
      <c r="AD581" s="384">
        <v>0</v>
      </c>
    </row>
    <row r="582" spans="1:30" s="251" customFormat="1" ht="18" customHeight="1">
      <c r="A582" s="223">
        <v>30381</v>
      </c>
      <c r="B582" s="224">
        <v>1</v>
      </c>
      <c r="C582" s="201">
        <v>46161</v>
      </c>
      <c r="D582" s="105">
        <f t="shared" ca="1" si="22"/>
        <v>66</v>
      </c>
      <c r="E582" s="138" t="str">
        <f t="shared" si="23"/>
        <v>ADMITIDO</v>
      </c>
      <c r="F582" s="225" t="s">
        <v>171</v>
      </c>
      <c r="G582" s="225" t="s">
        <v>43</v>
      </c>
      <c r="H582" s="117" t="s">
        <v>40</v>
      </c>
      <c r="I582" s="117" t="str">
        <f>IF(X582="ADMITIDO","ADMITIDO",IF(X582="CANCELADA","CANCELADA",IF(H582="","",IFERROR(_xlfn.XLOOKUP(H582,Listas!I:I,Listas!J:J),"OUTROS"))))</f>
        <v>ADMITIDO</v>
      </c>
      <c r="J582" s="361" t="s">
        <v>514</v>
      </c>
      <c r="K582" s="226" t="s">
        <v>1808</v>
      </c>
      <c r="L582" s="226" t="s">
        <v>700</v>
      </c>
      <c r="M582" s="226"/>
      <c r="N582" s="226" t="s">
        <v>47</v>
      </c>
      <c r="O582" s="227" t="s">
        <v>34</v>
      </c>
      <c r="P582" s="227" t="s">
        <v>35</v>
      </c>
      <c r="Q582" s="227" t="s">
        <v>287</v>
      </c>
      <c r="R582" s="74"/>
      <c r="S582" s="228"/>
      <c r="T582" s="229">
        <v>11930173952</v>
      </c>
      <c r="U582" s="73" t="s">
        <v>50</v>
      </c>
      <c r="V582" s="220">
        <v>46169</v>
      </c>
      <c r="W582" s="203" t="s">
        <v>1809</v>
      </c>
      <c r="X582" s="227" t="s">
        <v>40</v>
      </c>
      <c r="Y582" s="249">
        <v>46176</v>
      </c>
      <c r="Z582" s="249">
        <v>46177</v>
      </c>
      <c r="AA582" s="256">
        <v>83322</v>
      </c>
      <c r="AB582" s="74"/>
      <c r="AC582" s="74"/>
      <c r="AD582" s="256">
        <v>0</v>
      </c>
    </row>
    <row r="583" spans="1:30" s="251" customFormat="1" ht="18" customHeight="1">
      <c r="A583" s="370">
        <v>30395</v>
      </c>
      <c r="B583" s="355">
        <v>1</v>
      </c>
      <c r="C583" s="366">
        <v>46162</v>
      </c>
      <c r="D583" s="367">
        <f t="shared" ref="D583:D624" ca="1" si="24">TODAY()-C583</f>
        <v>65</v>
      </c>
      <c r="E583" s="373" t="str">
        <f t="shared" ref="E583:E624" si="25">IF(X583="ADMITIDO","ADMITIDO",IF(X583="CANCELADA","CANCELADA",IF(H583="","",IF(H583="ADMITIDO","ADMITIDO",IF(H583="CANCELADA","CANCELADA",IF(OR(H583="ANALISE CANCELAMENTO",H583="ANÁLISE CANCELAMENTO"),"EM ANÁLISE",IF(D583="","",IF(D583&lt;=7,"NO PRAZO",IF(D583&lt;=14,"ATENÇÃO","CRÍTICO")))))))))</f>
        <v>ADMITIDO</v>
      </c>
      <c r="F583" s="371" t="s">
        <v>42</v>
      </c>
      <c r="G583" s="369" t="s">
        <v>43</v>
      </c>
      <c r="H583" s="146" t="s">
        <v>40</v>
      </c>
      <c r="I583" s="146" t="str">
        <f>IF(X583="ADMITIDO","ADMITIDO",IF(X583="CANCELADA","CANCELADA",IF(H583="","",IFERROR(_xlfn.XLOOKUP(H583,Listas!I:I,Listas!J:J),"OUTROS"))))</f>
        <v>ADMITIDO</v>
      </c>
      <c r="J583" t="s">
        <v>1810</v>
      </c>
      <c r="K583" s="443" t="s">
        <v>45</v>
      </c>
      <c r="L583" s="443" t="s">
        <v>156</v>
      </c>
      <c r="M583" s="443"/>
      <c r="N583" s="443" t="s">
        <v>97</v>
      </c>
      <c r="O583" s="413" t="s">
        <v>34</v>
      </c>
      <c r="P583" s="413" t="s">
        <v>57</v>
      </c>
      <c r="Q583" t="s">
        <v>1437</v>
      </c>
      <c r="R583" s="409"/>
      <c r="S583" s="410" t="s">
        <v>1694</v>
      </c>
      <c r="T583" s="411">
        <v>11977030757</v>
      </c>
      <c r="U583" s="326" t="s">
        <v>50</v>
      </c>
      <c r="V583" s="335">
        <v>46189</v>
      </c>
      <c r="W583" s="336" t="s">
        <v>1811</v>
      </c>
      <c r="X583" s="413" t="s">
        <v>40</v>
      </c>
      <c r="Y583" s="354">
        <v>46197</v>
      </c>
      <c r="Z583" s="354">
        <v>46198</v>
      </c>
      <c r="AA583" s="365">
        <v>914493</v>
      </c>
      <c r="AB583" s="409"/>
      <c r="AC583" s="409"/>
      <c r="AD583" s="365">
        <v>0</v>
      </c>
    </row>
    <row r="584" spans="1:30" s="251" customFormat="1" ht="18" customHeight="1">
      <c r="A584" s="223">
        <v>30397</v>
      </c>
      <c r="B584" s="224">
        <v>1</v>
      </c>
      <c r="C584" s="201">
        <v>46162</v>
      </c>
      <c r="D584" s="105">
        <f t="shared" ca="1" si="24"/>
        <v>65</v>
      </c>
      <c r="E584" s="232" t="s">
        <v>40</v>
      </c>
      <c r="F584" s="230" t="s">
        <v>42</v>
      </c>
      <c r="G584" s="147" t="s">
        <v>43</v>
      </c>
      <c r="H584" s="117" t="s">
        <v>40</v>
      </c>
      <c r="I584" s="117" t="str">
        <f>IF(X584="ADMITIDO","ADMITIDO",IF(X584="CANCELADA","CANCELADA",IF(H584="","",IFERROR(_xlfn.XLOOKUP(H584,Listas!I:I,Listas!J:J),"OUTROS"))))</f>
        <v>ADMITIDO</v>
      </c>
      <c r="J584" s="226" t="s">
        <v>53</v>
      </c>
      <c r="K584" s="226" t="s">
        <v>45</v>
      </c>
      <c r="L584" s="226" t="s">
        <v>1812</v>
      </c>
      <c r="M584" s="226"/>
      <c r="N584" s="226" t="s">
        <v>97</v>
      </c>
      <c r="O584" s="227" t="s">
        <v>34</v>
      </c>
      <c r="P584" s="227" t="s">
        <v>48</v>
      </c>
      <c r="Q584" s="227" t="s">
        <v>1813</v>
      </c>
      <c r="R584" t="s">
        <v>1814</v>
      </c>
      <c r="S584" s="228" t="s">
        <v>1702</v>
      </c>
      <c r="T584" s="229">
        <v>11987483166</v>
      </c>
      <c r="U584" s="73" t="s">
        <v>50</v>
      </c>
      <c r="V584" s="220">
        <v>46213</v>
      </c>
      <c r="W584" s="203" t="s">
        <v>1815</v>
      </c>
      <c r="X584" s="227" t="s">
        <v>40</v>
      </c>
      <c r="Y584" s="249">
        <v>46220</v>
      </c>
      <c r="Z584" s="249">
        <v>46223</v>
      </c>
      <c r="AA584" s="552">
        <v>146229</v>
      </c>
      <c r="AB584" s="74"/>
      <c r="AC584" s="74"/>
      <c r="AD584" s="256">
        <v>0</v>
      </c>
    </row>
    <row r="585" spans="1:30" s="251" customFormat="1" ht="18" customHeight="1">
      <c r="A585" s="398">
        <v>30412</v>
      </c>
      <c r="B585" s="358">
        <v>1</v>
      </c>
      <c r="C585" s="385">
        <v>46162</v>
      </c>
      <c r="D585" s="386">
        <f t="shared" ca="1" si="24"/>
        <v>65</v>
      </c>
      <c r="E585" s="170" t="str">
        <f t="shared" si="25"/>
        <v>ADMITIDO</v>
      </c>
      <c r="F585" s="397" t="s">
        <v>171</v>
      </c>
      <c r="G585" s="392" t="s">
        <v>43</v>
      </c>
      <c r="H585" s="139" t="s">
        <v>40</v>
      </c>
      <c r="I585" s="139" t="str">
        <f>IF(X585="ADMITIDO","ADMITIDO",IF(X585="CANCELADA","CANCELADA",IF(H585="","",IFERROR(_xlfn.XLOOKUP(H585,Listas!I:I,Listas!J:J),"OUTROS"))))</f>
        <v>ADMITIDO</v>
      </c>
      <c r="J585" s="461" t="s">
        <v>514</v>
      </c>
      <c r="K585" s="462" t="s">
        <v>360</v>
      </c>
      <c r="L585" s="462" t="s">
        <v>869</v>
      </c>
      <c r="M585" s="462"/>
      <c r="N585" s="462" t="s">
        <v>337</v>
      </c>
      <c r="O585" s="356" t="s">
        <v>34</v>
      </c>
      <c r="P585" s="356" t="s">
        <v>35</v>
      </c>
      <c r="Q585" s="356" t="s">
        <v>36</v>
      </c>
      <c r="R585" s="422"/>
      <c r="S585" s="423" t="s">
        <v>1746</v>
      </c>
      <c r="T585" s="424">
        <v>15996625581</v>
      </c>
      <c r="U585" s="327" t="s">
        <v>67</v>
      </c>
      <c r="V585" s="337">
        <v>46182</v>
      </c>
      <c r="W585" s="338" t="s">
        <v>1816</v>
      </c>
      <c r="X585" s="356" t="s">
        <v>40</v>
      </c>
      <c r="Y585" s="357">
        <v>46191</v>
      </c>
      <c r="Z585" s="357">
        <v>46191</v>
      </c>
      <c r="AA585" s="384">
        <v>83345</v>
      </c>
      <c r="AB585" s="422"/>
      <c r="AC585" s="422"/>
      <c r="AD585" s="384">
        <v>0</v>
      </c>
    </row>
    <row r="586" spans="1:30" s="251" customFormat="1" ht="18" customHeight="1">
      <c r="A586" s="223">
        <v>30398</v>
      </c>
      <c r="B586" s="224">
        <v>1</v>
      </c>
      <c r="C586" s="201">
        <v>46162</v>
      </c>
      <c r="D586" s="105">
        <f t="shared" ca="1" si="24"/>
        <v>65</v>
      </c>
      <c r="E586" s="138" t="str">
        <f t="shared" si="25"/>
        <v>ADMITIDO</v>
      </c>
      <c r="F586" s="230" t="s">
        <v>42</v>
      </c>
      <c r="G586" s="147" t="s">
        <v>69</v>
      </c>
      <c r="H586" s="117" t="s">
        <v>40</v>
      </c>
      <c r="I586" s="117" t="str">
        <f>IF(X586="ADMITIDO","ADMITIDO",IF(X586="CANCELADA","CANCELADA",IF(H586="","",IFERROR(_xlfn.XLOOKUP(H586,Listas!I:I,Listas!J:J),"OUTROS"))))</f>
        <v>ADMITIDO</v>
      </c>
      <c r="J586" s="361" t="s">
        <v>53</v>
      </c>
      <c r="K586" s="226" t="s">
        <v>70</v>
      </c>
      <c r="L586" s="226" t="s">
        <v>343</v>
      </c>
      <c r="M586" s="226"/>
      <c r="N586" s="226" t="s">
        <v>63</v>
      </c>
      <c r="O586" s="227" t="s">
        <v>34</v>
      </c>
      <c r="P586" s="227" t="s">
        <v>219</v>
      </c>
      <c r="Q586" s="227" t="s">
        <v>550</v>
      </c>
      <c r="R586" s="74"/>
      <c r="S586" s="228" t="s">
        <v>1817</v>
      </c>
      <c r="T586" s="229"/>
      <c r="U586" s="73" t="s">
        <v>67</v>
      </c>
      <c r="V586" s="220">
        <v>46167</v>
      </c>
      <c r="W586" s="203" t="s">
        <v>1818</v>
      </c>
      <c r="X586" s="227" t="s">
        <v>40</v>
      </c>
      <c r="Y586" s="249">
        <v>46170</v>
      </c>
      <c r="Z586" s="249">
        <v>46171</v>
      </c>
      <c r="AA586" s="256">
        <v>914373</v>
      </c>
      <c r="AB586" s="74" t="s">
        <v>1819</v>
      </c>
      <c r="AC586" s="74"/>
      <c r="AD586" s="256">
        <v>0</v>
      </c>
    </row>
    <row r="587" spans="1:30" s="251" customFormat="1" ht="18" customHeight="1">
      <c r="A587" s="394">
        <v>30403</v>
      </c>
      <c r="B587" s="399">
        <v>1</v>
      </c>
      <c r="C587" s="379">
        <v>46162</v>
      </c>
      <c r="D587" s="380">
        <f t="shared" ca="1" si="24"/>
        <v>65</v>
      </c>
      <c r="E587" s="381" t="str">
        <f t="shared" si="25"/>
        <v>CANCELADA</v>
      </c>
      <c r="F587" s="395" t="s">
        <v>171</v>
      </c>
      <c r="G587" s="390" t="s">
        <v>167</v>
      </c>
      <c r="H587" s="382" t="s">
        <v>52</v>
      </c>
      <c r="I587" s="382" t="str">
        <f>IF(X587="ADMITIDO","ADMITIDO",IF(X587="CANCELADA","CANCELADA",IF(H587="","",IFERROR(_xlfn.XLOOKUP(H587,Listas!I:I,Listas!J:J),"OUTROS"))))</f>
        <v>CANCELADA</v>
      </c>
      <c r="J587" s="226" t="s">
        <v>787</v>
      </c>
      <c r="K587" s="226" t="s">
        <v>1820</v>
      </c>
      <c r="L587" s="226" t="s">
        <v>1821</v>
      </c>
      <c r="M587" s="226"/>
      <c r="N587" s="226" t="s">
        <v>999</v>
      </c>
      <c r="O587" s="227" t="s">
        <v>34</v>
      </c>
      <c r="P587" s="227" t="s">
        <v>35</v>
      </c>
      <c r="Q587" s="227" t="s">
        <v>905</v>
      </c>
      <c r="R587" s="74"/>
      <c r="S587" s="228"/>
      <c r="T587" s="229"/>
      <c r="U587" s="73"/>
      <c r="V587" s="220"/>
      <c r="W587" s="203"/>
      <c r="X587" s="227" t="s">
        <v>52</v>
      </c>
      <c r="Y587" s="249"/>
      <c r="Z587" s="249"/>
      <c r="AA587" s="256"/>
      <c r="AB587" s="74" t="s">
        <v>1822</v>
      </c>
      <c r="AC587" s="74" t="s">
        <v>1317</v>
      </c>
      <c r="AD587" s="256">
        <v>0</v>
      </c>
    </row>
    <row r="588" spans="1:30" s="251" customFormat="1" ht="18" customHeight="1">
      <c r="A588" s="223">
        <v>30400</v>
      </c>
      <c r="B588" s="224">
        <v>1</v>
      </c>
      <c r="C588" s="201">
        <v>46162</v>
      </c>
      <c r="D588" s="105">
        <f t="shared" ca="1" si="24"/>
        <v>65</v>
      </c>
      <c r="E588" s="138" t="str">
        <f t="shared" si="25"/>
        <v>ADMITIDO</v>
      </c>
      <c r="F588" s="230" t="s">
        <v>42</v>
      </c>
      <c r="G588" s="147" t="s">
        <v>29</v>
      </c>
      <c r="H588" s="117" t="s">
        <v>40</v>
      </c>
      <c r="I588" s="117" t="str">
        <f>IF(X588="ADMITIDO","ADMITIDO",IF(X588="CANCELADA","CANCELADA",IF(H588="","",IFERROR(_xlfn.XLOOKUP(H588,Listas!I:I,Listas!J:J),"OUTROS"))))</f>
        <v>ADMITIDO</v>
      </c>
      <c r="J588" s="361" t="s">
        <v>227</v>
      </c>
      <c r="K588" s="226" t="s">
        <v>228</v>
      </c>
      <c r="L588" s="226" t="s">
        <v>229</v>
      </c>
      <c r="M588" s="226"/>
      <c r="N588" s="226" t="s">
        <v>88</v>
      </c>
      <c r="O588" s="227" t="s">
        <v>34</v>
      </c>
      <c r="P588" s="227" t="s">
        <v>35</v>
      </c>
      <c r="Q588" s="227" t="s">
        <v>266</v>
      </c>
      <c r="R588" s="74"/>
      <c r="S588" s="228"/>
      <c r="T588" s="229" t="s">
        <v>1823</v>
      </c>
      <c r="U588" s="73" t="s">
        <v>1203</v>
      </c>
      <c r="V588" s="220">
        <v>46167</v>
      </c>
      <c r="W588" s="203" t="s">
        <v>1824</v>
      </c>
      <c r="X588" s="227" t="s">
        <v>40</v>
      </c>
      <c r="Y588" s="249">
        <v>46169</v>
      </c>
      <c r="Z588" s="249">
        <v>46170</v>
      </c>
      <c r="AA588" s="256">
        <v>145021</v>
      </c>
      <c r="AB588" s="74"/>
      <c r="AC588" s="74"/>
      <c r="AD588" s="256">
        <v>0</v>
      </c>
    </row>
    <row r="589" spans="1:30" s="251" customFormat="1" ht="18" customHeight="1">
      <c r="A589" s="223">
        <v>30402</v>
      </c>
      <c r="B589" s="224">
        <v>1</v>
      </c>
      <c r="C589" s="201">
        <v>46162</v>
      </c>
      <c r="D589" s="105">
        <f t="shared" ca="1" si="24"/>
        <v>65</v>
      </c>
      <c r="E589" s="138" t="str">
        <f t="shared" si="25"/>
        <v>ADMITIDO</v>
      </c>
      <c r="F589" s="230" t="s">
        <v>42</v>
      </c>
      <c r="G589" s="147" t="s">
        <v>29</v>
      </c>
      <c r="H589" s="117" t="s">
        <v>40</v>
      </c>
      <c r="I589" s="117" t="str">
        <f>IF(X589="ADMITIDO","ADMITIDO",IF(X589="CANCELADA","CANCELADA",IF(H589="","",IFERROR(_xlfn.XLOOKUP(H589,Listas!I:I,Listas!J:J),"OUTROS"))))</f>
        <v>ADMITIDO</v>
      </c>
      <c r="J589" s="361" t="s">
        <v>227</v>
      </c>
      <c r="K589" s="226" t="s">
        <v>228</v>
      </c>
      <c r="L589" s="226" t="s">
        <v>229</v>
      </c>
      <c r="M589" s="226"/>
      <c r="N589" s="226" t="s">
        <v>88</v>
      </c>
      <c r="O589" s="227" t="s">
        <v>56</v>
      </c>
      <c r="P589" s="227" t="s">
        <v>35</v>
      </c>
      <c r="Q589" s="227" t="s">
        <v>357</v>
      </c>
      <c r="R589" s="74"/>
      <c r="S589" s="228"/>
      <c r="T589" s="229" t="s">
        <v>1825</v>
      </c>
      <c r="U589" s="73" t="s">
        <v>1203</v>
      </c>
      <c r="V589" s="220">
        <v>46164</v>
      </c>
      <c r="W589" s="203" t="s">
        <v>1826</v>
      </c>
      <c r="X589" s="227" t="s">
        <v>40</v>
      </c>
      <c r="Y589" s="249">
        <v>46169</v>
      </c>
      <c r="Z589" s="249">
        <v>46170</v>
      </c>
      <c r="AA589" s="256">
        <v>146020</v>
      </c>
      <c r="AB589" s="74"/>
      <c r="AC589" s="74"/>
      <c r="AD589" s="256">
        <v>0</v>
      </c>
    </row>
    <row r="590" spans="1:30" s="251" customFormat="1" ht="18" customHeight="1">
      <c r="A590" s="223">
        <v>30410</v>
      </c>
      <c r="B590" s="224">
        <v>1</v>
      </c>
      <c r="C590" s="201">
        <v>46162</v>
      </c>
      <c r="D590" s="105">
        <f t="shared" ca="1" si="24"/>
        <v>65</v>
      </c>
      <c r="E590" s="138" t="str">
        <f t="shared" si="25"/>
        <v>ADMITIDO</v>
      </c>
      <c r="F590" s="230" t="s">
        <v>28</v>
      </c>
      <c r="G590" s="147" t="s">
        <v>663</v>
      </c>
      <c r="H590" s="117" t="s">
        <v>40</v>
      </c>
      <c r="I590" s="117" t="str">
        <f>IF(X590="ADMITIDO","ADMITIDO",IF(X590="CANCELADA","CANCELADA",IF(H590="","",IFERROR(_xlfn.XLOOKUP(H590,Listas!I:I,Listas!J:J),"OUTROS"))))</f>
        <v>ADMITIDO</v>
      </c>
      <c r="J590" s="361" t="s">
        <v>146</v>
      </c>
      <c r="K590" s="226" t="s">
        <v>203</v>
      </c>
      <c r="L590" s="226" t="s">
        <v>1827</v>
      </c>
      <c r="M590" s="226"/>
      <c r="N590" s="226" t="s">
        <v>148</v>
      </c>
      <c r="O590" s="227" t="s">
        <v>56</v>
      </c>
      <c r="P590" s="227" t="s">
        <v>35</v>
      </c>
      <c r="Q590" s="227" t="s">
        <v>176</v>
      </c>
      <c r="R590" s="74"/>
      <c r="S590" s="228"/>
      <c r="T590" s="229" t="s">
        <v>1828</v>
      </c>
      <c r="U590" s="73" t="s">
        <v>38</v>
      </c>
      <c r="V590" s="220">
        <v>46164</v>
      </c>
      <c r="W590" s="245" t="s">
        <v>1829</v>
      </c>
      <c r="X590" s="227" t="s">
        <v>40</v>
      </c>
      <c r="Y590" s="249">
        <v>46169</v>
      </c>
      <c r="Z590" s="249">
        <v>46170</v>
      </c>
      <c r="AA590" s="256">
        <v>914353</v>
      </c>
      <c r="AB590" s="74"/>
      <c r="AC590" s="74"/>
      <c r="AD590" s="256">
        <v>0</v>
      </c>
    </row>
    <row r="591" spans="1:30" s="251" customFormat="1" ht="18" customHeight="1">
      <c r="A591" s="370">
        <v>30411</v>
      </c>
      <c r="B591" s="355">
        <v>1</v>
      </c>
      <c r="C591" s="366">
        <v>46162</v>
      </c>
      <c r="D591" s="367">
        <f t="shared" ca="1" si="24"/>
        <v>65</v>
      </c>
      <c r="E591" s="368" t="str">
        <f t="shared" si="25"/>
        <v>ADMITIDO</v>
      </c>
      <c r="F591" s="371" t="s">
        <v>171</v>
      </c>
      <c r="G591" s="369" t="s">
        <v>29</v>
      </c>
      <c r="H591" s="146" t="s">
        <v>40</v>
      </c>
      <c r="I591" s="146" t="str">
        <f>IF(X591="ADMITIDO","ADMITIDO",IF(X591="CANCELADA","CANCELADA",IF(H591="","",IFERROR(_xlfn.XLOOKUP(H591,Listas!I:I,Listas!J:J),"OUTROS"))))</f>
        <v>ADMITIDO</v>
      </c>
      <c r="J591" s="444" t="s">
        <v>172</v>
      </c>
      <c r="K591" s="443" t="s">
        <v>31</v>
      </c>
      <c r="L591" s="443" t="s">
        <v>1827</v>
      </c>
      <c r="M591" s="443"/>
      <c r="N591" s="443" t="s">
        <v>148</v>
      </c>
      <c r="O591" s="413" t="s">
        <v>34</v>
      </c>
      <c r="P591" s="413" t="s">
        <v>35</v>
      </c>
      <c r="Q591" s="413" t="s">
        <v>36</v>
      </c>
      <c r="R591" s="409"/>
      <c r="S591" s="410"/>
      <c r="T591" s="445" t="s">
        <v>1830</v>
      </c>
      <c r="U591" s="326" t="s">
        <v>38</v>
      </c>
      <c r="V591" s="335">
        <v>46148</v>
      </c>
      <c r="W591" s="336" t="s">
        <v>1831</v>
      </c>
      <c r="X591" s="413" t="s">
        <v>40</v>
      </c>
      <c r="Y591" s="354">
        <v>46183</v>
      </c>
      <c r="Z591" s="354">
        <v>46184</v>
      </c>
      <c r="AA591" s="365">
        <v>83340</v>
      </c>
      <c r="AB591" s="409" t="s">
        <v>1832</v>
      </c>
      <c r="AC591" s="409"/>
      <c r="AD591" s="365">
        <v>0</v>
      </c>
    </row>
    <row r="592" spans="1:30" s="251" customFormat="1" ht="18" customHeight="1">
      <c r="A592" s="223">
        <v>30415</v>
      </c>
      <c r="B592" s="224">
        <v>1</v>
      </c>
      <c r="C592" s="201">
        <v>46162</v>
      </c>
      <c r="D592" s="105">
        <f t="shared" ca="1" si="24"/>
        <v>65</v>
      </c>
      <c r="E592" s="138" t="str">
        <f t="shared" si="25"/>
        <v>ADMITIDO</v>
      </c>
      <c r="F592" s="230" t="s">
        <v>42</v>
      </c>
      <c r="G592" s="147" t="s">
        <v>240</v>
      </c>
      <c r="H592" s="117" t="s">
        <v>40</v>
      </c>
      <c r="I592" s="117" t="str">
        <f>IF(X592="ADMITIDO","ADMITIDO",IF(X592="CANCELADA","CANCELADA",IF(H592="","",IFERROR(_xlfn.XLOOKUP(H592,Listas!I:I,Listas!J:J),"OUTROS"))))</f>
        <v>ADMITIDO</v>
      </c>
      <c r="J592" s="226" t="s">
        <v>44</v>
      </c>
      <c r="K592" s="226" t="s">
        <v>241</v>
      </c>
      <c r="L592" s="226" t="s">
        <v>413</v>
      </c>
      <c r="M592" s="226"/>
      <c r="N592" s="226" t="s">
        <v>243</v>
      </c>
      <c r="O592" s="227" t="s">
        <v>34</v>
      </c>
      <c r="P592" s="227" t="s">
        <v>48</v>
      </c>
      <c r="Q592" s="227" t="s">
        <v>414</v>
      </c>
      <c r="R592" s="74"/>
      <c r="S592" s="228"/>
      <c r="T592" s="229"/>
      <c r="U592" s="73" t="s">
        <v>132</v>
      </c>
      <c r="V592" s="220">
        <v>46199</v>
      </c>
      <c r="W592" s="203" t="s">
        <v>1833</v>
      </c>
      <c r="X592" s="227" t="s">
        <v>40</v>
      </c>
      <c r="Y592" s="249">
        <v>46203</v>
      </c>
      <c r="Z592" s="249">
        <v>46204</v>
      </c>
      <c r="AA592" s="256">
        <v>146171</v>
      </c>
      <c r="AB592" s="74"/>
      <c r="AC592" s="74"/>
      <c r="AD592" s="256">
        <v>0</v>
      </c>
    </row>
    <row r="593" spans="1:30" s="251" customFormat="1" ht="18" customHeight="1">
      <c r="A593" s="398">
        <v>30399</v>
      </c>
      <c r="B593" s="358">
        <v>1</v>
      </c>
      <c r="C593" s="385">
        <v>46162</v>
      </c>
      <c r="D593" s="386">
        <f t="shared" ca="1" si="24"/>
        <v>65</v>
      </c>
      <c r="E593" s="170" t="str">
        <f t="shared" si="25"/>
        <v>ADMITIDO</v>
      </c>
      <c r="F593" s="397" t="s">
        <v>42</v>
      </c>
      <c r="G593" s="392" t="s">
        <v>69</v>
      </c>
      <c r="H593" s="139" t="s">
        <v>40</v>
      </c>
      <c r="I593" s="139" t="str">
        <f>IF(X593="ADMITIDO","ADMITIDO",IF(X593="CANCELADA","CANCELADA",IF(H593="","",IFERROR(_xlfn.XLOOKUP(H593,Listas!I:I,Listas!J:J),"OUTROS"))))</f>
        <v>ADMITIDO</v>
      </c>
      <c r="J593" s="461" t="s">
        <v>44</v>
      </c>
      <c r="K593" s="462" t="s">
        <v>70</v>
      </c>
      <c r="L593" s="462" t="s">
        <v>747</v>
      </c>
      <c r="M593" s="462"/>
      <c r="N593" s="462" t="s">
        <v>63</v>
      </c>
      <c r="O593" s="356" t="s">
        <v>34</v>
      </c>
      <c r="P593" s="356" t="s">
        <v>57</v>
      </c>
      <c r="Q593" s="356" t="s">
        <v>1834</v>
      </c>
      <c r="R593" s="422"/>
      <c r="S593" s="423" t="s">
        <v>1817</v>
      </c>
      <c r="T593" s="424"/>
      <c r="U593" s="327" t="s">
        <v>109</v>
      </c>
      <c r="V593" s="337">
        <v>46163</v>
      </c>
      <c r="W593" s="338" t="s">
        <v>1835</v>
      </c>
      <c r="X593" s="356" t="s">
        <v>40</v>
      </c>
      <c r="Y593" s="357">
        <v>46171</v>
      </c>
      <c r="Z593" s="357">
        <v>46175</v>
      </c>
      <c r="AA593" s="384">
        <v>914384</v>
      </c>
      <c r="AB593" s="422"/>
      <c r="AC593" s="422"/>
      <c r="AD593" s="384">
        <v>0</v>
      </c>
    </row>
    <row r="594" spans="1:30" s="251" customFormat="1" ht="18" customHeight="1">
      <c r="A594" s="223">
        <v>30404</v>
      </c>
      <c r="B594" s="224">
        <v>1</v>
      </c>
      <c r="C594" s="201">
        <v>46162</v>
      </c>
      <c r="D594" s="105">
        <f t="shared" ca="1" si="24"/>
        <v>65</v>
      </c>
      <c r="E594" s="138" t="str">
        <f t="shared" si="25"/>
        <v>ADMITIDO</v>
      </c>
      <c r="F594" s="230" t="s">
        <v>42</v>
      </c>
      <c r="G594" s="147" t="s">
        <v>167</v>
      </c>
      <c r="H594" s="117" t="s">
        <v>40</v>
      </c>
      <c r="I594" s="117" t="str">
        <f>IF(X594="ADMITIDO","ADMITIDO",IF(X594="CANCELADA","CANCELADA",IF(H594="","",IFERROR(_xlfn.XLOOKUP(H594,Listas!I:I,Listas!J:J),"OUTROS"))))</f>
        <v>ADMITIDO</v>
      </c>
      <c r="J594" s="361" t="s">
        <v>53</v>
      </c>
      <c r="K594" s="226" t="s">
        <v>103</v>
      </c>
      <c r="L594" s="226" t="s">
        <v>1836</v>
      </c>
      <c r="M594" s="226"/>
      <c r="N594" s="226" t="s">
        <v>63</v>
      </c>
      <c r="O594" s="227" t="s">
        <v>34</v>
      </c>
      <c r="P594" s="227" t="s">
        <v>57</v>
      </c>
      <c r="Q594" s="227" t="s">
        <v>98</v>
      </c>
      <c r="R594" s="74"/>
      <c r="S594" s="228"/>
      <c r="T594" s="252"/>
      <c r="U594" s="73" t="s">
        <v>76</v>
      </c>
      <c r="V594" s="220">
        <v>46163</v>
      </c>
      <c r="W594" s="118" t="s">
        <v>1837</v>
      </c>
      <c r="X594" s="119" t="s">
        <v>40</v>
      </c>
      <c r="Y594" s="249">
        <v>46167</v>
      </c>
      <c r="Z594" s="249">
        <v>46168</v>
      </c>
      <c r="AA594" s="256">
        <v>914344</v>
      </c>
      <c r="AB594" s="74"/>
      <c r="AC594" s="74"/>
      <c r="AD594" s="256">
        <v>0</v>
      </c>
    </row>
    <row r="595" spans="1:30" s="251" customFormat="1" ht="18" customHeight="1">
      <c r="A595" s="223">
        <v>30408</v>
      </c>
      <c r="B595" s="224">
        <v>1</v>
      </c>
      <c r="C595" s="201">
        <v>46162</v>
      </c>
      <c r="D595" s="105">
        <f t="shared" ca="1" si="24"/>
        <v>65</v>
      </c>
      <c r="E595" s="138" t="str">
        <f t="shared" si="25"/>
        <v>ADMITIDO</v>
      </c>
      <c r="F595" s="230" t="s">
        <v>28</v>
      </c>
      <c r="G595" s="147" t="s">
        <v>240</v>
      </c>
      <c r="H595" s="117" t="s">
        <v>40</v>
      </c>
      <c r="I595" s="117" t="str">
        <f>IF(X595="ADMITIDO","ADMITIDO",IF(X595="CANCELADA","CANCELADA",IF(H595="","",IFERROR(_xlfn.XLOOKUP(H595,Listas!I:I,Listas!J:J),"OUTROS"))))</f>
        <v>ADMITIDO</v>
      </c>
      <c r="J595" s="361" t="s">
        <v>268</v>
      </c>
      <c r="K595" s="226" t="s">
        <v>423</v>
      </c>
      <c r="L595" s="226" t="s">
        <v>1838</v>
      </c>
      <c r="M595" s="226"/>
      <c r="N595" s="226" t="s">
        <v>63</v>
      </c>
      <c r="O595" s="227" t="s">
        <v>34</v>
      </c>
      <c r="P595" s="227" t="s">
        <v>35</v>
      </c>
      <c r="Q595" s="227" t="s">
        <v>36</v>
      </c>
      <c r="R595" s="74"/>
      <c r="S595" s="228" t="s">
        <v>373</v>
      </c>
      <c r="T595" s="229">
        <v>11934828644</v>
      </c>
      <c r="U595" s="73" t="s">
        <v>67</v>
      </c>
      <c r="V595" s="220">
        <v>46164</v>
      </c>
      <c r="W595" s="203" t="s">
        <v>1839</v>
      </c>
      <c r="X595" s="227" t="s">
        <v>40</v>
      </c>
      <c r="Y595" s="249">
        <v>46171</v>
      </c>
      <c r="Z595" s="249">
        <v>46175</v>
      </c>
      <c r="AA595" s="256">
        <v>914381</v>
      </c>
      <c r="AB595" s="74" t="s">
        <v>1840</v>
      </c>
      <c r="AC595" s="74"/>
      <c r="AD595" s="256">
        <v>1</v>
      </c>
    </row>
    <row r="596" spans="1:30" s="251" customFormat="1" ht="18" customHeight="1">
      <c r="A596" s="223">
        <v>30406</v>
      </c>
      <c r="B596" s="224">
        <v>1</v>
      </c>
      <c r="C596" s="201">
        <v>46162</v>
      </c>
      <c r="D596" s="105">
        <f t="shared" ca="1" si="24"/>
        <v>65</v>
      </c>
      <c r="E596" s="138" t="str">
        <f t="shared" si="25"/>
        <v>ADMITIDO</v>
      </c>
      <c r="F596" s="230" t="s">
        <v>28</v>
      </c>
      <c r="G596" s="147" t="s">
        <v>240</v>
      </c>
      <c r="H596" s="117" t="s">
        <v>40</v>
      </c>
      <c r="I596" s="117" t="str">
        <f>IF(X596="ADMITIDO","ADMITIDO",IF(X596="CANCELADA","CANCELADA",IF(H596="","",IFERROR(_xlfn.XLOOKUP(H596,Listas!I:I,Listas!J:J),"OUTROS"))))</f>
        <v>ADMITIDO</v>
      </c>
      <c r="J596" s="361" t="s">
        <v>683</v>
      </c>
      <c r="K596" s="226" t="s">
        <v>986</v>
      </c>
      <c r="L596" s="226" t="s">
        <v>684</v>
      </c>
      <c r="M596" s="226"/>
      <c r="N596" s="226" t="s">
        <v>63</v>
      </c>
      <c r="O596" s="227" t="s">
        <v>56</v>
      </c>
      <c r="P596" s="227" t="s">
        <v>35</v>
      </c>
      <c r="Q596" s="227" t="s">
        <v>176</v>
      </c>
      <c r="R596" s="74"/>
      <c r="S596" s="228" t="s">
        <v>65</v>
      </c>
      <c r="T596" s="252" t="s">
        <v>1841</v>
      </c>
      <c r="U596" s="73" t="s">
        <v>132</v>
      </c>
      <c r="V596" s="220">
        <v>46163</v>
      </c>
      <c r="W596" s="118" t="s">
        <v>1842</v>
      </c>
      <c r="X596" s="119" t="s">
        <v>40</v>
      </c>
      <c r="Y596" s="249">
        <v>46167</v>
      </c>
      <c r="Z596" s="249">
        <v>46169</v>
      </c>
      <c r="AA596" s="256">
        <v>914347</v>
      </c>
      <c r="AB596" s="74"/>
      <c r="AC596" s="74"/>
      <c r="AD596" s="256">
        <v>0</v>
      </c>
    </row>
    <row r="597" spans="1:30" s="251" customFormat="1" ht="18" customHeight="1">
      <c r="A597" s="398">
        <v>30417</v>
      </c>
      <c r="B597" s="358">
        <v>1</v>
      </c>
      <c r="C597" s="385">
        <v>46162</v>
      </c>
      <c r="D597" s="386">
        <f t="shared" ca="1" si="24"/>
        <v>65</v>
      </c>
      <c r="E597" s="170" t="str">
        <f t="shared" si="25"/>
        <v>CANCELADA</v>
      </c>
      <c r="F597" s="397" t="s">
        <v>28</v>
      </c>
      <c r="G597" s="392" t="s">
        <v>552</v>
      </c>
      <c r="H597" s="139" t="s">
        <v>52</v>
      </c>
      <c r="I597" s="139" t="str">
        <f>IF(X597="ADMITIDO","ADMITIDO",IF(X597="CANCELADA","CANCELADA",IF(H597="","",IFERROR(_xlfn.XLOOKUP(H597,Listas!I:I,Listas!J:J),"OUTROS"))))</f>
        <v>CANCELADA</v>
      </c>
      <c r="J597" s="226" t="s">
        <v>146</v>
      </c>
      <c r="K597" s="226" t="s">
        <v>553</v>
      </c>
      <c r="L597" s="226" t="s">
        <v>1028</v>
      </c>
      <c r="M597" s="226"/>
      <c r="N597" s="226" t="s">
        <v>1029</v>
      </c>
      <c r="O597" s="227" t="s">
        <v>56</v>
      </c>
      <c r="P597" s="227" t="s">
        <v>1843</v>
      </c>
      <c r="Q597" s="227" t="s">
        <v>176</v>
      </c>
      <c r="R597" s="74"/>
      <c r="S597" s="228"/>
      <c r="T597" s="229"/>
      <c r="U597" s="73"/>
      <c r="V597" s="220"/>
      <c r="W597" s="203"/>
      <c r="X597" s="227" t="s">
        <v>52</v>
      </c>
      <c r="Y597" s="249"/>
      <c r="Z597" s="249"/>
      <c r="AA597" s="256"/>
      <c r="AB597" s="74"/>
      <c r="AC597" s="74" t="s">
        <v>1444</v>
      </c>
      <c r="AD597" s="256">
        <v>0</v>
      </c>
    </row>
    <row r="598" spans="1:30" s="251" customFormat="1" ht="18" customHeight="1">
      <c r="A598" s="370">
        <v>30405</v>
      </c>
      <c r="B598" s="355">
        <v>1</v>
      </c>
      <c r="C598" s="366">
        <v>46162</v>
      </c>
      <c r="D598" s="367">
        <f t="shared" ca="1" si="24"/>
        <v>65</v>
      </c>
      <c r="E598" s="368" t="str">
        <f t="shared" si="25"/>
        <v>CANCELADA</v>
      </c>
      <c r="F598" s="371" t="s">
        <v>42</v>
      </c>
      <c r="G598" s="369" t="s">
        <v>102</v>
      </c>
      <c r="H598" s="146" t="s">
        <v>52</v>
      </c>
      <c r="I598" s="146" t="str">
        <f>IF(X598="ADMITIDO","ADMITIDO",IF(X598="CANCELADA","CANCELADA",IF(H598="","",IFERROR(_xlfn.XLOOKUP(H598,Listas!I:I,Listas!J:J),"OUTROS"))))</f>
        <v>CANCELADA</v>
      </c>
      <c r="J598" s="226" t="s">
        <v>53</v>
      </c>
      <c r="K598" s="226" t="s">
        <v>103</v>
      </c>
      <c r="L598" s="226" t="s">
        <v>1844</v>
      </c>
      <c r="M598" s="226"/>
      <c r="N598" s="226" t="s">
        <v>274</v>
      </c>
      <c r="O598" s="227" t="s">
        <v>34</v>
      </c>
      <c r="P598" s="227" t="s">
        <v>48</v>
      </c>
      <c r="Q598" s="227" t="s">
        <v>79</v>
      </c>
      <c r="R598" s="74"/>
      <c r="S598" s="228"/>
      <c r="T598" s="229"/>
      <c r="U598" s="73"/>
      <c r="V598" s="220"/>
      <c r="W598" s="203"/>
      <c r="X598" s="227" t="s">
        <v>52</v>
      </c>
      <c r="Y598" s="249"/>
      <c r="Z598" s="249"/>
      <c r="AA598" s="256"/>
      <c r="AB598" s="74"/>
      <c r="AC598" s="74" t="s">
        <v>1845</v>
      </c>
      <c r="AD598" s="256">
        <v>0</v>
      </c>
    </row>
    <row r="599" spans="1:30" s="251" customFormat="1" ht="18" customHeight="1">
      <c r="A599" s="223">
        <v>30418</v>
      </c>
      <c r="B599" s="224">
        <v>1</v>
      </c>
      <c r="C599" s="201">
        <v>46162</v>
      </c>
      <c r="D599" s="105">
        <f t="shared" ca="1" si="24"/>
        <v>65</v>
      </c>
      <c r="E599" s="138" t="str">
        <f t="shared" si="25"/>
        <v>ADMITIDO</v>
      </c>
      <c r="F599" s="230" t="s">
        <v>28</v>
      </c>
      <c r="G599" s="147" t="s">
        <v>552</v>
      </c>
      <c r="H599" s="117" t="s">
        <v>40</v>
      </c>
      <c r="I599" s="117" t="str">
        <f>IF(X599="ADMITIDO","ADMITIDO",IF(X599="CANCELADA","CANCELADA",IF(H599="","",IFERROR(_xlfn.XLOOKUP(H599,Listas!I:I,Listas!J:J),"OUTROS"))))</f>
        <v>ADMITIDO</v>
      </c>
      <c r="J599" s="361" t="s">
        <v>737</v>
      </c>
      <c r="K599" s="226" t="s">
        <v>553</v>
      </c>
      <c r="L599" s="226" t="s">
        <v>947</v>
      </c>
      <c r="M599" s="226"/>
      <c r="N599" s="226" t="s">
        <v>948</v>
      </c>
      <c r="O599" s="227" t="s">
        <v>34</v>
      </c>
      <c r="P599" s="227" t="s">
        <v>35</v>
      </c>
      <c r="Q599" s="227" t="s">
        <v>36</v>
      </c>
      <c r="R599" s="74"/>
      <c r="S599" s="228"/>
      <c r="T599" s="229"/>
      <c r="U599" s="73" t="s">
        <v>552</v>
      </c>
      <c r="V599" s="220">
        <v>46160</v>
      </c>
      <c r="W599" s="203" t="s">
        <v>1846</v>
      </c>
      <c r="X599" s="227" t="s">
        <v>40</v>
      </c>
      <c r="Y599" s="249">
        <v>46163</v>
      </c>
      <c r="Z599" s="249">
        <v>46164</v>
      </c>
      <c r="AA599" s="256">
        <v>914331</v>
      </c>
      <c r="AB599" s="74"/>
      <c r="AC599" s="74"/>
      <c r="AD599" s="256">
        <v>0</v>
      </c>
    </row>
    <row r="600" spans="1:30" s="251" customFormat="1" ht="18" customHeight="1">
      <c r="A600" s="223">
        <v>30409</v>
      </c>
      <c r="B600" s="224">
        <v>1</v>
      </c>
      <c r="C600" s="201">
        <v>46162</v>
      </c>
      <c r="D600" s="105">
        <f t="shared" ca="1" si="24"/>
        <v>65</v>
      </c>
      <c r="E600" s="138" t="str">
        <f t="shared" si="25"/>
        <v>ADMITIDO</v>
      </c>
      <c r="F600" s="230" t="s">
        <v>28</v>
      </c>
      <c r="G600" s="147" t="s">
        <v>240</v>
      </c>
      <c r="H600" s="117" t="s">
        <v>40</v>
      </c>
      <c r="I600" s="117" t="str">
        <f>IF(X600="ADMITIDO","ADMITIDO",IF(X600="CANCELADA","CANCELADA",IF(H600="","",IFERROR(_xlfn.XLOOKUP(H600,Listas!I:I,Listas!J:J),"OUTROS"))))</f>
        <v>ADMITIDO</v>
      </c>
      <c r="J600" s="361" t="s">
        <v>819</v>
      </c>
      <c r="K600" s="226" t="s">
        <v>423</v>
      </c>
      <c r="L600" s="226" t="s">
        <v>62</v>
      </c>
      <c r="M600" s="226"/>
      <c r="N600" s="226" t="s">
        <v>63</v>
      </c>
      <c r="O600" s="227" t="s">
        <v>34</v>
      </c>
      <c r="P600" s="227" t="s">
        <v>57</v>
      </c>
      <c r="Q600" s="227" t="s">
        <v>98</v>
      </c>
      <c r="R600" s="74"/>
      <c r="S600" s="228" t="s">
        <v>1229</v>
      </c>
      <c r="T600" s="252" t="s">
        <v>1847</v>
      </c>
      <c r="U600" s="73" t="s">
        <v>76</v>
      </c>
      <c r="V600" s="220">
        <v>46163</v>
      </c>
      <c r="W600" s="118" t="s">
        <v>1848</v>
      </c>
      <c r="X600" s="119" t="s">
        <v>40</v>
      </c>
      <c r="Y600" s="249">
        <v>46167</v>
      </c>
      <c r="Z600" s="249">
        <v>46168</v>
      </c>
      <c r="AA600" s="256">
        <v>914340</v>
      </c>
      <c r="AB600" s="74"/>
      <c r="AC600" s="74"/>
      <c r="AD600" s="256">
        <v>0</v>
      </c>
    </row>
    <row r="601" spans="1:30" s="251" customFormat="1" ht="18" customHeight="1">
      <c r="A601" s="394">
        <v>30430</v>
      </c>
      <c r="B601" s="399">
        <v>1</v>
      </c>
      <c r="C601" s="379">
        <v>46163</v>
      </c>
      <c r="D601" s="380">
        <f t="shared" ca="1" si="24"/>
        <v>64</v>
      </c>
      <c r="E601" s="381" t="str">
        <f t="shared" si="25"/>
        <v>CANCELADA</v>
      </c>
      <c r="F601" s="395" t="s">
        <v>42</v>
      </c>
      <c r="G601" s="390" t="s">
        <v>552</v>
      </c>
      <c r="H601" s="382" t="s">
        <v>52</v>
      </c>
      <c r="I601" s="382" t="str">
        <f>IF(X601="ADMITIDO","ADMITIDO",IF(X601="CANCELADA","CANCELADA",IF(H601="","",IFERROR(_xlfn.XLOOKUP(H601,Listas!I:I,Listas!J:J),"OUTROS"))))</f>
        <v>CANCELADA</v>
      </c>
      <c r="J601" s="226" t="s">
        <v>44</v>
      </c>
      <c r="K601" s="226" t="s">
        <v>553</v>
      </c>
      <c r="L601" s="226" t="s">
        <v>554</v>
      </c>
      <c r="M601" s="226"/>
      <c r="N601" s="226" t="s">
        <v>1186</v>
      </c>
      <c r="O601" s="227" t="s">
        <v>34</v>
      </c>
      <c r="P601" s="227" t="s">
        <v>57</v>
      </c>
      <c r="Q601" s="227" t="s">
        <v>98</v>
      </c>
      <c r="R601" s="74"/>
      <c r="S601" s="228"/>
      <c r="T601" s="229"/>
      <c r="U601" s="73" t="s">
        <v>552</v>
      </c>
      <c r="V601" s="220"/>
      <c r="W601" s="203"/>
      <c r="X601" s="227" t="s">
        <v>52</v>
      </c>
      <c r="Y601" s="249"/>
      <c r="Z601" s="249"/>
      <c r="AA601" s="256"/>
      <c r="AB601" s="74"/>
      <c r="AC601" s="74" t="s">
        <v>1849</v>
      </c>
      <c r="AD601" s="256">
        <v>0</v>
      </c>
    </row>
    <row r="602" spans="1:30" s="251" customFormat="1" ht="18" customHeight="1">
      <c r="A602" s="223">
        <v>30437</v>
      </c>
      <c r="B602" s="224">
        <v>1</v>
      </c>
      <c r="C602" s="201">
        <v>46163</v>
      </c>
      <c r="D602" s="105">
        <f t="shared" ca="1" si="24"/>
        <v>64</v>
      </c>
      <c r="E602" s="138" t="str">
        <f t="shared" si="25"/>
        <v>ADMITIDO</v>
      </c>
      <c r="F602" s="230" t="s">
        <v>42</v>
      </c>
      <c r="G602" s="147" t="s">
        <v>552</v>
      </c>
      <c r="H602" s="117" t="s">
        <v>40</v>
      </c>
      <c r="I602" s="117" t="str">
        <f>IF(X602="ADMITIDO","ADMITIDO",IF(X602="CANCELADA","CANCELADA",IF(H602="","",IFERROR(_xlfn.XLOOKUP(H602,Listas!I:I,Listas!J:J),"OUTROS"))))</f>
        <v>ADMITIDO</v>
      </c>
      <c r="J602" s="361" t="s">
        <v>1850</v>
      </c>
      <c r="K602" s="226" t="s">
        <v>553</v>
      </c>
      <c r="L602" s="226" t="s">
        <v>554</v>
      </c>
      <c r="M602" s="226"/>
      <c r="N602" s="226" t="s">
        <v>1186</v>
      </c>
      <c r="O602" s="227" t="s">
        <v>34</v>
      </c>
      <c r="P602" s="227" t="s">
        <v>48</v>
      </c>
      <c r="Q602" s="227" t="s">
        <v>131</v>
      </c>
      <c r="R602" s="74"/>
      <c r="S602" s="228"/>
      <c r="T602" s="229"/>
      <c r="U602" s="73" t="s">
        <v>552</v>
      </c>
      <c r="V602" s="220">
        <v>46180</v>
      </c>
      <c r="W602" s="203" t="s">
        <v>1851</v>
      </c>
      <c r="X602" s="227" t="s">
        <v>40</v>
      </c>
      <c r="Y602" s="249">
        <v>46183</v>
      </c>
      <c r="Z602" s="249">
        <v>46184</v>
      </c>
      <c r="AA602" s="256">
        <v>914421</v>
      </c>
      <c r="AB602" s="74"/>
      <c r="AC602" s="74"/>
      <c r="AD602" s="256">
        <v>0</v>
      </c>
    </row>
    <row r="603" spans="1:30" s="251" customFormat="1" ht="18" customHeight="1">
      <c r="A603" s="394">
        <v>30367</v>
      </c>
      <c r="B603" s="399">
        <v>1</v>
      </c>
      <c r="C603" s="379">
        <v>46163</v>
      </c>
      <c r="D603" s="380">
        <f t="shared" ca="1" si="24"/>
        <v>64</v>
      </c>
      <c r="E603" s="381" t="str">
        <f t="shared" si="25"/>
        <v>CANCELADA</v>
      </c>
      <c r="F603" s="395" t="s">
        <v>42</v>
      </c>
      <c r="G603" s="390" t="s">
        <v>60</v>
      </c>
      <c r="H603" s="382" t="s">
        <v>52</v>
      </c>
      <c r="I603" s="382" t="str">
        <f>IF(X603="ADMITIDO","ADMITIDO",IF(X603="CANCELADA","CANCELADA",IF(H603="","",IFERROR(_xlfn.XLOOKUP(H603,Listas!I:I,Listas!J:J),"OUTROS"))))</f>
        <v>CANCELADA</v>
      </c>
      <c r="J603" s="226" t="s">
        <v>53</v>
      </c>
      <c r="K603" s="226" t="s">
        <v>61</v>
      </c>
      <c r="L603" s="226" t="s">
        <v>556</v>
      </c>
      <c r="M603" s="226"/>
      <c r="N603" s="226" t="s">
        <v>63</v>
      </c>
      <c r="O603" s="227" t="s">
        <v>34</v>
      </c>
      <c r="P603" s="227" t="s">
        <v>72</v>
      </c>
      <c r="Q603" s="227" t="s">
        <v>238</v>
      </c>
      <c r="R603" s="74"/>
      <c r="S603" s="228"/>
      <c r="T603" s="229"/>
      <c r="U603" s="73"/>
      <c r="V603" s="220"/>
      <c r="W603" s="203"/>
      <c r="X603" s="227"/>
      <c r="Y603" s="249"/>
      <c r="Z603" s="249"/>
      <c r="AA603" s="256"/>
      <c r="AB603" s="74"/>
      <c r="AC603" s="74"/>
      <c r="AD603" s="256"/>
    </row>
    <row r="604" spans="1:30" s="251" customFormat="1" ht="18" customHeight="1">
      <c r="A604" s="223">
        <v>30420</v>
      </c>
      <c r="B604" s="224">
        <v>1</v>
      </c>
      <c r="C604" s="201">
        <v>46163</v>
      </c>
      <c r="D604" s="105">
        <f t="shared" ca="1" si="24"/>
        <v>64</v>
      </c>
      <c r="E604" s="138" t="str">
        <f t="shared" si="25"/>
        <v>ADMITIDO</v>
      </c>
      <c r="F604" s="230" t="s">
        <v>42</v>
      </c>
      <c r="G604" s="147" t="s">
        <v>663</v>
      </c>
      <c r="H604" s="117" t="s">
        <v>40</v>
      </c>
      <c r="I604" s="117" t="str">
        <f>IF(X604="ADMITIDO","ADMITIDO",IF(X604="CANCELADA","CANCELADA",IF(H604="","",IFERROR(_xlfn.XLOOKUP(H604,Listas!I:I,Listas!J:J),"OUTROS"))))</f>
        <v>ADMITIDO</v>
      </c>
      <c r="J604" s="361" t="s">
        <v>227</v>
      </c>
      <c r="K604" s="226" t="s">
        <v>228</v>
      </c>
      <c r="L604" s="226" t="s">
        <v>229</v>
      </c>
      <c r="M604" s="226"/>
      <c r="N604" s="226" t="s">
        <v>88</v>
      </c>
      <c r="O604" s="227" t="s">
        <v>34</v>
      </c>
      <c r="P604" s="227" t="s">
        <v>35</v>
      </c>
      <c r="Q604" s="227" t="s">
        <v>266</v>
      </c>
      <c r="R604" s="74"/>
      <c r="S604" s="228"/>
      <c r="T604" s="298" t="s">
        <v>1852</v>
      </c>
      <c r="U604" s="73" t="s">
        <v>38</v>
      </c>
      <c r="V604" s="220">
        <v>46301</v>
      </c>
      <c r="W604" s="236" t="s">
        <v>1853</v>
      </c>
      <c r="X604" s="227" t="s">
        <v>40</v>
      </c>
      <c r="Y604" s="249">
        <v>46188</v>
      </c>
      <c r="Z604" s="249">
        <v>46189</v>
      </c>
      <c r="AA604" s="256">
        <v>146089</v>
      </c>
      <c r="AB604" s="74" t="s">
        <v>1854</v>
      </c>
      <c r="AC604" s="74"/>
      <c r="AD604" s="256">
        <v>3</v>
      </c>
    </row>
    <row r="605" spans="1:30" s="251" customFormat="1" ht="18" customHeight="1">
      <c r="A605" s="223">
        <v>30396</v>
      </c>
      <c r="B605" s="224">
        <v>1</v>
      </c>
      <c r="C605" s="201">
        <v>46163</v>
      </c>
      <c r="D605" s="105">
        <f t="shared" ca="1" si="24"/>
        <v>64</v>
      </c>
      <c r="E605" s="138" t="str">
        <f t="shared" si="25"/>
        <v>ADMITIDO</v>
      </c>
      <c r="F605" s="230" t="s">
        <v>28</v>
      </c>
      <c r="G605" s="147" t="s">
        <v>60</v>
      </c>
      <c r="H605" s="117" t="s">
        <v>40</v>
      </c>
      <c r="I605" s="117" t="str">
        <f>IF(X605="ADMITIDO","ADMITIDO",IF(X605="CANCELADA","CANCELADA",IF(H605="","",IFERROR(_xlfn.XLOOKUP(H605,Listas!I:I,Listas!J:J),"OUTROS"))))</f>
        <v>ADMITIDO</v>
      </c>
      <c r="J605" s="361" t="s">
        <v>616</v>
      </c>
      <c r="K605" s="226" t="s">
        <v>330</v>
      </c>
      <c r="L605" s="226" t="s">
        <v>996</v>
      </c>
      <c r="M605" s="226"/>
      <c r="N605" s="226" t="s">
        <v>63</v>
      </c>
      <c r="O605" s="227" t="s">
        <v>34</v>
      </c>
      <c r="P605" s="227" t="s">
        <v>35</v>
      </c>
      <c r="Q605" s="227" t="s">
        <v>36</v>
      </c>
      <c r="R605" s="74" t="s">
        <v>1855</v>
      </c>
      <c r="S605" s="228" t="s">
        <v>1533</v>
      </c>
      <c r="T605" s="229" t="s">
        <v>1856</v>
      </c>
      <c r="U605" s="73" t="s">
        <v>76</v>
      </c>
      <c r="V605" s="220">
        <v>46191</v>
      </c>
      <c r="W605" s="203" t="s">
        <v>1857</v>
      </c>
      <c r="X605" s="227" t="s">
        <v>40</v>
      </c>
      <c r="Y605" s="249">
        <v>46197</v>
      </c>
      <c r="Z605" s="249">
        <v>46199</v>
      </c>
      <c r="AA605" s="256">
        <v>914495</v>
      </c>
      <c r="AB605" s="74" t="s">
        <v>1858</v>
      </c>
      <c r="AC605" s="74"/>
      <c r="AD605" s="256">
        <v>1</v>
      </c>
    </row>
    <row r="606" spans="1:30" s="251" customFormat="1" ht="18" customHeight="1">
      <c r="A606" s="223">
        <v>30419</v>
      </c>
      <c r="B606" s="224">
        <v>1</v>
      </c>
      <c r="C606" s="201">
        <v>46163</v>
      </c>
      <c r="D606" s="105">
        <f t="shared" ca="1" si="24"/>
        <v>64</v>
      </c>
      <c r="E606" s="138" t="str">
        <f t="shared" si="25"/>
        <v>ADMITIDO</v>
      </c>
      <c r="F606" s="230" t="s">
        <v>42</v>
      </c>
      <c r="G606" s="147" t="s">
        <v>29</v>
      </c>
      <c r="H606" s="117" t="s">
        <v>40</v>
      </c>
      <c r="I606" s="117" t="str">
        <f>IF(X606="ADMITIDO","ADMITIDO",IF(X606="CANCELADA","CANCELADA",IF(H606="","",IFERROR(_xlfn.XLOOKUP(H606,Listas!I:I,Listas!J:J),"OUTROS"))))</f>
        <v>ADMITIDO</v>
      </c>
      <c r="J606" s="361" t="s">
        <v>53</v>
      </c>
      <c r="K606" s="226" t="s">
        <v>54</v>
      </c>
      <c r="L606" s="226" t="s">
        <v>164</v>
      </c>
      <c r="M606" s="226"/>
      <c r="N606" s="226" t="s">
        <v>88</v>
      </c>
      <c r="O606" s="227" t="s">
        <v>34</v>
      </c>
      <c r="P606" s="227" t="s">
        <v>57</v>
      </c>
      <c r="Q606" s="227" t="s">
        <v>94</v>
      </c>
      <c r="R606" s="74"/>
      <c r="S606" s="228"/>
      <c r="T606" s="229"/>
      <c r="U606" s="73" t="s">
        <v>38</v>
      </c>
      <c r="V606" s="220">
        <v>46164</v>
      </c>
      <c r="W606" s="203" t="s">
        <v>1859</v>
      </c>
      <c r="X606" s="227" t="s">
        <v>40</v>
      </c>
      <c r="Y606" s="249">
        <v>46164</v>
      </c>
      <c r="Z606" s="249">
        <v>46165</v>
      </c>
      <c r="AA606" s="256">
        <v>146009</v>
      </c>
      <c r="AB606" s="74"/>
      <c r="AC606" s="74"/>
      <c r="AD606" s="256"/>
    </row>
    <row r="607" spans="1:30" s="251" customFormat="1" ht="18" customHeight="1">
      <c r="A607" s="394">
        <v>30426</v>
      </c>
      <c r="B607" s="399">
        <v>1</v>
      </c>
      <c r="C607" s="379">
        <v>46163</v>
      </c>
      <c r="D607" s="380">
        <f t="shared" ca="1" si="24"/>
        <v>64</v>
      </c>
      <c r="E607" s="381" t="str">
        <f t="shared" si="25"/>
        <v>CANCELADA</v>
      </c>
      <c r="F607" s="395" t="s">
        <v>42</v>
      </c>
      <c r="G607" s="390" t="s">
        <v>43</v>
      </c>
      <c r="H607" s="382" t="s">
        <v>52</v>
      </c>
      <c r="I607" s="382" t="str">
        <f>IF(X607="ADMITIDO","ADMITIDO",IF(X607="CANCELADA","CANCELADA",IF(H607="","",IFERROR(_xlfn.XLOOKUP(H607,Listas!I:I,Listas!J:J),"OUTROS"))))</f>
        <v>CANCELADA</v>
      </c>
      <c r="J607" s="443" t="s">
        <v>346</v>
      </c>
      <c r="K607" s="443" t="s">
        <v>189</v>
      </c>
      <c r="L607" s="443" t="s">
        <v>924</v>
      </c>
      <c r="M607" s="443"/>
      <c r="N607" s="443" t="s">
        <v>925</v>
      </c>
      <c r="O607" s="413" t="s">
        <v>56</v>
      </c>
      <c r="P607" s="413" t="s">
        <v>35</v>
      </c>
      <c r="Q607" s="413" t="s">
        <v>176</v>
      </c>
      <c r="R607" s="409" t="s">
        <v>1860</v>
      </c>
      <c r="S607" s="410"/>
      <c r="T607" s="411"/>
      <c r="U607" s="326"/>
      <c r="V607" s="335"/>
      <c r="W607" s="336"/>
      <c r="X607" s="413" t="s">
        <v>52</v>
      </c>
      <c r="Y607" s="354"/>
      <c r="Z607" s="354"/>
      <c r="AA607" s="365"/>
      <c r="AB607" s="409"/>
      <c r="AC607" s="409"/>
      <c r="AD607" s="365"/>
    </row>
    <row r="608" spans="1:30" s="251" customFormat="1" ht="18" customHeight="1">
      <c r="A608" s="223">
        <v>30427</v>
      </c>
      <c r="B608" s="224">
        <v>1</v>
      </c>
      <c r="C608" s="201">
        <v>46163</v>
      </c>
      <c r="D608" s="105">
        <f t="shared" ca="1" si="24"/>
        <v>64</v>
      </c>
      <c r="E608" s="138" t="str">
        <f t="shared" si="25"/>
        <v>ADMITIDO</v>
      </c>
      <c r="F608" s="230" t="s">
        <v>42</v>
      </c>
      <c r="G608" s="147" t="s">
        <v>43</v>
      </c>
      <c r="H608" s="117" t="s">
        <v>40</v>
      </c>
      <c r="I608" s="117" t="str">
        <f>IF(X608="ADMITIDO","ADMITIDO",IF(X608="CANCELADA","CANCELADA",IF(H608="","",IFERROR(_xlfn.XLOOKUP(H608,Listas!I:I,Listas!J:J),"OUTROS"))))</f>
        <v>ADMITIDO</v>
      </c>
      <c r="J608" s="226" t="s">
        <v>53</v>
      </c>
      <c r="K608" s="226" t="s">
        <v>189</v>
      </c>
      <c r="L608" s="226" t="s">
        <v>924</v>
      </c>
      <c r="M608" s="226"/>
      <c r="N608" s="226" t="s">
        <v>925</v>
      </c>
      <c r="O608" s="227" t="s">
        <v>34</v>
      </c>
      <c r="P608" s="227" t="s">
        <v>57</v>
      </c>
      <c r="Q608" s="1" t="s">
        <v>1861</v>
      </c>
      <c r="R608" s="74" t="s">
        <v>1862</v>
      </c>
      <c r="S608" s="191" t="s">
        <v>1702</v>
      </c>
      <c r="T608" s="229">
        <v>11994121566</v>
      </c>
      <c r="U608" s="73" t="s">
        <v>50</v>
      </c>
      <c r="V608" s="220">
        <v>46202</v>
      </c>
      <c r="W608" s="73" t="s">
        <v>1863</v>
      </c>
      <c r="X608" s="227" t="s">
        <v>40</v>
      </c>
      <c r="Y608" s="249">
        <v>46218</v>
      </c>
      <c r="Z608" s="249">
        <v>46219</v>
      </c>
      <c r="AA608" s="550">
        <v>914634</v>
      </c>
      <c r="AB608" s="74" t="s">
        <v>1864</v>
      </c>
      <c r="AC608" s="74"/>
      <c r="AD608" s="256">
        <v>1</v>
      </c>
    </row>
    <row r="609" spans="1:30" s="251" customFormat="1" ht="18" customHeight="1">
      <c r="A609" s="398">
        <v>30424</v>
      </c>
      <c r="B609" s="358">
        <v>1</v>
      </c>
      <c r="C609" s="385">
        <v>46163</v>
      </c>
      <c r="D609" s="386">
        <f t="shared" ca="1" si="24"/>
        <v>64</v>
      </c>
      <c r="E609" s="170" t="str">
        <f t="shared" si="25"/>
        <v>ADMITIDO</v>
      </c>
      <c r="F609" s="397" t="s">
        <v>28</v>
      </c>
      <c r="G609" s="392" t="s">
        <v>240</v>
      </c>
      <c r="H609" s="139" t="s">
        <v>40</v>
      </c>
      <c r="I609" s="139" t="str">
        <f>IF(X609="ADMITIDO","ADMITIDO",IF(X609="CANCELADA","CANCELADA",IF(H609="","",IFERROR(_xlfn.XLOOKUP(H609,Listas!I:I,Listas!J:J),"OUTROS"))))</f>
        <v>ADMITIDO</v>
      </c>
      <c r="J609" s="461" t="s">
        <v>683</v>
      </c>
      <c r="K609" s="462" t="s">
        <v>423</v>
      </c>
      <c r="L609" s="462" t="s">
        <v>684</v>
      </c>
      <c r="M609" s="462"/>
      <c r="N609" s="462" t="s">
        <v>63</v>
      </c>
      <c r="O609" s="356" t="s">
        <v>34</v>
      </c>
      <c r="P609" s="356" t="s">
        <v>35</v>
      </c>
      <c r="Q609" s="356" t="s">
        <v>1241</v>
      </c>
      <c r="R609" s="422"/>
      <c r="S609" s="423" t="s">
        <v>1229</v>
      </c>
      <c r="T609" s="459" t="s">
        <v>1865</v>
      </c>
      <c r="U609" s="327" t="s">
        <v>710</v>
      </c>
      <c r="V609" s="337">
        <v>46183</v>
      </c>
      <c r="W609" s="338" t="s">
        <v>1866</v>
      </c>
      <c r="X609" s="356" t="s">
        <v>40</v>
      </c>
      <c r="Y609" s="357">
        <v>46188</v>
      </c>
      <c r="Z609" s="357">
        <v>46190</v>
      </c>
      <c r="AA609" s="384">
        <v>914441</v>
      </c>
      <c r="AB609" s="422" t="s">
        <v>1867</v>
      </c>
      <c r="AC609" s="422"/>
      <c r="AD609" s="384">
        <v>1</v>
      </c>
    </row>
    <row r="610" spans="1:30" s="251" customFormat="1" ht="18" customHeight="1">
      <c r="A610" s="223">
        <v>30421</v>
      </c>
      <c r="B610" s="224">
        <v>1</v>
      </c>
      <c r="C610" s="201">
        <v>46163</v>
      </c>
      <c r="D610" s="105">
        <f t="shared" ca="1" si="24"/>
        <v>64</v>
      </c>
      <c r="E610" s="138" t="str">
        <f t="shared" si="25"/>
        <v>ADMITIDO</v>
      </c>
      <c r="F610" s="230" t="s">
        <v>28</v>
      </c>
      <c r="G610" s="147" t="s">
        <v>240</v>
      </c>
      <c r="H610" s="117" t="s">
        <v>40</v>
      </c>
      <c r="I610" s="117" t="str">
        <f>IF(X610="ADMITIDO","ADMITIDO",IF(X610="CANCELADA","CANCELADA",IF(H610="","",IFERROR(_xlfn.XLOOKUP(H610,Listas!I:I,Listas!J:J),"OUTROS"))))</f>
        <v>ADMITIDO</v>
      </c>
      <c r="J610" s="361" t="s">
        <v>268</v>
      </c>
      <c r="K610" s="226" t="s">
        <v>676</v>
      </c>
      <c r="L610" s="226" t="s">
        <v>750</v>
      </c>
      <c r="M610" s="226"/>
      <c r="N610" s="226" t="s">
        <v>63</v>
      </c>
      <c r="O610" s="227" t="s">
        <v>56</v>
      </c>
      <c r="P610" s="227" t="s">
        <v>35</v>
      </c>
      <c r="Q610" s="227" t="s">
        <v>176</v>
      </c>
      <c r="R610" s="74"/>
      <c r="S610" s="228" t="s">
        <v>1229</v>
      </c>
      <c r="T610" s="229" t="s">
        <v>1868</v>
      </c>
      <c r="U610" s="73" t="s">
        <v>132</v>
      </c>
      <c r="V610" s="220" t="s">
        <v>1317</v>
      </c>
      <c r="W610" s="203" t="s">
        <v>1869</v>
      </c>
      <c r="X610" s="227" t="s">
        <v>40</v>
      </c>
      <c r="Y610" s="249">
        <v>46170</v>
      </c>
      <c r="Z610" s="249">
        <v>46171</v>
      </c>
      <c r="AA610" s="256">
        <v>914375</v>
      </c>
      <c r="AB610" s="74"/>
      <c r="AC610" s="74"/>
      <c r="AD610" s="256"/>
    </row>
    <row r="611" spans="1:30" s="251" customFormat="1" ht="18" customHeight="1">
      <c r="A611" s="223">
        <v>30394</v>
      </c>
      <c r="B611" s="224">
        <v>1</v>
      </c>
      <c r="C611" s="201">
        <v>46163</v>
      </c>
      <c r="D611" s="105">
        <f t="shared" ca="1" si="24"/>
        <v>64</v>
      </c>
      <c r="E611" s="138" t="str">
        <f t="shared" si="25"/>
        <v>ADMITIDO</v>
      </c>
      <c r="F611" s="230" t="s">
        <v>28</v>
      </c>
      <c r="G611" s="147" t="s">
        <v>60</v>
      </c>
      <c r="H611" s="117" t="s">
        <v>40</v>
      </c>
      <c r="I611" s="117" t="str">
        <f>IF(X611="ADMITIDO","ADMITIDO",IF(X611="CANCELADA","CANCELADA",IF(H611="","",IFERROR(_xlfn.XLOOKUP(H611,Listas!I:I,Listas!J:J),"OUTROS"))))</f>
        <v>ADMITIDO</v>
      </c>
      <c r="J611" s="361" t="s">
        <v>146</v>
      </c>
      <c r="K611" s="226" t="s">
        <v>330</v>
      </c>
      <c r="L611" s="226" t="s">
        <v>434</v>
      </c>
      <c r="M611" s="226"/>
      <c r="N611" s="226" t="s">
        <v>435</v>
      </c>
      <c r="O611" s="227" t="s">
        <v>34</v>
      </c>
      <c r="P611" s="227" t="s">
        <v>35</v>
      </c>
      <c r="Q611" s="227" t="s">
        <v>612</v>
      </c>
      <c r="R611" s="74" t="s">
        <v>1870</v>
      </c>
      <c r="S611" s="228" t="s">
        <v>65</v>
      </c>
      <c r="T611" s="252" t="s">
        <v>1871</v>
      </c>
      <c r="U611" s="73" t="s">
        <v>132</v>
      </c>
      <c r="V611" s="220">
        <v>46178</v>
      </c>
      <c r="W611" s="203" t="s">
        <v>1872</v>
      </c>
      <c r="X611" s="227" t="s">
        <v>40</v>
      </c>
      <c r="Y611" s="249">
        <v>46181</v>
      </c>
      <c r="Z611" s="249">
        <v>46183</v>
      </c>
      <c r="AA611" s="256">
        <v>914404</v>
      </c>
      <c r="AB611" s="74" t="s">
        <v>1873</v>
      </c>
      <c r="AC611" s="74"/>
      <c r="AD611" s="256">
        <v>1</v>
      </c>
    </row>
    <row r="612" spans="1:30" s="251" customFormat="1" ht="18" customHeight="1">
      <c r="A612" s="223">
        <v>30433</v>
      </c>
      <c r="B612" s="224">
        <v>1</v>
      </c>
      <c r="C612" s="201">
        <v>46163</v>
      </c>
      <c r="D612" s="105">
        <f t="shared" ca="1" si="24"/>
        <v>64</v>
      </c>
      <c r="E612" s="138" t="str">
        <f t="shared" si="25"/>
        <v>ADMITIDO</v>
      </c>
      <c r="F612" s="230" t="s">
        <v>42</v>
      </c>
      <c r="G612" s="147" t="s">
        <v>69</v>
      </c>
      <c r="H612" s="117" t="s">
        <v>40</v>
      </c>
      <c r="I612" s="117" t="str">
        <f>IF(X612="ADMITIDO","ADMITIDO",IF(X612="CANCELADA","CANCELADA",IF(H612="","",IFERROR(_xlfn.XLOOKUP(H612,Listas!I:I,Listas!J:J),"OUTROS"))))</f>
        <v>ADMITIDO</v>
      </c>
      <c r="J612" s="361" t="s">
        <v>53</v>
      </c>
      <c r="K612" s="226" t="s">
        <v>70</v>
      </c>
      <c r="L612" s="226" t="s">
        <v>237</v>
      </c>
      <c r="M612" s="226"/>
      <c r="N612" s="226" t="s">
        <v>63</v>
      </c>
      <c r="O612" s="227" t="s">
        <v>34</v>
      </c>
      <c r="P612" s="227" t="s">
        <v>72</v>
      </c>
      <c r="Q612" s="227" t="s">
        <v>238</v>
      </c>
      <c r="R612" s="74"/>
      <c r="S612" s="228"/>
      <c r="T612" s="229"/>
      <c r="U612" s="73" t="s">
        <v>132</v>
      </c>
      <c r="V612" s="220">
        <v>46170</v>
      </c>
      <c r="W612" s="203" t="s">
        <v>1874</v>
      </c>
      <c r="X612" s="227" t="s">
        <v>40</v>
      </c>
      <c r="Y612" s="249">
        <v>46174</v>
      </c>
      <c r="Z612" s="249">
        <v>46175</v>
      </c>
      <c r="AA612" s="256">
        <v>914386</v>
      </c>
      <c r="AB612" s="74"/>
      <c r="AC612" s="74"/>
      <c r="AD612" s="256"/>
    </row>
    <row r="613" spans="1:30" s="251" customFormat="1" ht="18" customHeight="1">
      <c r="A613" s="223">
        <v>30432</v>
      </c>
      <c r="B613" s="224">
        <v>1</v>
      </c>
      <c r="C613" s="201">
        <v>46163</v>
      </c>
      <c r="D613" s="105">
        <f t="shared" ca="1" si="24"/>
        <v>64</v>
      </c>
      <c r="E613" s="138" t="str">
        <f t="shared" si="25"/>
        <v>ADMITIDO</v>
      </c>
      <c r="F613" s="230" t="s">
        <v>42</v>
      </c>
      <c r="G613" s="147" t="s">
        <v>552</v>
      </c>
      <c r="H613" s="117" t="s">
        <v>40</v>
      </c>
      <c r="I613" s="117" t="str">
        <f>IF(X613="ADMITIDO","ADMITIDO",IF(X613="CANCELADA","CANCELADA",IF(H613="","",IFERROR(_xlfn.XLOOKUP(H613,Listas!I:I,Listas!J:J),"OUTROS"))))</f>
        <v>ADMITIDO</v>
      </c>
      <c r="J613" s="361" t="s">
        <v>44</v>
      </c>
      <c r="K613" s="226" t="s">
        <v>553</v>
      </c>
      <c r="L613" s="226" t="s">
        <v>1875</v>
      </c>
      <c r="M613" s="226"/>
      <c r="N613" s="226" t="s">
        <v>1876</v>
      </c>
      <c r="O613" s="227" t="s">
        <v>34</v>
      </c>
      <c r="P613" s="227" t="s">
        <v>57</v>
      </c>
      <c r="Q613" s="227" t="s">
        <v>432</v>
      </c>
      <c r="R613" s="74"/>
      <c r="S613" s="228"/>
      <c r="T613" s="229"/>
      <c r="U613" s="73" t="s">
        <v>552</v>
      </c>
      <c r="V613" s="220"/>
      <c r="W613" s="203" t="s">
        <v>1877</v>
      </c>
      <c r="X613" s="227" t="s">
        <v>40</v>
      </c>
      <c r="Y613" s="249">
        <v>46164</v>
      </c>
      <c r="Z613" s="249">
        <v>46167</v>
      </c>
      <c r="AA613" s="256">
        <v>914342</v>
      </c>
      <c r="AB613" s="74"/>
      <c r="AC613" s="74"/>
      <c r="AD613" s="256">
        <v>0</v>
      </c>
    </row>
    <row r="614" spans="1:30" s="251" customFormat="1" ht="18" customHeight="1">
      <c r="A614" s="223">
        <v>30423</v>
      </c>
      <c r="B614" s="224">
        <v>1</v>
      </c>
      <c r="C614" s="201">
        <v>46163</v>
      </c>
      <c r="D614" s="105">
        <f t="shared" ca="1" si="24"/>
        <v>64</v>
      </c>
      <c r="E614" s="138" t="str">
        <f t="shared" si="25"/>
        <v>ADMITIDO</v>
      </c>
      <c r="F614" s="230" t="s">
        <v>28</v>
      </c>
      <c r="G614" s="147" t="s">
        <v>240</v>
      </c>
      <c r="H614" s="117" t="s">
        <v>40</v>
      </c>
      <c r="I614" s="117" t="str">
        <f>IF(X614="ADMITIDO","ADMITIDO",IF(X614="CANCELADA","CANCELADA",IF(H614="","",IFERROR(_xlfn.XLOOKUP(H614,Listas!I:I,Listas!J:J),"OUTROS"))))</f>
        <v>ADMITIDO</v>
      </c>
      <c r="J614" s="361" t="s">
        <v>268</v>
      </c>
      <c r="K614" s="226" t="s">
        <v>423</v>
      </c>
      <c r="L614" s="226" t="s">
        <v>1878</v>
      </c>
      <c r="M614" s="226"/>
      <c r="N614" s="226" t="s">
        <v>63</v>
      </c>
      <c r="O614" s="227" t="s">
        <v>56</v>
      </c>
      <c r="P614" s="227" t="s">
        <v>35</v>
      </c>
      <c r="Q614" s="227" t="s">
        <v>1879</v>
      </c>
      <c r="R614" s="74"/>
      <c r="S614" s="228" t="s">
        <v>1880</v>
      </c>
      <c r="T614" s="229" t="s">
        <v>1881</v>
      </c>
      <c r="U614" s="73" t="s">
        <v>76</v>
      </c>
      <c r="V614" s="220">
        <v>46163</v>
      </c>
      <c r="W614" s="203" t="s">
        <v>1882</v>
      </c>
      <c r="X614" s="227" t="s">
        <v>40</v>
      </c>
      <c r="Y614" s="249">
        <v>46168</v>
      </c>
      <c r="Z614" s="249">
        <v>46170</v>
      </c>
      <c r="AA614" s="256">
        <v>914341</v>
      </c>
      <c r="AB614" s="74"/>
      <c r="AC614" s="74"/>
      <c r="AD614" s="256"/>
    </row>
    <row r="615" spans="1:30" s="251" customFormat="1" ht="18" customHeight="1">
      <c r="A615" s="223">
        <v>30425</v>
      </c>
      <c r="B615" s="224">
        <v>1</v>
      </c>
      <c r="C615" s="201">
        <v>46163</v>
      </c>
      <c r="D615" s="105">
        <f t="shared" ca="1" si="24"/>
        <v>64</v>
      </c>
      <c r="E615" s="138" t="str">
        <f t="shared" si="25"/>
        <v>ADMITIDO</v>
      </c>
      <c r="F615" s="230" t="s">
        <v>28</v>
      </c>
      <c r="G615" s="147" t="s">
        <v>29</v>
      </c>
      <c r="H615" s="117" t="s">
        <v>40</v>
      </c>
      <c r="I615" s="117" t="str">
        <f>IF(X615="ADMITIDO","ADMITIDO",IF(X615="CANCELADA","CANCELADA",IF(H615="","",IFERROR(_xlfn.XLOOKUP(H615,Listas!I:I,Listas!J:J),"OUTROS"))))</f>
        <v>ADMITIDO</v>
      </c>
      <c r="J615" s="361" t="s">
        <v>146</v>
      </c>
      <c r="K615" s="226" t="s">
        <v>614</v>
      </c>
      <c r="L615" s="226" t="s">
        <v>1738</v>
      </c>
      <c r="M615" s="226"/>
      <c r="N615" s="226" t="s">
        <v>1739</v>
      </c>
      <c r="O615" s="227" t="s">
        <v>56</v>
      </c>
      <c r="P615" s="227" t="s">
        <v>35</v>
      </c>
      <c r="Q615" s="227" t="s">
        <v>176</v>
      </c>
      <c r="R615" s="74"/>
      <c r="S615" s="228"/>
      <c r="T615" s="229" t="s">
        <v>1883</v>
      </c>
      <c r="U615" s="73" t="s">
        <v>1203</v>
      </c>
      <c r="V615" s="220">
        <v>46171</v>
      </c>
      <c r="W615" s="245" t="s">
        <v>1884</v>
      </c>
      <c r="X615" s="227" t="s">
        <v>40</v>
      </c>
      <c r="Y615" s="249">
        <v>46176</v>
      </c>
      <c r="Z615" s="249">
        <v>46177</v>
      </c>
      <c r="AA615" s="256">
        <v>914391</v>
      </c>
      <c r="AB615" s="74" t="s">
        <v>1885</v>
      </c>
      <c r="AC615" s="74"/>
      <c r="AD615" s="256">
        <v>1</v>
      </c>
    </row>
    <row r="616" spans="1:30" s="251" customFormat="1" ht="18" customHeight="1">
      <c r="A616" s="223">
        <v>30429</v>
      </c>
      <c r="B616" s="224">
        <v>1</v>
      </c>
      <c r="C616" s="201">
        <v>46163</v>
      </c>
      <c r="D616" s="105">
        <f t="shared" ca="1" si="24"/>
        <v>64</v>
      </c>
      <c r="E616" s="138" t="str">
        <f t="shared" si="25"/>
        <v>ADMITIDO</v>
      </c>
      <c r="F616" s="230" t="s">
        <v>42</v>
      </c>
      <c r="G616" s="147" t="s">
        <v>60</v>
      </c>
      <c r="H616" s="117" t="s">
        <v>40</v>
      </c>
      <c r="I616" s="117" t="str">
        <f>IF(X616="ADMITIDO","ADMITIDO",IF(X616="CANCELADA","CANCELADA",IF(H616="","",IFERROR(_xlfn.XLOOKUP(H616,Listas!I:I,Listas!J:J),"OUTROS"))))</f>
        <v>ADMITIDO</v>
      </c>
      <c r="J616" s="361" t="s">
        <v>116</v>
      </c>
      <c r="K616" s="226" t="s">
        <v>117</v>
      </c>
      <c r="L616" s="226" t="s">
        <v>118</v>
      </c>
      <c r="M616" s="226"/>
      <c r="N616" s="226" t="s">
        <v>63</v>
      </c>
      <c r="O616" s="227" t="s">
        <v>34</v>
      </c>
      <c r="P616" s="227" t="s">
        <v>48</v>
      </c>
      <c r="Q616" s="227" t="s">
        <v>120</v>
      </c>
      <c r="R616" s="74" t="s">
        <v>1886</v>
      </c>
      <c r="S616" s="228" t="s">
        <v>1229</v>
      </c>
      <c r="T616" s="229" t="s">
        <v>1887</v>
      </c>
      <c r="U616" s="73" t="s">
        <v>76</v>
      </c>
      <c r="V616" s="220">
        <v>46171</v>
      </c>
      <c r="W616" s="203" t="s">
        <v>1888</v>
      </c>
      <c r="X616" s="227" t="s">
        <v>40</v>
      </c>
      <c r="Y616" s="249">
        <v>46169</v>
      </c>
      <c r="Z616" s="249">
        <v>46170</v>
      </c>
      <c r="AA616" s="256">
        <v>146023</v>
      </c>
      <c r="AB616" s="74"/>
      <c r="AC616" s="74"/>
      <c r="AD616" s="256"/>
    </row>
    <row r="617" spans="1:30" s="251" customFormat="1" ht="18" customHeight="1">
      <c r="A617" s="223">
        <v>30435</v>
      </c>
      <c r="B617" s="224">
        <v>1</v>
      </c>
      <c r="C617" s="201">
        <v>46164</v>
      </c>
      <c r="D617" s="105">
        <f ca="1">TODAY()-C617</f>
        <v>63</v>
      </c>
      <c r="E617" s="138" t="str">
        <f>IF(X617="ADMITIDO","ADMITIDO",IF(X617="CANCELADA","CANCELADA",IF(H617="","",IF(H617="ADMITIDO","ADMITIDO",IF(H617="CANCELADA","CANCELADA",IF(OR(H617="ANALISE CANCELAMENTO",H617="ANÁLISE CANCELAMENTO"),"EM ANÁLISE",IF(D617="","",IF(D617&lt;=7,"NO PRAZO",IF(D617&lt;=14,"ATENÇÃO","CRÍTICO")))))))))</f>
        <v>ADMITIDO</v>
      </c>
      <c r="F617" s="230" t="s">
        <v>42</v>
      </c>
      <c r="G617" s="147" t="s">
        <v>29</v>
      </c>
      <c r="H617" s="117" t="s">
        <v>40</v>
      </c>
      <c r="I617" s="117" t="str">
        <f>IF(X617="ADMITIDO","ADMITIDO",IF(X617="CANCELADA","CANCELADA",IF(H617="","",IFERROR(_xlfn.XLOOKUP(H617,Listas!I:I,Listas!J:J),"OUTROS"))))</f>
        <v>ADMITIDO</v>
      </c>
      <c r="J617" s="361" t="s">
        <v>227</v>
      </c>
      <c r="K617" s="226" t="s">
        <v>228</v>
      </c>
      <c r="L617" s="226" t="s">
        <v>229</v>
      </c>
      <c r="M617" s="226"/>
      <c r="N617" s="226" t="s">
        <v>88</v>
      </c>
      <c r="O617" s="227" t="s">
        <v>56</v>
      </c>
      <c r="P617" s="227" t="s">
        <v>35</v>
      </c>
      <c r="Q617" s="227" t="s">
        <v>357</v>
      </c>
      <c r="R617" s="236"/>
      <c r="S617" s="250"/>
      <c r="T617" s="236" t="s">
        <v>1889</v>
      </c>
      <c r="U617" s="236" t="s">
        <v>1203</v>
      </c>
      <c r="V617" s="220">
        <v>46167</v>
      </c>
      <c r="W617" s="236" t="s">
        <v>1890</v>
      </c>
      <c r="X617" s="236" t="s">
        <v>40</v>
      </c>
      <c r="Y617" s="249">
        <v>46174</v>
      </c>
      <c r="Z617" s="249">
        <v>46175</v>
      </c>
      <c r="AA617" s="256">
        <v>146039</v>
      </c>
      <c r="AB617" s="236"/>
      <c r="AC617" s="236"/>
      <c r="AD617" s="236"/>
    </row>
    <row r="618" spans="1:30" s="251" customFormat="1" ht="18" customHeight="1">
      <c r="A618" s="370">
        <v>30435</v>
      </c>
      <c r="B618" s="355">
        <v>1</v>
      </c>
      <c r="C618" s="366">
        <v>46164</v>
      </c>
      <c r="D618" s="367">
        <f ca="1">TODAY()-C618</f>
        <v>63</v>
      </c>
      <c r="E618" s="368" t="str">
        <f>IF(X618="ADMITIDO","ADMITIDO",IF(X618="CANCELADA","CANCELADA",IF(H618="","",IF(H618="ADMITIDO","ADMITIDO",IF(H618="CANCELADA","CANCELADA",IF(OR(H618="ANALISE CANCELAMENTO",H618="ANÁLISE CANCELAMENTO"),"EM ANÁLISE",IF(D618="","",IF(D618&lt;=7,"NO PRAZO",IF(D618&lt;=14,"ATENÇÃO","CRÍTICO")))))))))</f>
        <v>ADMITIDO</v>
      </c>
      <c r="F618" s="371" t="s">
        <v>42</v>
      </c>
      <c r="G618" s="369" t="s">
        <v>29</v>
      </c>
      <c r="H618" s="146" t="s">
        <v>40</v>
      </c>
      <c r="I618" s="146" t="str">
        <f>IF(X618="ADMITIDO","ADMITIDO",IF(X618="CANCELADA","CANCELADA",IF(H618="","",IFERROR(_xlfn.XLOOKUP(H618,Listas!I:I,Listas!J:J),"OUTROS"))))</f>
        <v>ADMITIDO</v>
      </c>
      <c r="J618" s="444" t="s">
        <v>227</v>
      </c>
      <c r="K618" s="443" t="s">
        <v>228</v>
      </c>
      <c r="L618" s="443" t="s">
        <v>229</v>
      </c>
      <c r="M618" s="443"/>
      <c r="N618" s="443" t="s">
        <v>88</v>
      </c>
      <c r="O618" s="413" t="s">
        <v>56</v>
      </c>
      <c r="P618" s="413" t="s">
        <v>35</v>
      </c>
      <c r="Q618" s="413" t="s">
        <v>357</v>
      </c>
      <c r="R618" s="341"/>
      <c r="S618" s="521"/>
      <c r="T618" s="341"/>
      <c r="U618" s="326" t="s">
        <v>1203</v>
      </c>
      <c r="V618" s="335">
        <v>46167</v>
      </c>
      <c r="W618" s="336" t="s">
        <v>1891</v>
      </c>
      <c r="X618" s="413" t="s">
        <v>40</v>
      </c>
      <c r="Y618" s="354">
        <v>46171</v>
      </c>
      <c r="Z618" s="304">
        <v>46172</v>
      </c>
      <c r="AA618" s="365">
        <v>146028</v>
      </c>
      <c r="AB618" s="341"/>
      <c r="AC618" s="341"/>
      <c r="AD618" s="341"/>
    </row>
    <row r="619" spans="1:30" s="236" customFormat="1" ht="18" customHeight="1">
      <c r="A619" s="223">
        <v>30444</v>
      </c>
      <c r="B619" s="224">
        <v>1</v>
      </c>
      <c r="C619" s="201">
        <v>46164</v>
      </c>
      <c r="D619" s="105">
        <f t="shared" ca="1" si="24"/>
        <v>63</v>
      </c>
      <c r="E619" s="138" t="str">
        <f t="shared" si="25"/>
        <v>CANCELADA</v>
      </c>
      <c r="F619" s="230" t="s">
        <v>119</v>
      </c>
      <c r="G619" s="147" t="s">
        <v>821</v>
      </c>
      <c r="H619" s="117" t="s">
        <v>52</v>
      </c>
      <c r="I619" s="117" t="str">
        <f>IF(X619="ADMITIDO","ADMITIDO",IF(X619="CANCELADA","CANCELADA",IF(H619="","",IFERROR(_xlfn.XLOOKUP(H619,Listas!I:I,Listas!J:J),"OUTROS"))))</f>
        <v>CANCELADA</v>
      </c>
      <c r="J619" s="226" t="s">
        <v>1892</v>
      </c>
      <c r="K619" s="226" t="s">
        <v>835</v>
      </c>
      <c r="L619" s="226" t="s">
        <v>836</v>
      </c>
      <c r="M619" s="226"/>
      <c r="N619" s="226" t="s">
        <v>119</v>
      </c>
      <c r="O619" s="227" t="s">
        <v>34</v>
      </c>
      <c r="P619" s="227" t="s">
        <v>48</v>
      </c>
      <c r="Q619" s="227" t="s">
        <v>441</v>
      </c>
      <c r="R619" s="263" t="s">
        <v>1893</v>
      </c>
      <c r="S619" s="228"/>
      <c r="T619" s="229"/>
      <c r="U619" s="73"/>
      <c r="V619" s="220"/>
      <c r="W619" s="203"/>
      <c r="X619" s="227"/>
      <c r="Y619" s="249"/>
      <c r="Z619" s="249"/>
      <c r="AA619" s="256"/>
      <c r="AB619" s="74"/>
      <c r="AC619" s="74"/>
      <c r="AD619" s="256">
        <v>0</v>
      </c>
    </row>
    <row r="620" spans="1:30" s="251" customFormat="1" ht="18" customHeight="1">
      <c r="A620" s="394">
        <v>30441</v>
      </c>
      <c r="B620" s="399">
        <v>1</v>
      </c>
      <c r="C620" s="379">
        <v>46164</v>
      </c>
      <c r="D620" s="380">
        <f t="shared" ca="1" si="24"/>
        <v>63</v>
      </c>
      <c r="E620" s="381" t="str">
        <f t="shared" si="25"/>
        <v>CANCELADA</v>
      </c>
      <c r="F620" s="395" t="s">
        <v>42</v>
      </c>
      <c r="G620" s="390" t="s">
        <v>69</v>
      </c>
      <c r="H620" s="382" t="s">
        <v>52</v>
      </c>
      <c r="I620" s="382" t="str">
        <f>IF(X620="ADMITIDO","ADMITIDO",IF(X620="CANCELADA","CANCELADA",IF(H620="","",IFERROR(_xlfn.XLOOKUP(H620,Listas!I:I,Listas!J:J),"OUTROS"))))</f>
        <v>CANCELADA</v>
      </c>
      <c r="J620" s="522" t="s">
        <v>44</v>
      </c>
      <c r="K620" s="522" t="s">
        <v>70</v>
      </c>
      <c r="L620" s="522" t="s">
        <v>246</v>
      </c>
      <c r="M620" s="522"/>
      <c r="N620" s="522" t="s">
        <v>63</v>
      </c>
      <c r="O620" s="523" t="s">
        <v>34</v>
      </c>
      <c r="P620" s="523" t="s">
        <v>219</v>
      </c>
      <c r="Q620" s="523" t="s">
        <v>247</v>
      </c>
      <c r="R620" s="452"/>
      <c r="S620" s="453"/>
      <c r="T620" s="524"/>
      <c r="U620" s="189"/>
      <c r="V620" s="456"/>
      <c r="W620" s="525"/>
      <c r="X620" s="523"/>
      <c r="Y620" s="458"/>
      <c r="Z620" s="458"/>
      <c r="AA620" s="378"/>
      <c r="AB620" s="452" t="s">
        <v>1894</v>
      </c>
      <c r="AC620" s="452" t="s">
        <v>1358</v>
      </c>
      <c r="AD620" s="378">
        <v>0</v>
      </c>
    </row>
    <row r="621" spans="1:30" s="251" customFormat="1" ht="18" customHeight="1">
      <c r="A621" s="223">
        <v>30438</v>
      </c>
      <c r="B621" s="224">
        <v>1</v>
      </c>
      <c r="C621" s="201">
        <v>46164</v>
      </c>
      <c r="D621" s="105">
        <f t="shared" ca="1" si="24"/>
        <v>63</v>
      </c>
      <c r="E621" s="138" t="str">
        <f t="shared" si="25"/>
        <v>ADMITIDO</v>
      </c>
      <c r="F621" s="230" t="s">
        <v>42</v>
      </c>
      <c r="G621" s="147" t="s">
        <v>60</v>
      </c>
      <c r="H621" s="146" t="s">
        <v>40</v>
      </c>
      <c r="I621" s="117" t="str">
        <f>IF(X621="ADMITIDO","ADMITIDO",IF(X621="CANCELADA","CANCELADA",IF(H621="","",IFERROR(_xlfn.XLOOKUP(H621,Listas!I:I,Listas!J:J),"OUTROS"))))</f>
        <v>ADMITIDO</v>
      </c>
      <c r="J621" s="226" t="s">
        <v>53</v>
      </c>
      <c r="K621" s="226" t="s">
        <v>61</v>
      </c>
      <c r="L621" s="226" t="s">
        <v>255</v>
      </c>
      <c r="M621" s="226"/>
      <c r="N621" s="226" t="s">
        <v>63</v>
      </c>
      <c r="O621" s="227" t="s">
        <v>34</v>
      </c>
      <c r="P621" s="227" t="s">
        <v>219</v>
      </c>
      <c r="Q621" s="227" t="s">
        <v>73</v>
      </c>
      <c r="R621" s="74" t="s">
        <v>1895</v>
      </c>
      <c r="S621" s="228" t="s">
        <v>65</v>
      </c>
      <c r="T621" s="252"/>
      <c r="U621" s="73" t="s">
        <v>76</v>
      </c>
      <c r="V621" s="220">
        <v>46204</v>
      </c>
      <c r="W621" s="203" t="s">
        <v>1896</v>
      </c>
      <c r="X621" s="227" t="s">
        <v>40</v>
      </c>
      <c r="Y621" s="249">
        <v>46210</v>
      </c>
      <c r="Z621" s="249">
        <v>46211</v>
      </c>
      <c r="AA621" s="256">
        <v>914584</v>
      </c>
      <c r="AB621" s="74" t="s">
        <v>1897</v>
      </c>
      <c r="AC621" s="74"/>
      <c r="AD621" s="256">
        <v>5</v>
      </c>
    </row>
    <row r="622" spans="1:30" s="251" customFormat="1" ht="18" customHeight="1">
      <c r="A622" s="398">
        <v>30440</v>
      </c>
      <c r="B622" s="358">
        <v>1</v>
      </c>
      <c r="C622" s="385">
        <v>46164</v>
      </c>
      <c r="D622" s="386">
        <f t="shared" ca="1" si="24"/>
        <v>63</v>
      </c>
      <c r="E622" s="170" t="str">
        <f t="shared" si="25"/>
        <v>ADMITIDO</v>
      </c>
      <c r="F622" s="397" t="s">
        <v>42</v>
      </c>
      <c r="G622" s="392" t="s">
        <v>69</v>
      </c>
      <c r="H622" s="139" t="s">
        <v>40</v>
      </c>
      <c r="I622" s="139" t="str">
        <f>IF(X622="ADMITIDO","ADMITIDO",IF(X622="CANCELADA","CANCELADA",IF(H622="","",IFERROR(_xlfn.XLOOKUP(H622,Listas!I:I,Listas!J:J),"OUTROS"))))</f>
        <v>ADMITIDO</v>
      </c>
      <c r="J622" s="461" t="s">
        <v>53</v>
      </c>
      <c r="K622" s="462" t="s">
        <v>70</v>
      </c>
      <c r="L622" s="462" t="s">
        <v>525</v>
      </c>
      <c r="M622" s="462"/>
      <c r="N622" s="462" t="s">
        <v>63</v>
      </c>
      <c r="O622" s="356" t="s">
        <v>34</v>
      </c>
      <c r="P622" s="356" t="s">
        <v>72</v>
      </c>
      <c r="Q622" s="356" t="s">
        <v>151</v>
      </c>
      <c r="R622" s="422"/>
      <c r="S622" s="423"/>
      <c r="T622" s="424"/>
      <c r="U622" s="327" t="s">
        <v>76</v>
      </c>
      <c r="V622" s="337">
        <v>46175</v>
      </c>
      <c r="W622" s="338" t="s">
        <v>1898</v>
      </c>
      <c r="X622" s="356" t="s">
        <v>40</v>
      </c>
      <c r="Y622" s="357">
        <v>46178</v>
      </c>
      <c r="Z622" s="357">
        <v>46181</v>
      </c>
      <c r="AA622" s="384">
        <v>146052</v>
      </c>
      <c r="AB622" s="422"/>
      <c r="AC622" s="422"/>
      <c r="AD622" s="384">
        <v>0</v>
      </c>
    </row>
    <row r="623" spans="1:30" s="251" customFormat="1" ht="18" customHeight="1">
      <c r="A623" s="398">
        <v>30442</v>
      </c>
      <c r="B623" s="358">
        <v>1</v>
      </c>
      <c r="C623" s="385">
        <v>46164</v>
      </c>
      <c r="D623" s="386">
        <f t="shared" ca="1" si="24"/>
        <v>63</v>
      </c>
      <c r="E623" s="170" t="str">
        <f t="shared" si="25"/>
        <v>CANCELADA</v>
      </c>
      <c r="F623" s="397" t="s">
        <v>42</v>
      </c>
      <c r="G623" s="392" t="s">
        <v>102</v>
      </c>
      <c r="H623" s="139" t="s">
        <v>52</v>
      </c>
      <c r="I623" s="139" t="str">
        <f>IF(X623="ADMITIDO","ADMITIDO",IF(X623="CANCELADA","CANCELADA",IF(H623="","",IFERROR(_xlfn.XLOOKUP(H623,Listas!I:I,Listas!J:J),"OUTROS"))))</f>
        <v>CANCELADA</v>
      </c>
      <c r="J623" s="226" t="s">
        <v>163</v>
      </c>
      <c r="K623" s="226" t="s">
        <v>103</v>
      </c>
      <c r="L623" s="226" t="s">
        <v>1899</v>
      </c>
      <c r="M623" s="226"/>
      <c r="N623" s="226" t="s">
        <v>274</v>
      </c>
      <c r="O623" s="227" t="s">
        <v>34</v>
      </c>
      <c r="P623" s="227" t="s">
        <v>48</v>
      </c>
      <c r="Q623" s="227" t="s">
        <v>49</v>
      </c>
      <c r="R623" s="74"/>
      <c r="S623" s="228"/>
      <c r="T623" s="229"/>
      <c r="U623" s="73"/>
      <c r="V623" s="220"/>
      <c r="W623" s="203"/>
      <c r="X623" s="227"/>
      <c r="Y623" s="249"/>
      <c r="Z623" s="249"/>
      <c r="AA623" s="256"/>
      <c r="AB623" s="74" t="s">
        <v>1900</v>
      </c>
      <c r="AC623" s="74" t="s">
        <v>1901</v>
      </c>
      <c r="AD623" s="256">
        <v>0</v>
      </c>
    </row>
    <row r="624" spans="1:30" s="251" customFormat="1" ht="18" customHeight="1">
      <c r="A624" s="370">
        <v>30453</v>
      </c>
      <c r="B624" s="355">
        <v>1</v>
      </c>
      <c r="C624" s="366">
        <v>46164</v>
      </c>
      <c r="D624" s="367">
        <f t="shared" ca="1" si="24"/>
        <v>63</v>
      </c>
      <c r="E624" s="368" t="str">
        <f t="shared" si="25"/>
        <v>CANCELADA</v>
      </c>
      <c r="F624" s="371" t="s">
        <v>42</v>
      </c>
      <c r="G624" s="369" t="s">
        <v>43</v>
      </c>
      <c r="H624" s="146" t="s">
        <v>52</v>
      </c>
      <c r="I624" s="146" t="str">
        <f>IF(X624="ADMITIDO","ADMITIDO",IF(X624="CANCELADA","CANCELADA",IF(H624="","",IFERROR(_xlfn.XLOOKUP(H624,Listas!I:I,Listas!J:J),"OUTROS"))))</f>
        <v>CANCELADA</v>
      </c>
      <c r="J624" s="226" t="s">
        <v>53</v>
      </c>
      <c r="K624" s="226" t="s">
        <v>45</v>
      </c>
      <c r="L624" s="226" t="s">
        <v>218</v>
      </c>
      <c r="M624" s="226"/>
      <c r="N624" s="226" t="s">
        <v>97</v>
      </c>
      <c r="O624" s="227" t="s">
        <v>34</v>
      </c>
      <c r="P624" s="227" t="s">
        <v>219</v>
      </c>
      <c r="Q624" s="227" t="s">
        <v>220</v>
      </c>
      <c r="R624" s="74" t="s">
        <v>1902</v>
      </c>
      <c r="S624" s="228"/>
      <c r="T624" s="229"/>
      <c r="U624" s="73"/>
      <c r="V624" s="220"/>
      <c r="W624" s="203"/>
      <c r="X624" s="227" t="s">
        <v>52</v>
      </c>
      <c r="Y624" s="249"/>
      <c r="Z624" s="249"/>
      <c r="AA624" s="256"/>
      <c r="AB624" s="74"/>
      <c r="AC624" s="74"/>
      <c r="AD624" s="256">
        <v>0</v>
      </c>
    </row>
    <row r="625" spans="1:30" s="270" customFormat="1" ht="18" customHeight="1">
      <c r="A625" s="237">
        <v>30460</v>
      </c>
      <c r="B625" s="224">
        <v>1</v>
      </c>
      <c r="C625" s="238">
        <v>46167</v>
      </c>
      <c r="D625" s="105">
        <f t="shared" ref="D625:D688" ca="1" si="26">TODAY()-C625</f>
        <v>60</v>
      </c>
      <c r="E625" s="138" t="str">
        <f t="shared" ref="E625:E688" si="27">IF(X625="ADMITIDO","ADMITIDO",IF(X625="CANCELADA","CANCELADA",IF(H625="","",IF(H625="ADMITIDO","ADMITIDO",IF(H625="CANCELADA","CANCELADA",IF(OR(H625="ANALISE CANCELAMENTO",H625="ANÁLISE CANCELAMENTO"),"EM ANÁLISE",IF(D625="","",IF(D625&lt;=7,"NO PRAZO",IF(D625&lt;=14,"ATENÇÃO","CRÍTICO")))))))))</f>
        <v>ADMITIDO</v>
      </c>
      <c r="F625" s="230" t="s">
        <v>42</v>
      </c>
      <c r="G625" s="147" t="s">
        <v>69</v>
      </c>
      <c r="H625" s="117" t="s">
        <v>40</v>
      </c>
      <c r="I625" s="117" t="str">
        <f>IF(X625="ADMITIDO","ADMITIDO",IF(X625="CANCELADA","CANCELADA",IF(H625="","",IFERROR(_xlfn.XLOOKUP(H625,Listas!I:I,Listas!J:J),"OUTROS"))))</f>
        <v>ADMITIDO</v>
      </c>
      <c r="J625" s="363" t="s">
        <v>53</v>
      </c>
      <c r="K625" s="240" t="s">
        <v>70</v>
      </c>
      <c r="L625" s="240" t="s">
        <v>343</v>
      </c>
      <c r="M625" s="240"/>
      <c r="N625" s="240" t="s">
        <v>63</v>
      </c>
      <c r="O625" s="119" t="s">
        <v>34</v>
      </c>
      <c r="P625" s="119" t="s">
        <v>219</v>
      </c>
      <c r="Q625" s="119" t="s">
        <v>238</v>
      </c>
      <c r="R625" s="241"/>
      <c r="S625" s="242"/>
      <c r="T625" s="243"/>
      <c r="U625" s="73" t="s">
        <v>109</v>
      </c>
      <c r="V625" s="216">
        <v>46188</v>
      </c>
      <c r="W625" s="118" t="s">
        <v>1903</v>
      </c>
      <c r="X625" s="119" t="s">
        <v>40</v>
      </c>
      <c r="Y625" s="120">
        <v>46190</v>
      </c>
      <c r="Z625" s="120">
        <v>46195</v>
      </c>
      <c r="AA625" s="244">
        <v>914458</v>
      </c>
      <c r="AB625" s="118" t="s">
        <v>1904</v>
      </c>
      <c r="AC625" s="241"/>
      <c r="AD625" s="244">
        <v>1</v>
      </c>
    </row>
    <row r="626" spans="1:30" s="270" customFormat="1" ht="18" customHeight="1">
      <c r="A626" s="237">
        <v>30471</v>
      </c>
      <c r="B626" s="224">
        <v>1</v>
      </c>
      <c r="C626" s="238">
        <v>46167</v>
      </c>
      <c r="D626" s="105">
        <f t="shared" ca="1" si="26"/>
        <v>60</v>
      </c>
      <c r="E626" s="138" t="str">
        <f t="shared" si="27"/>
        <v>ADMITIDO</v>
      </c>
      <c r="F626" s="230" t="s">
        <v>42</v>
      </c>
      <c r="G626" s="147" t="s">
        <v>60</v>
      </c>
      <c r="H626" s="117" t="s">
        <v>40</v>
      </c>
      <c r="I626" s="117" t="str">
        <f>IF(X626="ADMITIDO","ADMITIDO",IF(X626="CANCELADA","CANCELADA",IF(H626="","",IFERROR(_xlfn.XLOOKUP(H626,Listas!I:I,Listas!J:J),"OUTROS"))))</f>
        <v>ADMITIDO</v>
      </c>
      <c r="J626" s="363" t="s">
        <v>53</v>
      </c>
      <c r="K626" s="240" t="s">
        <v>61</v>
      </c>
      <c r="L626" s="240" t="s">
        <v>556</v>
      </c>
      <c r="M626" s="240"/>
      <c r="N626" s="240" t="s">
        <v>63</v>
      </c>
      <c r="O626" s="119" t="s">
        <v>34</v>
      </c>
      <c r="P626" s="119" t="s">
        <v>72</v>
      </c>
      <c r="Q626" s="119" t="s">
        <v>73</v>
      </c>
      <c r="R626" s="241"/>
      <c r="S626" s="242" t="s">
        <v>141</v>
      </c>
      <c r="T626" s="243" t="s">
        <v>1905</v>
      </c>
      <c r="U626" s="73" t="s">
        <v>76</v>
      </c>
      <c r="V626" s="216">
        <v>46175</v>
      </c>
      <c r="W626" s="118" t="s">
        <v>1906</v>
      </c>
      <c r="X626" s="119" t="s">
        <v>40</v>
      </c>
      <c r="Y626" s="120">
        <v>46178</v>
      </c>
      <c r="Z626" s="120">
        <v>46181</v>
      </c>
      <c r="AA626" s="244">
        <v>146054</v>
      </c>
      <c r="AB626" s="241"/>
      <c r="AC626" s="241"/>
      <c r="AD626" s="244">
        <v>0</v>
      </c>
    </row>
    <row r="627" spans="1:30" s="270" customFormat="1" ht="18" customHeight="1">
      <c r="A627" s="374">
        <v>30466</v>
      </c>
      <c r="B627" s="355">
        <v>1</v>
      </c>
      <c r="C627" s="375">
        <v>46167</v>
      </c>
      <c r="D627" s="367">
        <f t="shared" ca="1" si="26"/>
        <v>60</v>
      </c>
      <c r="E627" s="368" t="str">
        <f t="shared" si="27"/>
        <v>ADMITIDO</v>
      </c>
      <c r="F627" s="371" t="s">
        <v>42</v>
      </c>
      <c r="G627" s="369" t="s">
        <v>29</v>
      </c>
      <c r="H627" s="146" t="s">
        <v>40</v>
      </c>
      <c r="I627" s="146" t="str">
        <f>IF(X627="ADMITIDO","ADMITIDO",IF(X627="CANCELADA","CANCELADA",IF(H627="","",IFERROR(_xlfn.XLOOKUP(H627,Listas!I:I,Listas!J:J),"OUTROS"))))</f>
        <v>ADMITIDO</v>
      </c>
      <c r="J627" s="414" t="s">
        <v>992</v>
      </c>
      <c r="K627" s="415" t="s">
        <v>228</v>
      </c>
      <c r="L627" s="415" t="s">
        <v>229</v>
      </c>
      <c r="M627" s="415"/>
      <c r="N627" s="415" t="s">
        <v>88</v>
      </c>
      <c r="O627" s="303" t="s">
        <v>34</v>
      </c>
      <c r="P627" s="303" t="s">
        <v>35</v>
      </c>
      <c r="Q627" s="303" t="s">
        <v>287</v>
      </c>
      <c r="R627" s="346"/>
      <c r="S627" s="416"/>
      <c r="T627" s="417" t="s">
        <v>1907</v>
      </c>
      <c r="U627" s="326" t="s">
        <v>38</v>
      </c>
      <c r="V627" s="313">
        <v>46148</v>
      </c>
      <c r="W627" s="302" t="s">
        <v>1908</v>
      </c>
      <c r="X627" s="303" t="s">
        <v>40</v>
      </c>
      <c r="Y627" s="304">
        <v>46183</v>
      </c>
      <c r="Z627" s="304">
        <v>46184</v>
      </c>
      <c r="AA627" s="314">
        <v>146076</v>
      </c>
      <c r="AB627" s="346"/>
      <c r="AC627" s="346"/>
      <c r="AD627" s="314">
        <v>0</v>
      </c>
    </row>
    <row r="628" spans="1:30" s="270" customFormat="1" ht="18" customHeight="1">
      <c r="A628" s="237">
        <v>30477</v>
      </c>
      <c r="B628" s="224">
        <v>1</v>
      </c>
      <c r="C628" s="238">
        <v>46167</v>
      </c>
      <c r="D628" s="105">
        <f t="shared" ca="1" si="26"/>
        <v>60</v>
      </c>
      <c r="E628" s="138" t="str">
        <f t="shared" si="27"/>
        <v>ADMITIDO</v>
      </c>
      <c r="F628" s="230" t="s">
        <v>28</v>
      </c>
      <c r="G628" s="147" t="s">
        <v>663</v>
      </c>
      <c r="H628" s="117" t="s">
        <v>40</v>
      </c>
      <c r="I628" s="117" t="str">
        <f>IF(X628="ADMITIDO","ADMITIDO",IF(X628="CANCELADA","CANCELADA",IF(H628="","",IFERROR(_xlfn.XLOOKUP(H628,Listas!I:I,Listas!J:J),"OUTROS"))))</f>
        <v>ADMITIDO</v>
      </c>
      <c r="J628" s="240" t="s">
        <v>30</v>
      </c>
      <c r="K628" s="240" t="s">
        <v>614</v>
      </c>
      <c r="L628" s="240" t="s">
        <v>32</v>
      </c>
      <c r="M628" s="240"/>
      <c r="N628" s="240" t="s">
        <v>88</v>
      </c>
      <c r="O628" s="119" t="s">
        <v>56</v>
      </c>
      <c r="P628" s="119" t="s">
        <v>35</v>
      </c>
      <c r="Q628" s="119" t="s">
        <v>176</v>
      </c>
      <c r="R628" s="241" t="s">
        <v>1909</v>
      </c>
      <c r="S628" s="242"/>
      <c r="T628" s="243" t="s">
        <v>1910</v>
      </c>
      <c r="U628" s="73" t="s">
        <v>38</v>
      </c>
      <c r="V628" s="216">
        <v>46213</v>
      </c>
      <c r="W628" t="s">
        <v>1911</v>
      </c>
      <c r="X628" s="119" t="s">
        <v>40</v>
      </c>
      <c r="Y628" s="120">
        <v>46213</v>
      </c>
      <c r="Z628" s="120">
        <v>46214</v>
      </c>
      <c r="AA628" s="244">
        <v>914614</v>
      </c>
      <c r="AB628" s="241"/>
      <c r="AC628" s="241"/>
      <c r="AD628" s="244">
        <v>0</v>
      </c>
    </row>
    <row r="629" spans="1:30" s="270" customFormat="1" ht="18" customHeight="1">
      <c r="A629" s="396">
        <v>30463</v>
      </c>
      <c r="B629" s="358">
        <v>1</v>
      </c>
      <c r="C629" s="404">
        <v>46167</v>
      </c>
      <c r="D629" s="386">
        <f t="shared" ca="1" si="26"/>
        <v>60</v>
      </c>
      <c r="E629" s="170" t="str">
        <f t="shared" si="27"/>
        <v>ADMITIDO</v>
      </c>
      <c r="F629" s="397" t="s">
        <v>42</v>
      </c>
      <c r="G629" s="392" t="s">
        <v>663</v>
      </c>
      <c r="H629" s="139" t="s">
        <v>40</v>
      </c>
      <c r="I629" s="139" t="str">
        <f>IF(X629="ADMITIDO","ADMITIDO",IF(X629="CANCELADA","CANCELADA",IF(H629="","",IFERROR(_xlfn.XLOOKUP(H629,Listas!I:I,Listas!J:J),"OUTROS"))))</f>
        <v>ADMITIDO</v>
      </c>
      <c r="J629" s="427" t="s">
        <v>53</v>
      </c>
      <c r="K629" s="428" t="s">
        <v>54</v>
      </c>
      <c r="L629" s="428" t="s">
        <v>55</v>
      </c>
      <c r="M629" s="428"/>
      <c r="N629" s="428" t="s">
        <v>33</v>
      </c>
      <c r="O629" s="308" t="s">
        <v>34</v>
      </c>
      <c r="P629" s="308" t="s">
        <v>57</v>
      </c>
      <c r="Q629" s="308">
        <v>0</v>
      </c>
      <c r="R629" s="351" t="s">
        <v>1912</v>
      </c>
      <c r="S629" s="429"/>
      <c r="T629" s="422" t="s">
        <v>1913</v>
      </c>
      <c r="U629" s="139" t="s">
        <v>38</v>
      </c>
      <c r="V629" s="315">
        <v>46181</v>
      </c>
      <c r="W629" s="310" t="s">
        <v>1914</v>
      </c>
      <c r="X629" s="308" t="s">
        <v>40</v>
      </c>
      <c r="Y629" s="309">
        <v>46185</v>
      </c>
      <c r="Z629" s="309">
        <v>46188</v>
      </c>
      <c r="AA629" s="316">
        <v>146083</v>
      </c>
      <c r="AB629" s="351" t="s">
        <v>236</v>
      </c>
      <c r="AC629" s="351"/>
      <c r="AD629" s="316">
        <v>2</v>
      </c>
    </row>
    <row r="630" spans="1:30" s="270" customFormat="1" ht="18" customHeight="1">
      <c r="A630" s="237">
        <v>30475</v>
      </c>
      <c r="B630" s="224">
        <v>1</v>
      </c>
      <c r="C630" s="238">
        <v>46167</v>
      </c>
      <c r="D630" s="105">
        <f t="shared" ca="1" si="26"/>
        <v>60</v>
      </c>
      <c r="E630" s="138" t="str">
        <f t="shared" si="27"/>
        <v>ADMITIDO</v>
      </c>
      <c r="F630" s="230" t="s">
        <v>171</v>
      </c>
      <c r="G630" s="147" t="s">
        <v>43</v>
      </c>
      <c r="H630" s="117" t="s">
        <v>40</v>
      </c>
      <c r="I630" s="117" t="str">
        <f>IF(X630="ADMITIDO","ADMITIDO",IF(X630="CANCELADA","CANCELADA",IF(H630="","",IFERROR(_xlfn.XLOOKUP(H630,Listas!I:I,Listas!J:J),"OUTROS"))))</f>
        <v>ADMITIDO</v>
      </c>
      <c r="J630" s="363" t="s">
        <v>172</v>
      </c>
      <c r="K630" s="240" t="s">
        <v>383</v>
      </c>
      <c r="L630" s="240" t="s">
        <v>1915</v>
      </c>
      <c r="M630" s="240"/>
      <c r="N630" s="240" t="s">
        <v>97</v>
      </c>
      <c r="O630" s="119" t="s">
        <v>56</v>
      </c>
      <c r="P630" s="119" t="s">
        <v>35</v>
      </c>
      <c r="Q630" s="119" t="s">
        <v>176</v>
      </c>
      <c r="R630" s="241"/>
      <c r="S630" s="242" t="s">
        <v>1916</v>
      </c>
      <c r="T630" s="243">
        <v>953580837</v>
      </c>
      <c r="U630" s="326" t="s">
        <v>50</v>
      </c>
      <c r="V630" s="313">
        <v>46170</v>
      </c>
      <c r="W630" s="302" t="s">
        <v>1917</v>
      </c>
      <c r="X630" s="303" t="s">
        <v>40</v>
      </c>
      <c r="Y630" s="304">
        <v>46176</v>
      </c>
      <c r="Z630" s="304">
        <v>46177</v>
      </c>
      <c r="AA630" s="314">
        <v>83323</v>
      </c>
      <c r="AB630" s="241"/>
      <c r="AC630" s="241"/>
      <c r="AD630" s="244">
        <v>0</v>
      </c>
    </row>
    <row r="631" spans="1:30" s="270" customFormat="1" ht="18" customHeight="1">
      <c r="A631" s="237">
        <v>30468</v>
      </c>
      <c r="B631" s="224">
        <v>1</v>
      </c>
      <c r="C631" s="238">
        <v>46167</v>
      </c>
      <c r="D631" s="105">
        <f t="shared" ca="1" si="26"/>
        <v>60</v>
      </c>
      <c r="E631" s="138" t="str">
        <f t="shared" si="27"/>
        <v>ADMITIDO</v>
      </c>
      <c r="F631" s="230" t="s">
        <v>42</v>
      </c>
      <c r="G631" s="147" t="s">
        <v>43</v>
      </c>
      <c r="H631" s="117" t="s">
        <v>40</v>
      </c>
      <c r="I631" s="117" t="str">
        <f>IF(X631="ADMITIDO","ADMITIDO",IF(X631="CANCELADA","CANCELADA",IF(H631="","",IFERROR(_xlfn.XLOOKUP(H631,Listas!I:I,Listas!J:J),"OUTROS"))))</f>
        <v>ADMITIDO</v>
      </c>
      <c r="J631" s="363" t="s">
        <v>53</v>
      </c>
      <c r="K631" s="240" t="s">
        <v>189</v>
      </c>
      <c r="L631" s="240" t="s">
        <v>511</v>
      </c>
      <c r="M631" s="240"/>
      <c r="N631" s="240" t="s">
        <v>512</v>
      </c>
      <c r="O631" s="119" t="s">
        <v>34</v>
      </c>
      <c r="P631" s="119" t="s">
        <v>48</v>
      </c>
      <c r="Q631" s="119" t="s">
        <v>414</v>
      </c>
      <c r="R631" s="241"/>
      <c r="S631" s="242" t="s">
        <v>1918</v>
      </c>
      <c r="T631" s="353">
        <v>11933289200</v>
      </c>
      <c r="U631" s="73" t="s">
        <v>67</v>
      </c>
      <c r="V631" s="216">
        <v>46192</v>
      </c>
      <c r="W631" s="118" t="s">
        <v>1919</v>
      </c>
      <c r="X631" s="119" t="s">
        <v>40</v>
      </c>
      <c r="Y631" s="120">
        <v>46202</v>
      </c>
      <c r="Z631" s="120">
        <v>46202</v>
      </c>
      <c r="AA631" s="244">
        <v>914531</v>
      </c>
      <c r="AB631" s="312" t="s">
        <v>1920</v>
      </c>
      <c r="AC631" s="241"/>
      <c r="AD631" s="244">
        <v>0</v>
      </c>
    </row>
    <row r="632" spans="1:30" s="270" customFormat="1" ht="18" customHeight="1">
      <c r="A632" s="237">
        <v>30474</v>
      </c>
      <c r="B632" s="224">
        <v>1</v>
      </c>
      <c r="C632" s="238">
        <v>46167</v>
      </c>
      <c r="D632" s="105">
        <f t="shared" ca="1" si="26"/>
        <v>60</v>
      </c>
      <c r="E632" s="138" t="str">
        <f t="shared" si="27"/>
        <v>ADMITIDO</v>
      </c>
      <c r="F632" s="230" t="s">
        <v>28</v>
      </c>
      <c r="G632" s="147" t="s">
        <v>43</v>
      </c>
      <c r="H632" s="117" t="s">
        <v>40</v>
      </c>
      <c r="I632" s="117" t="str">
        <f>IF(X632="ADMITIDO","ADMITIDO",IF(X632="CANCELADA","CANCELADA",IF(H632="","",IFERROR(_xlfn.XLOOKUP(H632,Listas!I:I,Listas!J:J),"OUTROS"))))</f>
        <v>ADMITIDO</v>
      </c>
      <c r="J632" s="363" t="s">
        <v>268</v>
      </c>
      <c r="K632" s="240" t="s">
        <v>383</v>
      </c>
      <c r="L632" s="240" t="s">
        <v>1275</v>
      </c>
      <c r="M632" s="240"/>
      <c r="N632" s="240" t="s">
        <v>378</v>
      </c>
      <c r="O632" s="119" t="s">
        <v>56</v>
      </c>
      <c r="P632" s="119" t="s">
        <v>35</v>
      </c>
      <c r="Q632" s="119" t="s">
        <v>357</v>
      </c>
      <c r="R632" s="234"/>
      <c r="S632" s="242" t="s">
        <v>1921</v>
      </c>
      <c r="T632" s="260">
        <v>11910781186</v>
      </c>
      <c r="U632" s="327" t="s">
        <v>50</v>
      </c>
      <c r="V632" s="315">
        <v>46175</v>
      </c>
      <c r="W632" s="310" t="s">
        <v>1922</v>
      </c>
      <c r="X632" s="308" t="s">
        <v>40</v>
      </c>
      <c r="Y632" s="309">
        <v>46183</v>
      </c>
      <c r="Z632" s="309">
        <v>46184</v>
      </c>
      <c r="AA632" s="316">
        <v>914407</v>
      </c>
      <c r="AB632" s="241"/>
      <c r="AC632" s="241"/>
      <c r="AD632" s="244">
        <v>0</v>
      </c>
    </row>
    <row r="633" spans="1:30" s="270" customFormat="1" ht="18" customHeight="1">
      <c r="A633" s="237">
        <v>30455</v>
      </c>
      <c r="B633" s="224">
        <v>1</v>
      </c>
      <c r="C633" s="238">
        <v>46167</v>
      </c>
      <c r="D633" s="105">
        <f t="shared" ca="1" si="26"/>
        <v>60</v>
      </c>
      <c r="E633" s="138" t="str">
        <f t="shared" si="27"/>
        <v>ADMITIDO</v>
      </c>
      <c r="F633" s="230" t="s">
        <v>28</v>
      </c>
      <c r="G633" s="147" t="s">
        <v>167</v>
      </c>
      <c r="H633" s="117" t="s">
        <v>40</v>
      </c>
      <c r="I633" s="117" t="str">
        <f>IF(X633="ADMITIDO","ADMITIDO",IF(X633="CANCELADA","CANCELADA",IF(H633="","",IFERROR(_xlfn.XLOOKUP(H633,Listas!I:I,Listas!J:J),"OUTROS"))))</f>
        <v>ADMITIDO</v>
      </c>
      <c r="J633" s="363" t="s">
        <v>586</v>
      </c>
      <c r="K633" s="240" t="s">
        <v>371</v>
      </c>
      <c r="L633" s="240" t="s">
        <v>1239</v>
      </c>
      <c r="M633" s="240"/>
      <c r="N633" s="240" t="s">
        <v>63</v>
      </c>
      <c r="O633" s="119" t="s">
        <v>34</v>
      </c>
      <c r="P633" s="119" t="s">
        <v>35</v>
      </c>
      <c r="Q633" s="119" t="s">
        <v>36</v>
      </c>
      <c r="R633" s="241" t="s">
        <v>1923</v>
      </c>
      <c r="S633" s="242" t="s">
        <v>65</v>
      </c>
      <c r="T633" s="243" t="s">
        <v>1924</v>
      </c>
      <c r="U633" s="73" t="s">
        <v>132</v>
      </c>
      <c r="V633" s="216">
        <v>46168</v>
      </c>
      <c r="W633" s="118" t="s">
        <v>1925</v>
      </c>
      <c r="X633" s="119" t="s">
        <v>40</v>
      </c>
      <c r="Y633" s="120">
        <v>46170</v>
      </c>
      <c r="Z633" s="120">
        <v>46176</v>
      </c>
      <c r="AA633" s="244">
        <v>914369</v>
      </c>
      <c r="AB633" s="241"/>
      <c r="AC633" s="241"/>
      <c r="AD633" s="244">
        <v>0</v>
      </c>
    </row>
    <row r="634" spans="1:30" s="270" customFormat="1" ht="18" customHeight="1">
      <c r="A634" s="237">
        <v>30428</v>
      </c>
      <c r="B634" s="224">
        <v>1</v>
      </c>
      <c r="C634" s="238">
        <v>46167</v>
      </c>
      <c r="D634" s="105">
        <f t="shared" ca="1" si="26"/>
        <v>60</v>
      </c>
      <c r="E634" s="138" t="str">
        <f t="shared" si="27"/>
        <v>ADMITIDO</v>
      </c>
      <c r="F634" s="230" t="s">
        <v>28</v>
      </c>
      <c r="G634" s="147" t="s">
        <v>145</v>
      </c>
      <c r="H634" s="117" t="s">
        <v>40</v>
      </c>
      <c r="I634" s="117" t="str">
        <f>IF(X634="ADMITIDO","ADMITIDO",IF(X634="CANCELADA","CANCELADA",IF(H634="","",IFERROR(_xlfn.XLOOKUP(H634,Listas!I:I,Listas!J:J),"OUTROS"))))</f>
        <v>ADMITIDO</v>
      </c>
      <c r="J634" s="363" t="s">
        <v>586</v>
      </c>
      <c r="K634" s="240" t="s">
        <v>563</v>
      </c>
      <c r="L634" s="240" t="s">
        <v>1278</v>
      </c>
      <c r="M634" s="240"/>
      <c r="N634" s="240" t="s">
        <v>63</v>
      </c>
      <c r="O634" s="119" t="s">
        <v>34</v>
      </c>
      <c r="P634" s="119" t="s">
        <v>35</v>
      </c>
      <c r="Q634" s="119" t="s">
        <v>362</v>
      </c>
      <c r="R634" s="241"/>
      <c r="S634" s="242"/>
      <c r="T634" s="243"/>
      <c r="U634" s="73" t="s">
        <v>132</v>
      </c>
      <c r="V634" s="216">
        <v>46164</v>
      </c>
      <c r="W634" s="118" t="s">
        <v>1926</v>
      </c>
      <c r="X634" s="119" t="s">
        <v>40</v>
      </c>
      <c r="Y634" s="120">
        <v>46170</v>
      </c>
      <c r="Z634" s="120">
        <v>46174</v>
      </c>
      <c r="AA634" s="244">
        <v>914371</v>
      </c>
      <c r="AB634" s="241"/>
      <c r="AC634" s="241"/>
      <c r="AD634" s="244">
        <v>0</v>
      </c>
    </row>
    <row r="635" spans="1:30" s="270" customFormat="1" ht="18" customHeight="1">
      <c r="A635" s="237">
        <v>30428</v>
      </c>
      <c r="B635" s="224">
        <v>1</v>
      </c>
      <c r="C635" s="238">
        <v>46167</v>
      </c>
      <c r="D635" s="105">
        <f t="shared" ca="1" si="26"/>
        <v>60</v>
      </c>
      <c r="E635" s="138" t="str">
        <f t="shared" si="27"/>
        <v>ADMITIDO</v>
      </c>
      <c r="F635" s="230" t="s">
        <v>28</v>
      </c>
      <c r="G635" s="147" t="s">
        <v>145</v>
      </c>
      <c r="H635" s="117" t="s">
        <v>40</v>
      </c>
      <c r="I635" s="117" t="str">
        <f>IF(X635="ADMITIDO","ADMITIDO",IF(X635="CANCELADA","CANCELADA",IF(H635="","",IFERROR(_xlfn.XLOOKUP(H635,Listas!I:I,Listas!J:J),"OUTROS"))))</f>
        <v>ADMITIDO</v>
      </c>
      <c r="J635" s="363" t="s">
        <v>586</v>
      </c>
      <c r="K635" s="240" t="s">
        <v>563</v>
      </c>
      <c r="L635" s="240" t="s">
        <v>1278</v>
      </c>
      <c r="M635" s="240"/>
      <c r="N635" s="240" t="s">
        <v>63</v>
      </c>
      <c r="O635" s="119" t="s">
        <v>34</v>
      </c>
      <c r="P635" s="119" t="s">
        <v>35</v>
      </c>
      <c r="Q635" s="119" t="s">
        <v>362</v>
      </c>
      <c r="R635" s="241"/>
      <c r="S635" s="242"/>
      <c r="T635" s="243"/>
      <c r="U635" s="73" t="s">
        <v>132</v>
      </c>
      <c r="V635" s="216">
        <v>46164</v>
      </c>
      <c r="W635" s="118" t="s">
        <v>1927</v>
      </c>
      <c r="X635" s="119" t="s">
        <v>40</v>
      </c>
      <c r="Y635" s="120">
        <v>46170</v>
      </c>
      <c r="Z635" s="120">
        <v>46174</v>
      </c>
      <c r="AA635" s="244">
        <v>914372</v>
      </c>
      <c r="AB635" s="241"/>
      <c r="AC635" s="241"/>
      <c r="AD635" s="244">
        <v>0</v>
      </c>
    </row>
    <row r="636" spans="1:30" s="270" customFormat="1" ht="18" customHeight="1">
      <c r="A636" s="402">
        <v>30472</v>
      </c>
      <c r="B636" s="399">
        <v>1</v>
      </c>
      <c r="C636" s="403">
        <v>46167</v>
      </c>
      <c r="D636" s="380">
        <f t="shared" ca="1" si="26"/>
        <v>60</v>
      </c>
      <c r="E636" s="381" t="str">
        <f t="shared" si="27"/>
        <v>CANCELADA</v>
      </c>
      <c r="F636" s="395" t="s">
        <v>42</v>
      </c>
      <c r="G636" s="390" t="s">
        <v>60</v>
      </c>
      <c r="H636" s="382" t="s">
        <v>52</v>
      </c>
      <c r="I636" s="382" t="str">
        <f>IF(X636="ADMITIDO","ADMITIDO",IF(X636="CANCELADA","CANCELADA",IF(H636="","",IFERROR(_xlfn.XLOOKUP(H636,Listas!I:I,Listas!J:J),"OUTROS"))))</f>
        <v>CANCELADA</v>
      </c>
      <c r="J636" s="415" t="s">
        <v>53</v>
      </c>
      <c r="K636" s="415" t="s">
        <v>61</v>
      </c>
      <c r="L636" s="415" t="s">
        <v>1928</v>
      </c>
      <c r="M636" s="415"/>
      <c r="N636" s="415" t="s">
        <v>63</v>
      </c>
      <c r="O636" s="303" t="s">
        <v>34</v>
      </c>
      <c r="P636" s="303" t="s">
        <v>57</v>
      </c>
      <c r="Q636" s="303" t="s">
        <v>1929</v>
      </c>
      <c r="R636" s="346"/>
      <c r="S636" s="416"/>
      <c r="T636" s="446"/>
      <c r="U636" s="326"/>
      <c r="V636" s="313"/>
      <c r="W636" s="302"/>
      <c r="X636" s="303"/>
      <c r="Y636" s="304"/>
      <c r="Z636" s="304"/>
      <c r="AA636" s="314"/>
      <c r="AB636" s="346"/>
      <c r="AC636" s="346"/>
      <c r="AD636" s="314">
        <v>0</v>
      </c>
    </row>
    <row r="637" spans="1:30" s="270" customFormat="1" ht="18" customHeight="1">
      <c r="A637" s="374">
        <v>30479</v>
      </c>
      <c r="B637" s="355">
        <v>1</v>
      </c>
      <c r="C637" s="375">
        <v>46167</v>
      </c>
      <c r="D637" s="367">
        <f t="shared" ca="1" si="26"/>
        <v>60</v>
      </c>
      <c r="E637" s="368" t="str">
        <f t="shared" si="27"/>
        <v>ADMITIDO</v>
      </c>
      <c r="F637" s="371" t="s">
        <v>171</v>
      </c>
      <c r="G637" s="369" t="s">
        <v>43</v>
      </c>
      <c r="H637" s="146" t="s">
        <v>40</v>
      </c>
      <c r="I637" s="146" t="str">
        <f>IF(X637="ADMITIDO","ADMITIDO",IF(X637="CANCELADA","CANCELADA",IF(H637="","",IFERROR(_xlfn.XLOOKUP(H637,Listas!I:I,Listas!J:J),"OUTROS"))))</f>
        <v>ADMITIDO</v>
      </c>
      <c r="J637" s="415" t="s">
        <v>172</v>
      </c>
      <c r="K637" s="415" t="s">
        <v>1808</v>
      </c>
      <c r="L637" s="415" t="s">
        <v>1108</v>
      </c>
      <c r="M637" s="415"/>
      <c r="N637" s="415" t="s">
        <v>378</v>
      </c>
      <c r="O637" s="303" t="s">
        <v>34</v>
      </c>
      <c r="P637" s="303" t="s">
        <v>35</v>
      </c>
      <c r="Q637" s="303" t="s">
        <v>362</v>
      </c>
      <c r="R637" s="346"/>
      <c r="S637" s="416" t="s">
        <v>1505</v>
      </c>
      <c r="T637" s="446">
        <v>11942336900</v>
      </c>
      <c r="U637" s="326" t="s">
        <v>50</v>
      </c>
      <c r="V637" s="313">
        <v>46195</v>
      </c>
      <c r="W637" s="302" t="s">
        <v>1930</v>
      </c>
      <c r="X637" s="303" t="s">
        <v>40</v>
      </c>
      <c r="Y637" s="304">
        <v>46204</v>
      </c>
      <c r="Z637" s="304">
        <v>46205</v>
      </c>
      <c r="AA637" s="314">
        <v>83359</v>
      </c>
      <c r="AB637" s="346"/>
      <c r="AC637" s="346"/>
      <c r="AD637" s="314">
        <v>0</v>
      </c>
    </row>
    <row r="638" spans="1:30" s="270" customFormat="1" ht="18" customHeight="1">
      <c r="A638" s="237">
        <v>30480</v>
      </c>
      <c r="B638" s="224">
        <v>1</v>
      </c>
      <c r="C638" s="238">
        <v>46167</v>
      </c>
      <c r="D638" s="105">
        <f t="shared" ca="1" si="26"/>
        <v>60</v>
      </c>
      <c r="E638" s="138" t="str">
        <f t="shared" si="27"/>
        <v>ADMITIDO</v>
      </c>
      <c r="F638" s="230" t="s">
        <v>42</v>
      </c>
      <c r="G638" s="147" t="s">
        <v>60</v>
      </c>
      <c r="H638" s="117" t="s">
        <v>40</v>
      </c>
      <c r="I638" s="117" t="str">
        <f>IF(X638="ADMITIDO","ADMITIDO",IF(X638="CANCELADA","CANCELADA",IF(H638="","",IFERROR(_xlfn.XLOOKUP(H638,Listas!I:I,Listas!J:J),"OUTROS"))))</f>
        <v>ADMITIDO</v>
      </c>
      <c r="J638" s="240" t="s">
        <v>782</v>
      </c>
      <c r="K638" s="240" t="s">
        <v>61</v>
      </c>
      <c r="L638" s="240" t="s">
        <v>1227</v>
      </c>
      <c r="M638" s="240"/>
      <c r="N638" s="240" t="s">
        <v>63</v>
      </c>
      <c r="O638" s="119" t="s">
        <v>34</v>
      </c>
      <c r="P638" s="119" t="s">
        <v>57</v>
      </c>
      <c r="Q638" s="119" t="s">
        <v>151</v>
      </c>
      <c r="R638" s="241" t="s">
        <v>1931</v>
      </c>
      <c r="S638" s="242" t="s">
        <v>1533</v>
      </c>
      <c r="T638" s="243" t="s">
        <v>1932</v>
      </c>
      <c r="U638" s="73" t="s">
        <v>109</v>
      </c>
      <c r="V638" s="216">
        <v>46198</v>
      </c>
      <c r="W638" s="118" t="s">
        <v>1933</v>
      </c>
      <c r="X638" s="119" t="s">
        <v>40</v>
      </c>
      <c r="Y638" s="120">
        <v>46206</v>
      </c>
      <c r="Z638" s="120">
        <v>46209</v>
      </c>
      <c r="AA638" s="244">
        <v>146181</v>
      </c>
      <c r="AB638" s="241"/>
      <c r="AC638" s="241"/>
      <c r="AD638" s="244">
        <v>0</v>
      </c>
    </row>
    <row r="639" spans="1:30" s="270" customFormat="1" ht="18" customHeight="1">
      <c r="A639" s="402">
        <v>30478</v>
      </c>
      <c r="B639" s="399">
        <v>1</v>
      </c>
      <c r="C639" s="403">
        <v>46167</v>
      </c>
      <c r="D639" s="380">
        <f t="shared" ca="1" si="26"/>
        <v>60</v>
      </c>
      <c r="E639" s="381" t="str">
        <f t="shared" si="27"/>
        <v>ADMITIDO</v>
      </c>
      <c r="F639" s="395" t="s">
        <v>171</v>
      </c>
      <c r="G639" s="390" t="s">
        <v>43</v>
      </c>
      <c r="H639" s="382" t="s">
        <v>40</v>
      </c>
      <c r="I639" s="382" t="str">
        <f>IF(X639="ADMITIDO","ADMITIDO",IF(X639="CANCELADA","CANCELADA",IF(H639="","",IFERROR(_xlfn.XLOOKUP(H639,Listas!I:I,Listas!J:J),"OUTROS"))))</f>
        <v>ADMITIDO</v>
      </c>
      <c r="J639" s="464" t="s">
        <v>367</v>
      </c>
      <c r="K639" s="435" t="s">
        <v>335</v>
      </c>
      <c r="L639" s="435" t="s">
        <v>208</v>
      </c>
      <c r="M639" s="435"/>
      <c r="N639" s="435" t="s">
        <v>209</v>
      </c>
      <c r="O639" s="306" t="s">
        <v>56</v>
      </c>
      <c r="P639" s="306" t="s">
        <v>35</v>
      </c>
      <c r="Q639" s="306" t="s">
        <v>176</v>
      </c>
      <c r="R639" s="439"/>
      <c r="S639" s="465" t="s">
        <v>1934</v>
      </c>
      <c r="T639" s="466">
        <v>43998330789</v>
      </c>
      <c r="U639" s="189" t="s">
        <v>67</v>
      </c>
      <c r="V639" s="328">
        <v>46171</v>
      </c>
      <c r="W639" s="305" t="s">
        <v>1935</v>
      </c>
      <c r="X639" s="306" t="s">
        <v>40</v>
      </c>
      <c r="Y639" s="307">
        <v>46184</v>
      </c>
      <c r="Z639" s="307">
        <v>46184</v>
      </c>
      <c r="AA639" s="329">
        <v>83336</v>
      </c>
      <c r="AB639" s="439"/>
      <c r="AC639" s="439"/>
      <c r="AD639" s="329">
        <v>0</v>
      </c>
    </row>
    <row r="640" spans="1:30" s="270" customFormat="1" ht="18" customHeight="1">
      <c r="A640" s="237">
        <v>30462</v>
      </c>
      <c r="B640" s="224">
        <v>1</v>
      </c>
      <c r="C640" s="238">
        <v>46167</v>
      </c>
      <c r="D640" s="105">
        <f t="shared" ca="1" si="26"/>
        <v>60</v>
      </c>
      <c r="E640" s="138" t="str">
        <f t="shared" ca="1" si="27"/>
        <v>CRÍTICO</v>
      </c>
      <c r="F640" s="230" t="s">
        <v>42</v>
      </c>
      <c r="G640" s="147" t="s">
        <v>663</v>
      </c>
      <c r="H640" s="117" t="s">
        <v>259</v>
      </c>
      <c r="I640" s="117" t="str">
        <f>IF(X640="ADMITIDO","ADMITIDO",IF(X640="CANCELADA","CANCELADA",IF(H640="","",IFERROR(_xlfn.XLOOKUP(H640,Listas!I:I,Listas!J:J),"OUTROS"))))</f>
        <v>TRIAGEM</v>
      </c>
      <c r="J640" s="240" t="s">
        <v>53</v>
      </c>
      <c r="K640" s="240" t="s">
        <v>54</v>
      </c>
      <c r="L640" s="240" t="s">
        <v>92</v>
      </c>
      <c r="M640" s="240"/>
      <c r="N640" s="240" t="s">
        <v>93</v>
      </c>
      <c r="O640" s="119" t="s">
        <v>34</v>
      </c>
      <c r="P640" s="119" t="s">
        <v>57</v>
      </c>
      <c r="Q640" s="119" t="s">
        <v>532</v>
      </c>
      <c r="R640" s="241" t="s">
        <v>1936</v>
      </c>
      <c r="S640" s="242"/>
      <c r="T640" s="243"/>
      <c r="U640" s="73"/>
      <c r="V640" s="216"/>
      <c r="W640" s="599"/>
      <c r="X640" s="119"/>
      <c r="Y640" s="120"/>
      <c r="Z640" s="120"/>
      <c r="AA640" s="244"/>
      <c r="AB640" s="241" t="s">
        <v>1937</v>
      </c>
      <c r="AC640" s="241"/>
      <c r="AD640" s="244">
        <v>7</v>
      </c>
    </row>
    <row r="641" spans="1:30" s="270" customFormat="1" ht="18" customHeight="1">
      <c r="A641" s="396">
        <v>30464</v>
      </c>
      <c r="B641" s="358">
        <v>1</v>
      </c>
      <c r="C641" s="404">
        <v>46167</v>
      </c>
      <c r="D641" s="386">
        <f t="shared" ca="1" si="26"/>
        <v>60</v>
      </c>
      <c r="E641" s="170" t="str">
        <f t="shared" si="27"/>
        <v>ADMITIDO</v>
      </c>
      <c r="F641" s="397" t="s">
        <v>42</v>
      </c>
      <c r="G641" s="392" t="s">
        <v>663</v>
      </c>
      <c r="H641" s="139" t="s">
        <v>40</v>
      </c>
      <c r="I641" s="139" t="str">
        <f>IF(X641="ADMITIDO","ADMITIDO",IF(X641="CANCELADA","CANCELADA",IF(H641="","",IFERROR(_xlfn.XLOOKUP(H641,Listas!I:I,Listas!J:J),"OUTROS"))))</f>
        <v>ADMITIDO</v>
      </c>
      <c r="J641" s="427" t="s">
        <v>53</v>
      </c>
      <c r="K641" s="428" t="s">
        <v>54</v>
      </c>
      <c r="L641" s="428" t="s">
        <v>92</v>
      </c>
      <c r="M641" s="428"/>
      <c r="N641" s="428" t="s">
        <v>93</v>
      </c>
      <c r="O641" s="308" t="s">
        <v>34</v>
      </c>
      <c r="P641" s="308" t="s">
        <v>57</v>
      </c>
      <c r="Q641" s="308" t="s">
        <v>94</v>
      </c>
      <c r="R641" s="351" t="s">
        <v>1938</v>
      </c>
      <c r="S641" s="429"/>
      <c r="T641" s="430" t="s">
        <v>1939</v>
      </c>
      <c r="U641" s="327" t="s">
        <v>38</v>
      </c>
      <c r="V641" s="315">
        <v>46190</v>
      </c>
      <c r="W641" s="251" t="s">
        <v>1940</v>
      </c>
      <c r="X641" s="308" t="s">
        <v>40</v>
      </c>
      <c r="Y641" s="309">
        <v>46192</v>
      </c>
      <c r="Z641" s="309">
        <v>46193</v>
      </c>
      <c r="AA641" s="316">
        <v>914476</v>
      </c>
      <c r="AB641" s="351"/>
      <c r="AC641" s="351"/>
      <c r="AD641" s="316">
        <v>1</v>
      </c>
    </row>
    <row r="642" spans="1:30" s="270" customFormat="1" ht="18" customHeight="1">
      <c r="A642" s="402">
        <v>30457</v>
      </c>
      <c r="B642" s="399">
        <v>1</v>
      </c>
      <c r="C642" s="403">
        <v>46167</v>
      </c>
      <c r="D642" s="380">
        <f t="shared" ca="1" si="26"/>
        <v>60</v>
      </c>
      <c r="E642" s="381" t="str">
        <f t="shared" si="27"/>
        <v>CANCELADA</v>
      </c>
      <c r="F642" s="395" t="s">
        <v>28</v>
      </c>
      <c r="G642" s="390" t="s">
        <v>240</v>
      </c>
      <c r="H642" s="382" t="s">
        <v>52</v>
      </c>
      <c r="I642" s="382" t="str">
        <f>IF(X642="ADMITIDO","ADMITIDO",IF(X642="CANCELADA","CANCELADA",IF(H642="","",IFERROR(_xlfn.XLOOKUP(H642,Listas!I:I,Listas!J:J),"OUTROS"))))</f>
        <v>CANCELADA</v>
      </c>
      <c r="J642" s="240" t="s">
        <v>268</v>
      </c>
      <c r="K642" s="240" t="s">
        <v>423</v>
      </c>
      <c r="L642" s="240" t="s">
        <v>855</v>
      </c>
      <c r="M642" s="240"/>
      <c r="N642" s="240" t="s">
        <v>63</v>
      </c>
      <c r="O642" s="119" t="s">
        <v>34</v>
      </c>
      <c r="P642" s="119" t="s">
        <v>35</v>
      </c>
      <c r="Q642" s="119" t="s">
        <v>36</v>
      </c>
      <c r="R642" s="241"/>
      <c r="S642" s="242"/>
      <c r="T642" s="243"/>
      <c r="U642" s="73"/>
      <c r="V642" s="216"/>
      <c r="W642" s="322" t="s">
        <v>1940</v>
      </c>
      <c r="X642" s="119"/>
      <c r="Y642" s="120"/>
      <c r="Z642" s="120"/>
      <c r="AA642" s="244"/>
      <c r="AB642" s="241" t="s">
        <v>1941</v>
      </c>
      <c r="AC642" s="241" t="s">
        <v>1942</v>
      </c>
      <c r="AD642" s="244">
        <v>0</v>
      </c>
    </row>
    <row r="643" spans="1:30" s="270" customFormat="1" ht="18" customHeight="1">
      <c r="A643" s="374">
        <v>30465</v>
      </c>
      <c r="B643" s="355">
        <v>1</v>
      </c>
      <c r="C643" s="375">
        <v>46167</v>
      </c>
      <c r="D643" s="367">
        <f t="shared" ca="1" si="26"/>
        <v>60</v>
      </c>
      <c r="E643" s="368" t="str">
        <f t="shared" si="27"/>
        <v>ADMITIDO</v>
      </c>
      <c r="F643" s="371" t="s">
        <v>42</v>
      </c>
      <c r="G643" s="369" t="s">
        <v>29</v>
      </c>
      <c r="H643" s="146" t="s">
        <v>40</v>
      </c>
      <c r="I643" s="146" t="str">
        <f>IF(X643="ADMITIDO","ADMITIDO",IF(X643="CANCELADA","CANCELADA",IF(H643="","",IFERROR(_xlfn.XLOOKUP(H643,Listas!I:I,Listas!J:J),"OUTROS"))))</f>
        <v>ADMITIDO</v>
      </c>
      <c r="J643" s="414" t="s">
        <v>53</v>
      </c>
      <c r="K643" s="415" t="s">
        <v>54</v>
      </c>
      <c r="L643" s="415" t="s">
        <v>1943</v>
      </c>
      <c r="M643" s="415"/>
      <c r="N643" s="415" t="s">
        <v>1944</v>
      </c>
      <c r="O643" s="303" t="s">
        <v>34</v>
      </c>
      <c r="P643" s="303" t="s">
        <v>48</v>
      </c>
      <c r="Q643" s="303" t="s">
        <v>541</v>
      </c>
      <c r="R643" s="346"/>
      <c r="S643" s="416"/>
      <c r="T643" s="446" t="s">
        <v>1945</v>
      </c>
      <c r="U643" s="326" t="s">
        <v>38</v>
      </c>
      <c r="V643" s="313">
        <v>46168</v>
      </c>
      <c r="W643" s="302" t="s">
        <v>1946</v>
      </c>
      <c r="X643" s="303" t="s">
        <v>40</v>
      </c>
      <c r="Y643" s="304">
        <v>46171</v>
      </c>
      <c r="Z643" s="304">
        <v>46174</v>
      </c>
      <c r="AA643" s="314">
        <v>146030</v>
      </c>
      <c r="AB643" s="346"/>
      <c r="AC643" s="346"/>
      <c r="AD643" s="314">
        <v>0</v>
      </c>
    </row>
    <row r="644" spans="1:30" s="270" customFormat="1" ht="18" customHeight="1">
      <c r="A644" s="237">
        <v>30470</v>
      </c>
      <c r="B644" s="224">
        <v>1</v>
      </c>
      <c r="C644" s="238">
        <v>46167</v>
      </c>
      <c r="D644" s="105">
        <f t="shared" ca="1" si="26"/>
        <v>60</v>
      </c>
      <c r="E644" s="138" t="str">
        <f t="shared" si="27"/>
        <v>ADMITIDO</v>
      </c>
      <c r="F644" s="230" t="s">
        <v>42</v>
      </c>
      <c r="G644" s="147" t="s">
        <v>60</v>
      </c>
      <c r="H644" s="117" t="s">
        <v>40</v>
      </c>
      <c r="I644" s="117" t="str">
        <f>IF(X644="ADMITIDO","ADMITIDO",IF(X644="CANCELADA","CANCELADA",IF(H644="","",IFERROR(_xlfn.XLOOKUP(H644,Listas!I:I,Listas!J:J),"OUTROS"))))</f>
        <v>ADMITIDO</v>
      </c>
      <c r="J644" s="240" t="s">
        <v>461</v>
      </c>
      <c r="K644" s="240" t="s">
        <v>61</v>
      </c>
      <c r="L644" s="240" t="s">
        <v>112</v>
      </c>
      <c r="M644" s="240"/>
      <c r="N644" s="240" t="s">
        <v>63</v>
      </c>
      <c r="O644" s="119" t="s">
        <v>34</v>
      </c>
      <c r="P644" s="119" t="s">
        <v>57</v>
      </c>
      <c r="Q644" s="119" t="s">
        <v>151</v>
      </c>
      <c r="R644" s="241" t="s">
        <v>1947</v>
      </c>
      <c r="S644" s="242" t="s">
        <v>1533</v>
      </c>
      <c r="T644" s="243" t="s">
        <v>1948</v>
      </c>
      <c r="U644" s="73" t="s">
        <v>76</v>
      </c>
      <c r="V644" s="216">
        <v>46198</v>
      </c>
      <c r="W644" s="118" t="s">
        <v>1949</v>
      </c>
      <c r="X644" s="119" t="s">
        <v>40</v>
      </c>
      <c r="Y644" s="120">
        <v>46203</v>
      </c>
      <c r="Z644" s="120">
        <v>46204</v>
      </c>
      <c r="AA644" s="244">
        <v>146165</v>
      </c>
      <c r="AB644" s="241" t="s">
        <v>1950</v>
      </c>
      <c r="AC644" s="241"/>
      <c r="AD644" s="244">
        <v>2</v>
      </c>
    </row>
    <row r="645" spans="1:30" s="270" customFormat="1" ht="18" customHeight="1">
      <c r="A645" s="402">
        <v>30461</v>
      </c>
      <c r="B645" s="399">
        <v>1</v>
      </c>
      <c r="C645" s="403">
        <v>46167</v>
      </c>
      <c r="D645" s="380">
        <f t="shared" ca="1" si="26"/>
        <v>60</v>
      </c>
      <c r="E645" s="381" t="str">
        <f t="shared" si="27"/>
        <v>CANCELADA</v>
      </c>
      <c r="F645" s="395" t="s">
        <v>28</v>
      </c>
      <c r="G645" s="390" t="s">
        <v>102</v>
      </c>
      <c r="H645" s="382" t="s">
        <v>52</v>
      </c>
      <c r="I645" s="382" t="str">
        <f>IF(X645="ADMITIDO","ADMITIDO",IF(X645="CANCELADA","CANCELADA",IF(H645="","",IFERROR(_xlfn.XLOOKUP(H645,Listas!I:I,Listas!J:J),"OUTROS"))))</f>
        <v>CANCELADA</v>
      </c>
      <c r="J645" s="428" t="s">
        <v>586</v>
      </c>
      <c r="K645" s="428" t="s">
        <v>563</v>
      </c>
      <c r="L645" s="428" t="s">
        <v>1061</v>
      </c>
      <c r="M645" s="428"/>
      <c r="N645" s="428" t="s">
        <v>63</v>
      </c>
      <c r="O645" s="308" t="s">
        <v>34</v>
      </c>
      <c r="P645" s="308" t="s">
        <v>35</v>
      </c>
      <c r="Q645" s="308" t="s">
        <v>36</v>
      </c>
      <c r="R645" s="351"/>
      <c r="S645" s="429"/>
      <c r="T645" s="430"/>
      <c r="U645" s="327"/>
      <c r="V645" s="315"/>
      <c r="W645" s="310"/>
      <c r="X645" s="308"/>
      <c r="Y645" s="309"/>
      <c r="Z645" s="309"/>
      <c r="AA645" s="316"/>
      <c r="AB645" s="351"/>
      <c r="AC645" s="351"/>
      <c r="AD645" s="316">
        <v>0</v>
      </c>
    </row>
    <row r="646" spans="1:30" s="270" customFormat="1" ht="18" customHeight="1">
      <c r="A646" s="237">
        <v>30467</v>
      </c>
      <c r="B646" s="224">
        <v>1</v>
      </c>
      <c r="C646" s="238">
        <v>46167</v>
      </c>
      <c r="D646" s="105">
        <f t="shared" ca="1" si="26"/>
        <v>60</v>
      </c>
      <c r="E646" s="138" t="str">
        <f t="shared" si="27"/>
        <v>ADMITIDO</v>
      </c>
      <c r="F646" s="230" t="s">
        <v>42</v>
      </c>
      <c r="G646" s="147" t="s">
        <v>60</v>
      </c>
      <c r="H646" s="117" t="s">
        <v>40</v>
      </c>
      <c r="I646" s="117" t="str">
        <f>IF(X646="ADMITIDO","ADMITIDO",IF(X646="CANCELADA","CANCELADA",IF(H646="","",IFERROR(_xlfn.XLOOKUP(H646,Listas!I:I,Listas!J:J),"OUTROS"))))</f>
        <v>ADMITIDO</v>
      </c>
      <c r="J646" s="363" t="s">
        <v>44</v>
      </c>
      <c r="K646" s="240" t="s">
        <v>61</v>
      </c>
      <c r="L646" s="240" t="s">
        <v>255</v>
      </c>
      <c r="M646" s="240"/>
      <c r="N646" s="240" t="s">
        <v>63</v>
      </c>
      <c r="O646" s="119" t="s">
        <v>34</v>
      </c>
      <c r="P646" s="119" t="s">
        <v>57</v>
      </c>
      <c r="Q646" s="119" t="s">
        <v>98</v>
      </c>
      <c r="R646" s="241" t="s">
        <v>1951</v>
      </c>
      <c r="S646" s="242" t="s">
        <v>65</v>
      </c>
      <c r="T646" s="243" t="s">
        <v>1952</v>
      </c>
      <c r="U646" s="73" t="s">
        <v>76</v>
      </c>
      <c r="V646" s="216">
        <v>46168</v>
      </c>
      <c r="W646" s="118" t="s">
        <v>1953</v>
      </c>
      <c r="X646" s="119" t="s">
        <v>40</v>
      </c>
      <c r="Y646" s="120">
        <v>46171</v>
      </c>
      <c r="Z646" s="120">
        <v>46174</v>
      </c>
      <c r="AA646" s="244">
        <v>914379</v>
      </c>
      <c r="AB646" s="118" t="s">
        <v>1954</v>
      </c>
      <c r="AC646" s="241"/>
      <c r="AD646" s="244">
        <v>1</v>
      </c>
    </row>
    <row r="647" spans="1:30" s="270" customFormat="1" ht="18" customHeight="1">
      <c r="A647" s="237">
        <v>30454</v>
      </c>
      <c r="B647" s="224">
        <v>1</v>
      </c>
      <c r="C647" s="238">
        <v>46167</v>
      </c>
      <c r="D647" s="105">
        <f t="shared" ca="1" si="26"/>
        <v>60</v>
      </c>
      <c r="E647" s="138" t="str">
        <f t="shared" si="27"/>
        <v>ADMITIDO</v>
      </c>
      <c r="F647" s="230" t="s">
        <v>28</v>
      </c>
      <c r="G647" s="147" t="s">
        <v>240</v>
      </c>
      <c r="H647" s="117" t="s">
        <v>40</v>
      </c>
      <c r="I647" s="117" t="str">
        <f>IF(X647="ADMITIDO","ADMITIDO",IF(X647="CANCELADA","CANCELADA",IF(H647="","",IFERROR(_xlfn.XLOOKUP(H647,Listas!I:I,Listas!J:J),"OUTROS"))))</f>
        <v>ADMITIDO</v>
      </c>
      <c r="J647" s="363" t="s">
        <v>487</v>
      </c>
      <c r="K647" s="240" t="s">
        <v>423</v>
      </c>
      <c r="L647" s="240" t="s">
        <v>988</v>
      </c>
      <c r="M647" s="240"/>
      <c r="N647" s="240" t="s">
        <v>63</v>
      </c>
      <c r="O647" s="119" t="s">
        <v>34</v>
      </c>
      <c r="P647" s="119" t="s">
        <v>48</v>
      </c>
      <c r="Q647" s="119" t="s">
        <v>1955</v>
      </c>
      <c r="R647" s="241"/>
      <c r="S647" s="242" t="s">
        <v>1229</v>
      </c>
      <c r="T647" s="260" t="s">
        <v>1956</v>
      </c>
      <c r="U647" s="73" t="s">
        <v>109</v>
      </c>
      <c r="V647" s="216">
        <v>46176</v>
      </c>
      <c r="W647" s="118" t="s">
        <v>1957</v>
      </c>
      <c r="X647" s="119" t="s">
        <v>40</v>
      </c>
      <c r="Y647" s="120">
        <v>46182</v>
      </c>
      <c r="Z647" s="120">
        <v>46184</v>
      </c>
      <c r="AA647" s="244">
        <v>914412</v>
      </c>
      <c r="AB647" s="241"/>
      <c r="AC647" s="241"/>
      <c r="AD647" s="244">
        <v>0</v>
      </c>
    </row>
    <row r="648" spans="1:30" s="270" customFormat="1" ht="18" customHeight="1">
      <c r="A648" s="396">
        <v>30449</v>
      </c>
      <c r="B648" s="358">
        <v>1</v>
      </c>
      <c r="C648" s="404">
        <v>46167</v>
      </c>
      <c r="D648" s="386">
        <f t="shared" ca="1" si="26"/>
        <v>60</v>
      </c>
      <c r="E648" s="170" t="str">
        <f t="shared" si="27"/>
        <v>CANCELADA</v>
      </c>
      <c r="F648" s="397" t="s">
        <v>28</v>
      </c>
      <c r="G648" s="392" t="s">
        <v>167</v>
      </c>
      <c r="H648" s="139" t="s">
        <v>52</v>
      </c>
      <c r="I648" s="139" t="str">
        <f>IF(X648="ADMITIDO","ADMITIDO",IF(X648="CANCELADA","CANCELADA",IF(H648="","",IFERROR(_xlfn.XLOOKUP(H648,Listas!I:I,Listas!J:J),"OUTROS"))))</f>
        <v>CANCELADA</v>
      </c>
      <c r="J648" s="240" t="s">
        <v>268</v>
      </c>
      <c r="K648" s="240" t="s">
        <v>699</v>
      </c>
      <c r="L648" s="240" t="s">
        <v>525</v>
      </c>
      <c r="M648" s="240"/>
      <c r="N648" s="240" t="s">
        <v>63</v>
      </c>
      <c r="O648" s="119" t="s">
        <v>34</v>
      </c>
      <c r="P648" s="119" t="s">
        <v>35</v>
      </c>
      <c r="Q648" s="119" t="s">
        <v>612</v>
      </c>
      <c r="R648" s="241"/>
      <c r="S648" s="242"/>
      <c r="T648" s="243"/>
      <c r="U648" s="73"/>
      <c r="V648" s="216"/>
      <c r="W648" s="118"/>
      <c r="X648" s="119"/>
      <c r="Y648" s="120"/>
      <c r="Z648" s="120"/>
      <c r="AA648" s="244"/>
      <c r="AB648" s="241" t="s">
        <v>1958</v>
      </c>
      <c r="AC648" s="241" t="s">
        <v>1959</v>
      </c>
      <c r="AD648" s="244">
        <v>0</v>
      </c>
    </row>
    <row r="649" spans="1:30" s="270" customFormat="1" ht="18" customHeight="1">
      <c r="A649" s="237">
        <v>30450</v>
      </c>
      <c r="B649" s="224">
        <v>1</v>
      </c>
      <c r="C649" s="238">
        <v>46167</v>
      </c>
      <c r="D649" s="105">
        <f t="shared" ca="1" si="26"/>
        <v>60</v>
      </c>
      <c r="E649" s="138" t="str">
        <f t="shared" si="27"/>
        <v>CANCELADA</v>
      </c>
      <c r="F649" s="230" t="s">
        <v>28</v>
      </c>
      <c r="G649" s="147" t="s">
        <v>167</v>
      </c>
      <c r="H649" s="117" t="s">
        <v>52</v>
      </c>
      <c r="I649" s="117" t="str">
        <f>IF(X649="ADMITIDO","ADMITIDO",IF(X649="CANCELADA","CANCELADA",IF(H649="","",IFERROR(_xlfn.XLOOKUP(H649,Listas!I:I,Listas!J:J),"OUTROS"))))</f>
        <v>CANCELADA</v>
      </c>
      <c r="J649" s="240" t="s">
        <v>268</v>
      </c>
      <c r="K649" s="240" t="s">
        <v>699</v>
      </c>
      <c r="L649" s="240" t="s">
        <v>525</v>
      </c>
      <c r="M649" s="240"/>
      <c r="N649" s="240" t="s">
        <v>63</v>
      </c>
      <c r="O649" s="119" t="s">
        <v>56</v>
      </c>
      <c r="P649" s="119" t="s">
        <v>35</v>
      </c>
      <c r="Q649" s="119" t="s">
        <v>760</v>
      </c>
      <c r="R649" s="241"/>
      <c r="S649" s="242"/>
      <c r="T649" s="243"/>
      <c r="U649" s="73"/>
      <c r="V649" s="216"/>
      <c r="W649" s="118"/>
      <c r="X649" s="119"/>
      <c r="Y649" s="120"/>
      <c r="Z649" s="120"/>
      <c r="AA649" s="244"/>
      <c r="AB649" s="241" t="s">
        <v>1960</v>
      </c>
      <c r="AC649" s="241" t="s">
        <v>1959</v>
      </c>
      <c r="AD649" s="244">
        <v>0</v>
      </c>
    </row>
    <row r="650" spans="1:30" s="270" customFormat="1" ht="15" customHeight="1">
      <c r="A650" s="374">
        <v>30473</v>
      </c>
      <c r="B650" s="355">
        <v>1</v>
      </c>
      <c r="C650" s="375">
        <v>46167</v>
      </c>
      <c r="D650" s="367">
        <f t="shared" ca="1" si="26"/>
        <v>60</v>
      </c>
      <c r="E650" s="368" t="str">
        <f t="shared" si="27"/>
        <v>CANCELADA</v>
      </c>
      <c r="F650" s="371" t="s">
        <v>42</v>
      </c>
      <c r="G650" s="369" t="s">
        <v>43</v>
      </c>
      <c r="H650" s="146" t="s">
        <v>52</v>
      </c>
      <c r="I650" s="146" t="str">
        <f>IF(X650="ADMITIDO","ADMITIDO",IF(X650="CANCELADA","CANCELADA",IF(H650="","",IFERROR(_xlfn.XLOOKUP(H650,Listas!I:I,Listas!J:J),"OUTROS"))))</f>
        <v>CANCELADA</v>
      </c>
      <c r="J650" s="240" t="s">
        <v>163</v>
      </c>
      <c r="K650" s="240" t="s">
        <v>189</v>
      </c>
      <c r="L650" t="s">
        <v>1961</v>
      </c>
      <c r="M650"/>
      <c r="N650" s="73" t="s">
        <v>337</v>
      </c>
      <c r="O650" s="119" t="s">
        <v>34</v>
      </c>
      <c r="P650" s="119" t="s">
        <v>57</v>
      </c>
      <c r="Q650" s="119" t="s">
        <v>231</v>
      </c>
      <c r="R650" s="234"/>
      <c r="S650" s="273"/>
      <c r="T650" s="234"/>
      <c r="U650" s="73"/>
      <c r="V650" s="234"/>
      <c r="W650" s="234"/>
      <c r="X650" s="234"/>
      <c r="Y650" s="234"/>
      <c r="Z650" s="234"/>
      <c r="AA650" s="234"/>
      <c r="AB650" s="234"/>
      <c r="AC650" s="330">
        <v>46195</v>
      </c>
      <c r="AD650" s="244">
        <v>0</v>
      </c>
    </row>
    <row r="651" spans="1:30" s="270" customFormat="1" ht="15" customHeight="1">
      <c r="A651" s="237">
        <v>30476</v>
      </c>
      <c r="B651" s="224">
        <v>1</v>
      </c>
      <c r="C651" s="238">
        <v>46167</v>
      </c>
      <c r="D651" s="105">
        <f t="shared" ca="1" si="26"/>
        <v>60</v>
      </c>
      <c r="E651" s="138" t="str">
        <f t="shared" si="27"/>
        <v>ADMITIDO</v>
      </c>
      <c r="F651" s="230" t="s">
        <v>42</v>
      </c>
      <c r="G651" s="147" t="s">
        <v>60</v>
      </c>
      <c r="H651" s="117" t="s">
        <v>40</v>
      </c>
      <c r="I651" s="117" t="str">
        <f>IF(X651="ADMITIDO","ADMITIDO",IF(X651="CANCELADA","CANCELADA",IF(H651="","",IFERROR(_xlfn.XLOOKUP(H651,Listas!I:I,Listas!J:J),"OUTROS"))))</f>
        <v>ADMITIDO</v>
      </c>
      <c r="J651" s="363" t="s">
        <v>53</v>
      </c>
      <c r="K651" s="240" t="s">
        <v>61</v>
      </c>
      <c r="L651" s="240" t="s">
        <v>62</v>
      </c>
      <c r="M651" s="240"/>
      <c r="N651" s="240" t="s">
        <v>63</v>
      </c>
      <c r="O651" s="119" t="s">
        <v>34</v>
      </c>
      <c r="P651" s="119" t="s">
        <v>57</v>
      </c>
      <c r="Q651" s="119" t="s">
        <v>1962</v>
      </c>
      <c r="R651" s="234"/>
      <c r="S651" s="273" t="s">
        <v>65</v>
      </c>
      <c r="T651" s="273" t="s">
        <v>1963</v>
      </c>
      <c r="U651" s="73" t="s">
        <v>109</v>
      </c>
      <c r="V651" s="216">
        <v>46059</v>
      </c>
      <c r="W651" s="234" t="s">
        <v>1964</v>
      </c>
      <c r="X651" s="119" t="s">
        <v>40</v>
      </c>
      <c r="Y651" s="249">
        <v>46178</v>
      </c>
      <c r="Z651" s="249">
        <v>46182</v>
      </c>
      <c r="AA651" s="273">
        <v>146057</v>
      </c>
      <c r="AB651" s="234"/>
      <c r="AC651" s="234"/>
      <c r="AD651" s="244">
        <v>0</v>
      </c>
    </row>
    <row r="652" spans="1:30" s="270" customFormat="1" ht="15" customHeight="1">
      <c r="A652" s="237">
        <v>30456</v>
      </c>
      <c r="B652" s="224">
        <v>1</v>
      </c>
      <c r="C652" s="238">
        <v>46167</v>
      </c>
      <c r="D652" s="105">
        <f t="shared" ca="1" si="26"/>
        <v>60</v>
      </c>
      <c r="E652" s="283" t="str">
        <f t="shared" si="27"/>
        <v>ADMITIDO</v>
      </c>
      <c r="F652" s="230" t="s">
        <v>28</v>
      </c>
      <c r="G652" s="147" t="s">
        <v>240</v>
      </c>
      <c r="H652" s="117" t="s">
        <v>40</v>
      </c>
      <c r="I652" s="117" t="str">
        <f>IF(X652="ADMITIDO","ADMITIDO",IF(X652="CANCELADA","CANCELADA",IF(H652="","",IFERROR(_xlfn.XLOOKUP(H652,Listas!I:I,Listas!J:J),"OUTROS"))))</f>
        <v>ADMITIDO</v>
      </c>
      <c r="J652" s="363" t="s">
        <v>268</v>
      </c>
      <c r="K652" s="240" t="s">
        <v>423</v>
      </c>
      <c r="L652" s="240" t="s">
        <v>62</v>
      </c>
      <c r="M652" s="240"/>
      <c r="N652" s="240" t="s">
        <v>63</v>
      </c>
      <c r="O652" s="119" t="s">
        <v>34</v>
      </c>
      <c r="P652" s="119" t="s">
        <v>35</v>
      </c>
      <c r="Q652" s="119" t="s">
        <v>36</v>
      </c>
      <c r="R652" s="241"/>
      <c r="S652" s="242" t="s">
        <v>65</v>
      </c>
      <c r="T652" s="243" t="s">
        <v>1965</v>
      </c>
      <c r="U652" s="73" t="s">
        <v>76</v>
      </c>
      <c r="V652" s="216">
        <v>46181</v>
      </c>
      <c r="W652" s="118" t="s">
        <v>1966</v>
      </c>
      <c r="X652" s="119" t="s">
        <v>40</v>
      </c>
      <c r="Y652" s="120">
        <v>46183</v>
      </c>
      <c r="Z652" s="120">
        <v>46184</v>
      </c>
      <c r="AA652" s="244">
        <v>914425</v>
      </c>
      <c r="AB652" s="241" t="s">
        <v>1967</v>
      </c>
      <c r="AC652" s="241"/>
      <c r="AD652" s="244">
        <v>1</v>
      </c>
    </row>
    <row r="653" spans="1:30" s="270" customFormat="1" ht="15" customHeight="1">
      <c r="A653" s="402">
        <v>30458</v>
      </c>
      <c r="B653" s="399">
        <v>1</v>
      </c>
      <c r="C653" s="403">
        <v>46167</v>
      </c>
      <c r="D653" s="380">
        <f t="shared" ca="1" si="26"/>
        <v>60</v>
      </c>
      <c r="E653" s="381" t="str">
        <f t="shared" si="27"/>
        <v>CANCELADA</v>
      </c>
      <c r="F653" s="395" t="s">
        <v>28</v>
      </c>
      <c r="G653" s="390" t="s">
        <v>29</v>
      </c>
      <c r="H653" s="382" t="s">
        <v>52</v>
      </c>
      <c r="I653" s="382" t="str">
        <f>IF(X653="ADMITIDO","ADMITIDO",IF(X653="CANCELADA","CANCELADA",IF(H653="","",IFERROR(_xlfn.XLOOKUP(H653,Listas!I:I,Listas!J:J),"OUTROS"))))</f>
        <v>CANCELADA</v>
      </c>
      <c r="J653" s="415" t="s">
        <v>586</v>
      </c>
      <c r="K653" s="415" t="s">
        <v>614</v>
      </c>
      <c r="L653" s="415" t="s">
        <v>741</v>
      </c>
      <c r="M653" s="415"/>
      <c r="N653" s="415" t="s">
        <v>88</v>
      </c>
      <c r="O653" s="303" t="s">
        <v>56</v>
      </c>
      <c r="P653" s="303" t="s">
        <v>35</v>
      </c>
      <c r="Q653" s="303" t="s">
        <v>357</v>
      </c>
      <c r="R653" s="346"/>
      <c r="S653" s="416"/>
      <c r="T653" s="446"/>
      <c r="U653" s="326"/>
      <c r="V653" s="313"/>
      <c r="W653" s="302"/>
      <c r="X653" s="303"/>
      <c r="Y653" s="304"/>
      <c r="Z653" s="304"/>
      <c r="AA653" s="314"/>
      <c r="AB653" s="447" t="s">
        <v>1968</v>
      </c>
      <c r="AC653" s="346" t="s">
        <v>1295</v>
      </c>
      <c r="AD653" s="314">
        <v>0</v>
      </c>
    </row>
    <row r="654" spans="1:30" s="270" customFormat="1" ht="15" customHeight="1">
      <c r="A654" s="237">
        <v>30488</v>
      </c>
      <c r="B654" s="224">
        <v>1</v>
      </c>
      <c r="C654" s="238">
        <v>46168</v>
      </c>
      <c r="D654" s="105">
        <f t="shared" ca="1" si="26"/>
        <v>59</v>
      </c>
      <c r="E654" s="138" t="str">
        <f t="shared" si="27"/>
        <v>CANCELADA</v>
      </c>
      <c r="F654" s="230" t="s">
        <v>42</v>
      </c>
      <c r="G654" s="147" t="s">
        <v>240</v>
      </c>
      <c r="H654" s="117" t="s">
        <v>52</v>
      </c>
      <c r="I654" s="117" t="str">
        <f>IF(X654="ADMITIDO","ADMITIDO",IF(X654="CANCELADA","CANCELADA",IF(H654="","",IFERROR(_xlfn.XLOOKUP(H654,Listas!I:I,Listas!J:J),"OUTROS"))))</f>
        <v>CANCELADA</v>
      </c>
      <c r="J654" s="240" t="s">
        <v>53</v>
      </c>
      <c r="K654" s="240" t="s">
        <v>241</v>
      </c>
      <c r="L654" s="240" t="s">
        <v>1715</v>
      </c>
      <c r="M654" s="240"/>
      <c r="N654" s="240" t="s">
        <v>243</v>
      </c>
      <c r="O654" s="119" t="s">
        <v>34</v>
      </c>
      <c r="P654" s="119" t="s">
        <v>48</v>
      </c>
      <c r="Q654" s="119" t="s">
        <v>49</v>
      </c>
      <c r="R654" s="241"/>
      <c r="S654" s="242"/>
      <c r="T654" s="243"/>
      <c r="U654" s="73"/>
      <c r="V654" s="216"/>
      <c r="W654" s="118"/>
      <c r="X654" s="119"/>
      <c r="Y654" s="120"/>
      <c r="Z654" s="120"/>
      <c r="AA654" s="244"/>
      <c r="AB654" s="241" t="s">
        <v>1969</v>
      </c>
      <c r="AC654" s="241"/>
      <c r="AD654" s="244">
        <v>1</v>
      </c>
    </row>
    <row r="655" spans="1:30" s="270" customFormat="1" ht="18" customHeight="1">
      <c r="A655" s="396">
        <v>30484</v>
      </c>
      <c r="B655" s="358">
        <v>1</v>
      </c>
      <c r="C655" s="404">
        <v>46168</v>
      </c>
      <c r="D655" s="386">
        <f t="shared" ca="1" si="26"/>
        <v>59</v>
      </c>
      <c r="E655" s="170" t="str">
        <f t="shared" si="27"/>
        <v>ADMITIDO</v>
      </c>
      <c r="F655" s="397" t="s">
        <v>42</v>
      </c>
      <c r="G655" s="392" t="s">
        <v>240</v>
      </c>
      <c r="H655" s="139" t="s">
        <v>40</v>
      </c>
      <c r="I655" s="139" t="str">
        <f>IF(X655="ADMITIDO","ADMITIDO",IF(X655="CANCELADA","CANCELADA",IF(H655="","",IFERROR(_xlfn.XLOOKUP(H655,Listas!I:I,Listas!J:J),"OUTROS"))))</f>
        <v>ADMITIDO</v>
      </c>
      <c r="J655" s="427" t="s">
        <v>44</v>
      </c>
      <c r="K655" s="428" t="s">
        <v>241</v>
      </c>
      <c r="L655" s="428" t="s">
        <v>1970</v>
      </c>
      <c r="M655" s="428"/>
      <c r="N655" s="428" t="s">
        <v>63</v>
      </c>
      <c r="O655" s="308" t="s">
        <v>34</v>
      </c>
      <c r="P655" s="308" t="s">
        <v>35</v>
      </c>
      <c r="Q655" s="308" t="s">
        <v>36</v>
      </c>
      <c r="R655" s="351"/>
      <c r="S655" s="429" t="s">
        <v>65</v>
      </c>
      <c r="T655" s="430" t="s">
        <v>1971</v>
      </c>
      <c r="U655" s="327" t="s">
        <v>109</v>
      </c>
      <c r="V655" s="315">
        <v>46171</v>
      </c>
      <c r="W655" s="310" t="s">
        <v>1972</v>
      </c>
      <c r="X655" s="308" t="s">
        <v>40</v>
      </c>
      <c r="Y655" s="309">
        <v>46176</v>
      </c>
      <c r="Z655" s="309">
        <v>46181</v>
      </c>
      <c r="AA655" s="316">
        <v>914393</v>
      </c>
      <c r="AB655" s="351"/>
      <c r="AC655" s="351"/>
      <c r="AD655" s="316">
        <v>0</v>
      </c>
    </row>
    <row r="656" spans="1:30" s="270" customFormat="1" ht="18" customHeight="1">
      <c r="A656" s="237">
        <v>30490</v>
      </c>
      <c r="B656" s="224">
        <v>1</v>
      </c>
      <c r="C656" s="238">
        <v>46168</v>
      </c>
      <c r="D656" s="105">
        <f t="shared" ca="1" si="26"/>
        <v>59</v>
      </c>
      <c r="E656" s="138" t="str">
        <f t="shared" si="27"/>
        <v>ADMITIDO</v>
      </c>
      <c r="F656" s="230" t="s">
        <v>42</v>
      </c>
      <c r="G656" s="147" t="s">
        <v>240</v>
      </c>
      <c r="H656" s="117" t="s">
        <v>40</v>
      </c>
      <c r="I656" s="117" t="str">
        <f>IF(X656="ADMITIDO","ADMITIDO",IF(X656="CANCELADA","CANCELADA",IF(H656="","",IFERROR(_xlfn.XLOOKUP(H656,Listas!I:I,Listas!J:J),"OUTROS"))))</f>
        <v>ADMITIDO</v>
      </c>
      <c r="J656" s="363" t="s">
        <v>53</v>
      </c>
      <c r="K656" s="240" t="s">
        <v>241</v>
      </c>
      <c r="L656" s="240" t="s">
        <v>518</v>
      </c>
      <c r="M656" s="240"/>
      <c r="N656" s="240" t="s">
        <v>63</v>
      </c>
      <c r="O656" s="119" t="s">
        <v>34</v>
      </c>
      <c r="P656" s="119" t="s">
        <v>48</v>
      </c>
      <c r="Q656" s="119" t="s">
        <v>120</v>
      </c>
      <c r="R656" s="241"/>
      <c r="S656" s="242" t="s">
        <v>65</v>
      </c>
      <c r="T656" s="243" t="s">
        <v>1973</v>
      </c>
      <c r="U656" s="73" t="s">
        <v>132</v>
      </c>
      <c r="V656" s="216">
        <v>46170</v>
      </c>
      <c r="W656" s="118" t="s">
        <v>1974</v>
      </c>
      <c r="X656" s="119" t="s">
        <v>40</v>
      </c>
      <c r="Y656" s="120">
        <v>46174</v>
      </c>
      <c r="Z656" s="120">
        <v>46176</v>
      </c>
      <c r="AA656" s="244">
        <v>146041</v>
      </c>
      <c r="AB656" s="241"/>
      <c r="AC656" s="241"/>
      <c r="AD656" s="244">
        <v>0</v>
      </c>
    </row>
    <row r="657" spans="1:30" s="270" customFormat="1" ht="18" customHeight="1">
      <c r="A657" s="374">
        <v>30491</v>
      </c>
      <c r="B657" s="355">
        <v>1</v>
      </c>
      <c r="C657" s="375">
        <v>46168</v>
      </c>
      <c r="D657" s="367">
        <f t="shared" ca="1" si="26"/>
        <v>59</v>
      </c>
      <c r="E657" s="368" t="str">
        <f t="shared" si="27"/>
        <v>ADMITIDO</v>
      </c>
      <c r="F657" s="371" t="s">
        <v>42</v>
      </c>
      <c r="G657" s="369" t="s">
        <v>240</v>
      </c>
      <c r="H657" s="146" t="s">
        <v>40</v>
      </c>
      <c r="I657" s="146" t="str">
        <f>IF(X657="ADMITIDO","ADMITIDO",IF(X657="CANCELADA","CANCELADA",IF(H657="","",IFERROR(_xlfn.XLOOKUP(H657,Listas!I:I,Listas!J:J),"OUTROS"))))</f>
        <v>ADMITIDO</v>
      </c>
      <c r="J657" s="414" t="s">
        <v>53</v>
      </c>
      <c r="K657" s="415" t="s">
        <v>241</v>
      </c>
      <c r="L657" s="415" t="s">
        <v>475</v>
      </c>
      <c r="M657" s="415"/>
      <c r="N657" s="415" t="s">
        <v>243</v>
      </c>
      <c r="O657" s="303" t="s">
        <v>34</v>
      </c>
      <c r="P657" s="303" t="s">
        <v>57</v>
      </c>
      <c r="Q657" s="303" t="s">
        <v>98</v>
      </c>
      <c r="R657" s="346"/>
      <c r="S657" s="416" t="s">
        <v>65</v>
      </c>
      <c r="T657" s="446"/>
      <c r="U657" s="326" t="s">
        <v>132</v>
      </c>
      <c r="V657" s="313">
        <v>46198</v>
      </c>
      <c r="W657" s="302" t="s">
        <v>1975</v>
      </c>
      <c r="X657" s="303" t="s">
        <v>40</v>
      </c>
      <c r="Y657" s="304">
        <v>46199</v>
      </c>
      <c r="Z657" s="304">
        <v>46203</v>
      </c>
      <c r="AA657" s="314">
        <v>146164</v>
      </c>
      <c r="AB657" s="346" t="s">
        <v>1976</v>
      </c>
      <c r="AC657" s="346"/>
      <c r="AD657" s="314">
        <v>1</v>
      </c>
    </row>
    <row r="658" spans="1:30" s="270" customFormat="1" ht="18" customHeight="1">
      <c r="A658" s="237">
        <v>30487</v>
      </c>
      <c r="B658" s="224">
        <v>1</v>
      </c>
      <c r="C658" s="238">
        <v>46168</v>
      </c>
      <c r="D658" s="105">
        <f t="shared" ca="1" si="26"/>
        <v>59</v>
      </c>
      <c r="E658" s="138" t="str">
        <f t="shared" ca="1" si="27"/>
        <v>CRÍTICO</v>
      </c>
      <c r="F658" s="230" t="s">
        <v>42</v>
      </c>
      <c r="G658" s="147" t="s">
        <v>102</v>
      </c>
      <c r="H658" s="117" t="s">
        <v>91</v>
      </c>
      <c r="I658" s="117" t="s">
        <v>1977</v>
      </c>
      <c r="J658" s="240" t="s">
        <v>53</v>
      </c>
      <c r="K658" s="240" t="s">
        <v>103</v>
      </c>
      <c r="L658" s="240" t="s">
        <v>1978</v>
      </c>
      <c r="M658" s="240"/>
      <c r="N658" s="240" t="s">
        <v>274</v>
      </c>
      <c r="O658" s="119" t="s">
        <v>34</v>
      </c>
      <c r="P658" s="119" t="s">
        <v>48</v>
      </c>
      <c r="Q658" s="119" t="s">
        <v>49</v>
      </c>
      <c r="R658" s="242"/>
      <c r="S658" s="242"/>
      <c r="T658" s="243"/>
      <c r="U658" s="73"/>
      <c r="V658" s="216"/>
      <c r="W658" s="118"/>
      <c r="X658" s="119"/>
      <c r="Y658" s="120"/>
      <c r="Z658" s="120"/>
      <c r="AA658" s="244"/>
      <c r="AB658" s="118" t="s">
        <v>1979</v>
      </c>
      <c r="AC658" s="241"/>
      <c r="AD658" s="244">
        <v>2</v>
      </c>
    </row>
    <row r="659" spans="1:30" s="270" customFormat="1" ht="18" customHeight="1">
      <c r="A659" s="402">
        <v>30481</v>
      </c>
      <c r="B659" s="399">
        <v>1</v>
      </c>
      <c r="C659" s="403">
        <v>46168</v>
      </c>
      <c r="D659" s="380">
        <f t="shared" ca="1" si="26"/>
        <v>59</v>
      </c>
      <c r="E659" s="381" t="str">
        <f t="shared" si="27"/>
        <v>ADMITIDO</v>
      </c>
      <c r="F659" s="395" t="s">
        <v>171</v>
      </c>
      <c r="G659" s="390" t="s">
        <v>552</v>
      </c>
      <c r="H659" s="382" t="s">
        <v>40</v>
      </c>
      <c r="I659" s="382" t="str">
        <f>IF(X659="ADMITIDO","ADMITIDO",IF(X659="CANCELADA","CANCELADA",IF(H659="","",IFERROR(_xlfn.XLOOKUP(H659,Listas!I:I,Listas!J:J),"OUTROS"))))</f>
        <v>ADMITIDO</v>
      </c>
      <c r="J659" s="464" t="s">
        <v>172</v>
      </c>
      <c r="K659" s="435" t="s">
        <v>553</v>
      </c>
      <c r="L659" s="435" t="s">
        <v>1028</v>
      </c>
      <c r="M659" s="435"/>
      <c r="N659" s="435" t="s">
        <v>1029</v>
      </c>
      <c r="O659" s="306" t="s">
        <v>56</v>
      </c>
      <c r="P659" s="306" t="s">
        <v>35</v>
      </c>
      <c r="Q659" s="306" t="s">
        <v>176</v>
      </c>
      <c r="R659" s="439"/>
      <c r="S659" s="465"/>
      <c r="T659" s="467"/>
      <c r="U659" s="189" t="s">
        <v>552</v>
      </c>
      <c r="V659" s="328">
        <v>46162</v>
      </c>
      <c r="W659" s="305" t="s">
        <v>1980</v>
      </c>
      <c r="X659" s="306" t="s">
        <v>40</v>
      </c>
      <c r="Y659" s="307">
        <v>46169</v>
      </c>
      <c r="Z659" s="307">
        <v>46170</v>
      </c>
      <c r="AA659" s="329">
        <v>89113</v>
      </c>
      <c r="AB659" s="439"/>
      <c r="AC659" s="439"/>
      <c r="AD659" s="329">
        <v>0</v>
      </c>
    </row>
    <row r="660" spans="1:30" s="270" customFormat="1" ht="18" customHeight="1">
      <c r="A660" s="237">
        <v>30489</v>
      </c>
      <c r="B660" s="224">
        <v>1</v>
      </c>
      <c r="C660" s="238">
        <v>46168</v>
      </c>
      <c r="D660" s="105">
        <f t="shared" ca="1" si="26"/>
        <v>59</v>
      </c>
      <c r="E660" s="138" t="str">
        <f t="shared" si="27"/>
        <v>ADMITIDO</v>
      </c>
      <c r="F660" s="230" t="s">
        <v>42</v>
      </c>
      <c r="G660" s="147" t="s">
        <v>240</v>
      </c>
      <c r="H660" s="117" t="s">
        <v>40</v>
      </c>
      <c r="I660" s="117" t="str">
        <f>IF(X660="ADMITIDO","ADMITIDO",IF(X660="CANCELADA","CANCELADA",IF(H660="","",IFERROR(_xlfn.XLOOKUP(H660,Listas!I:I,Listas!J:J),"OUTROS"))))</f>
        <v>ADMITIDO</v>
      </c>
      <c r="J660" s="240" t="s">
        <v>53</v>
      </c>
      <c r="K660" s="240" t="s">
        <v>241</v>
      </c>
      <c r="L660" s="240" t="s">
        <v>312</v>
      </c>
      <c r="M660" s="240"/>
      <c r="N660" s="240" t="s">
        <v>243</v>
      </c>
      <c r="O660" s="119" t="s">
        <v>34</v>
      </c>
      <c r="P660" s="119" t="s">
        <v>48</v>
      </c>
      <c r="Q660" s="119" t="s">
        <v>131</v>
      </c>
      <c r="R660" s="241"/>
      <c r="S660" s="242" t="s">
        <v>1981</v>
      </c>
      <c r="T660" s="243"/>
      <c r="U660" s="73" t="s">
        <v>76</v>
      </c>
      <c r="V660" s="216">
        <v>46209</v>
      </c>
      <c r="W660" s="118" t="s">
        <v>1982</v>
      </c>
      <c r="X660" s="119" t="s">
        <v>40</v>
      </c>
      <c r="Y660" s="120">
        <v>46216</v>
      </c>
      <c r="Z660" s="120">
        <v>46218</v>
      </c>
      <c r="AA660" s="244">
        <v>916228</v>
      </c>
      <c r="AB660" s="241"/>
      <c r="AC660" s="241"/>
      <c r="AD660" s="244">
        <v>0</v>
      </c>
    </row>
    <row r="661" spans="1:30" s="270" customFormat="1" ht="18" customHeight="1">
      <c r="A661" s="237">
        <v>30469</v>
      </c>
      <c r="B661" s="224">
        <v>1</v>
      </c>
      <c r="C661" s="238">
        <v>46168</v>
      </c>
      <c r="D661" s="105">
        <f t="shared" ca="1" si="26"/>
        <v>59</v>
      </c>
      <c r="E661" s="138" t="str">
        <f t="shared" si="27"/>
        <v>ADMITIDO</v>
      </c>
      <c r="F661" s="230" t="s">
        <v>42</v>
      </c>
      <c r="G661" s="147" t="s">
        <v>43</v>
      </c>
      <c r="H661" s="117" t="s">
        <v>40</v>
      </c>
      <c r="I661" s="117" t="str">
        <f>IF(X661="ADMITIDO","ADMITIDO",IF(X661="CANCELADA","CANCELADA",IF(H661="","",IFERROR(_xlfn.XLOOKUP(H661,Listas!I:I,Listas!J:J),"OUTROS"))))</f>
        <v>ADMITIDO</v>
      </c>
      <c r="J661" s="240" t="s">
        <v>44</v>
      </c>
      <c r="K661" s="240" t="s">
        <v>189</v>
      </c>
      <c r="L661" s="240" t="s">
        <v>1983</v>
      </c>
      <c r="M661" s="240"/>
      <c r="N661" s="73" t="s">
        <v>337</v>
      </c>
      <c r="O661" s="119" t="s">
        <v>34</v>
      </c>
      <c r="P661" s="119" t="s">
        <v>57</v>
      </c>
      <c r="Q661" s="119" t="s">
        <v>98</v>
      </c>
      <c r="R661" s="241" t="s">
        <v>1984</v>
      </c>
      <c r="S661" s="242" t="s">
        <v>1249</v>
      </c>
      <c r="T661" s="243">
        <v>11960828902</v>
      </c>
      <c r="U661" s="73" t="s">
        <v>67</v>
      </c>
      <c r="V661" s="216">
        <v>46210</v>
      </c>
      <c r="W661" s="118" t="s">
        <v>1985</v>
      </c>
      <c r="X661" s="119" t="s">
        <v>40</v>
      </c>
      <c r="Y661" s="120">
        <v>46218</v>
      </c>
      <c r="Z661" s="120">
        <v>46218</v>
      </c>
      <c r="AA661" s="244">
        <v>146232</v>
      </c>
      <c r="AB661" s="241"/>
      <c r="AC661" s="241"/>
      <c r="AD661" s="244">
        <v>3</v>
      </c>
    </row>
    <row r="662" spans="1:30" s="270" customFormat="1" ht="18" customHeight="1">
      <c r="A662" s="396">
        <v>30482</v>
      </c>
      <c r="B662" s="358">
        <v>1</v>
      </c>
      <c r="C662" s="404">
        <v>46168</v>
      </c>
      <c r="D662" s="386">
        <f t="shared" ca="1" si="26"/>
        <v>59</v>
      </c>
      <c r="E662" s="170" t="str">
        <f t="shared" si="27"/>
        <v>ADMITIDO</v>
      </c>
      <c r="F662" s="397" t="s">
        <v>28</v>
      </c>
      <c r="G662" s="392" t="s">
        <v>240</v>
      </c>
      <c r="H662" s="139" t="s">
        <v>40</v>
      </c>
      <c r="I662" s="139" t="str">
        <f>IF(X662="ADMITIDO","ADMITIDO",IF(X662="CANCELADA","CANCELADA",IF(H662="","",IFERROR(_xlfn.XLOOKUP(H662,Listas!I:I,Listas!J:J),"OUTROS"))))</f>
        <v>ADMITIDO</v>
      </c>
      <c r="J662" s="427" t="s">
        <v>268</v>
      </c>
      <c r="K662" s="428" t="s">
        <v>423</v>
      </c>
      <c r="L662" s="428" t="s">
        <v>62</v>
      </c>
      <c r="M662" s="428"/>
      <c r="N662" s="428" t="s">
        <v>63</v>
      </c>
      <c r="O662" s="308" t="s">
        <v>34</v>
      </c>
      <c r="P662" s="308" t="s">
        <v>48</v>
      </c>
      <c r="Q662" s="308" t="s">
        <v>1118</v>
      </c>
      <c r="R662" s="351"/>
      <c r="S662" s="429" t="s">
        <v>1229</v>
      </c>
      <c r="T662" s="430" t="s">
        <v>1986</v>
      </c>
      <c r="U662" s="327" t="s">
        <v>109</v>
      </c>
      <c r="V662" s="315">
        <v>46168</v>
      </c>
      <c r="W662" s="310" t="s">
        <v>1987</v>
      </c>
      <c r="X662" s="308" t="s">
        <v>40</v>
      </c>
      <c r="Y662" s="309">
        <v>46170</v>
      </c>
      <c r="Z662" s="309">
        <v>46174</v>
      </c>
      <c r="AA662" s="316">
        <v>914368</v>
      </c>
      <c r="AB662" s="351"/>
      <c r="AC662" s="351"/>
      <c r="AD662" s="316">
        <v>0</v>
      </c>
    </row>
    <row r="663" spans="1:30" s="270" customFormat="1" ht="18" customHeight="1">
      <c r="A663" s="237">
        <v>30483</v>
      </c>
      <c r="B663" s="224">
        <v>1</v>
      </c>
      <c r="C663" s="238">
        <v>46168</v>
      </c>
      <c r="D663" s="105">
        <f t="shared" ca="1" si="26"/>
        <v>59</v>
      </c>
      <c r="E663" s="138" t="str">
        <f t="shared" si="27"/>
        <v>ADMITIDO</v>
      </c>
      <c r="F663" s="230" t="s">
        <v>28</v>
      </c>
      <c r="G663" s="147" t="s">
        <v>167</v>
      </c>
      <c r="H663" s="117" t="s">
        <v>40</v>
      </c>
      <c r="I663" s="117" t="str">
        <f>IF(X663="ADMITIDO","ADMITIDO",IF(X663="CANCELADA","CANCELADA",IF(H663="","",IFERROR(_xlfn.XLOOKUP(H663,Listas!I:I,Listas!J:J),"OUTROS"))))</f>
        <v>ADMITIDO</v>
      </c>
      <c r="J663" s="363" t="s">
        <v>1150</v>
      </c>
      <c r="K663" s="240" t="s">
        <v>103</v>
      </c>
      <c r="L663" s="240" t="s">
        <v>194</v>
      </c>
      <c r="M663" s="240"/>
      <c r="N663" s="240" t="s">
        <v>63</v>
      </c>
      <c r="O663" s="119" t="s">
        <v>34</v>
      </c>
      <c r="P663" s="119" t="s">
        <v>210</v>
      </c>
      <c r="Q663" s="119" t="s">
        <v>64</v>
      </c>
      <c r="R663" s="241" t="s">
        <v>1988</v>
      </c>
      <c r="S663" s="242" t="s">
        <v>1989</v>
      </c>
      <c r="T663" s="243" t="s">
        <v>1990</v>
      </c>
      <c r="U663" s="73" t="s">
        <v>109</v>
      </c>
      <c r="V663" s="216">
        <v>46168</v>
      </c>
      <c r="W663" s="118" t="s">
        <v>1991</v>
      </c>
      <c r="X663" s="119" t="s">
        <v>40</v>
      </c>
      <c r="Y663" s="120">
        <v>46171</v>
      </c>
      <c r="Z663" s="120">
        <v>46174</v>
      </c>
      <c r="AA663" s="244">
        <v>914378</v>
      </c>
      <c r="AB663" s="241"/>
      <c r="AC663" s="241"/>
      <c r="AD663" s="244">
        <v>0</v>
      </c>
    </row>
    <row r="664" spans="1:30" s="270" customFormat="1" ht="18" customHeight="1">
      <c r="A664" s="402">
        <v>30501</v>
      </c>
      <c r="B664" s="399">
        <v>1</v>
      </c>
      <c r="C664" s="403">
        <v>46169</v>
      </c>
      <c r="D664" s="380">
        <f t="shared" ca="1" si="26"/>
        <v>58</v>
      </c>
      <c r="E664" s="381" t="str">
        <f t="shared" si="27"/>
        <v>CANCELADA</v>
      </c>
      <c r="F664" s="395" t="s">
        <v>42</v>
      </c>
      <c r="G664" s="390" t="s">
        <v>29</v>
      </c>
      <c r="H664" s="382" t="s">
        <v>52</v>
      </c>
      <c r="I664" s="382" t="str">
        <f>IF(X664="ADMITIDO","ADMITIDO",IF(X664="CANCELADA","CANCELADA",IF(H664="","",IFERROR(_xlfn.XLOOKUP(H664,Listas!I:I,Listas!J:J),"OUTROS"))))</f>
        <v>CANCELADA</v>
      </c>
      <c r="J664" s="240" t="s">
        <v>53</v>
      </c>
      <c r="K664" s="240" t="s">
        <v>54</v>
      </c>
      <c r="L664" s="240" t="s">
        <v>164</v>
      </c>
      <c r="M664" s="240"/>
      <c r="N664" s="240" t="s">
        <v>88</v>
      </c>
      <c r="O664" s="119" t="s">
        <v>34</v>
      </c>
      <c r="P664" s="119" t="s">
        <v>57</v>
      </c>
      <c r="Q664" s="119" t="s">
        <v>231</v>
      </c>
      <c r="R664" s="241"/>
      <c r="S664" s="242"/>
      <c r="T664" s="243"/>
      <c r="U664" s="73"/>
      <c r="V664" s="216"/>
      <c r="W664" s="118"/>
      <c r="X664" s="119"/>
      <c r="Y664" s="120"/>
      <c r="Z664" s="120"/>
      <c r="AA664" s="244"/>
      <c r="AB664" s="241"/>
      <c r="AC664" s="241" t="s">
        <v>1992</v>
      </c>
      <c r="AD664" s="244">
        <v>0</v>
      </c>
    </row>
    <row r="665" spans="1:30" s="270" customFormat="1" ht="18" customHeight="1">
      <c r="A665" s="237">
        <v>30502</v>
      </c>
      <c r="B665" s="224">
        <v>1</v>
      </c>
      <c r="C665" s="238">
        <v>46169</v>
      </c>
      <c r="D665" s="105">
        <f t="shared" ca="1" si="26"/>
        <v>58</v>
      </c>
      <c r="E665" s="138" t="str">
        <f t="shared" si="27"/>
        <v>ADMITIDO</v>
      </c>
      <c r="F665" s="230" t="s">
        <v>42</v>
      </c>
      <c r="G665" s="147" t="s">
        <v>663</v>
      </c>
      <c r="H665" s="117" t="s">
        <v>40</v>
      </c>
      <c r="I665" s="117" t="str">
        <f>IF(X665="ADMITIDO","ADMITIDO",IF(X665="CANCELADA","CANCELADA",IF(H665="","",IFERROR(_xlfn.XLOOKUP(H665,Listas!I:I,Listas!J:J),"OUTROS"))))</f>
        <v>ADMITIDO</v>
      </c>
      <c r="J665" s="363" t="s">
        <v>53</v>
      </c>
      <c r="K665" s="240" t="s">
        <v>54</v>
      </c>
      <c r="L665" s="240" t="s">
        <v>164</v>
      </c>
      <c r="M665" s="240"/>
      <c r="N665" s="240" t="s">
        <v>88</v>
      </c>
      <c r="O665" s="119" t="s">
        <v>34</v>
      </c>
      <c r="P665" s="119" t="s">
        <v>57</v>
      </c>
      <c r="Q665" s="119" t="s">
        <v>94</v>
      </c>
      <c r="R665" s="241"/>
      <c r="S665" s="242"/>
      <c r="T665" s="243" t="s">
        <v>1993</v>
      </c>
      <c r="U665" s="73" t="s">
        <v>38</v>
      </c>
      <c r="V665" s="216">
        <v>46171</v>
      </c>
      <c r="W665" s="236" t="s">
        <v>1994</v>
      </c>
      <c r="X665" s="119" t="s">
        <v>40</v>
      </c>
      <c r="Y665" s="120">
        <v>46176</v>
      </c>
      <c r="Z665" s="120">
        <v>46177</v>
      </c>
      <c r="AA665" s="244">
        <v>146044</v>
      </c>
      <c r="AB665" s="241"/>
      <c r="AC665" s="241"/>
      <c r="AD665" s="244">
        <v>0</v>
      </c>
    </row>
    <row r="666" spans="1:30" s="270" customFormat="1" ht="18" customHeight="1">
      <c r="A666" s="374">
        <v>30492</v>
      </c>
      <c r="B666" s="355">
        <v>1</v>
      </c>
      <c r="C666" s="375">
        <v>46169</v>
      </c>
      <c r="D666" s="367">
        <f t="shared" ca="1" si="26"/>
        <v>58</v>
      </c>
      <c r="E666" s="368" t="str">
        <f t="shared" si="27"/>
        <v>ADMITIDO</v>
      </c>
      <c r="F666" s="371" t="s">
        <v>42</v>
      </c>
      <c r="G666" s="369" t="s">
        <v>240</v>
      </c>
      <c r="H666" s="146" t="s">
        <v>40</v>
      </c>
      <c r="I666" s="146" t="str">
        <f>IF(X666="ADMITIDO","ADMITIDO",IF(X666="CANCELADA","CANCELADA",IF(H666="","",IFERROR(_xlfn.XLOOKUP(H666,Listas!I:I,Listas!J:J),"OUTROS"))))</f>
        <v>ADMITIDO</v>
      </c>
      <c r="J666" s="414" t="s">
        <v>53</v>
      </c>
      <c r="K666" s="415" t="s">
        <v>241</v>
      </c>
      <c r="L666" s="415" t="s">
        <v>307</v>
      </c>
      <c r="M666" s="415"/>
      <c r="N666" s="415" t="s">
        <v>243</v>
      </c>
      <c r="O666" s="303" t="s">
        <v>34</v>
      </c>
      <c r="P666" s="303" t="s">
        <v>57</v>
      </c>
      <c r="Q666" s="303" t="s">
        <v>308</v>
      </c>
      <c r="R666" s="346"/>
      <c r="S666" s="416" t="s">
        <v>1229</v>
      </c>
      <c r="T666" s="417" t="s">
        <v>1995</v>
      </c>
      <c r="U666" s="326" t="s">
        <v>109</v>
      </c>
      <c r="V666" s="313">
        <v>46059</v>
      </c>
      <c r="W666" s="302" t="s">
        <v>1996</v>
      </c>
      <c r="X666" s="303" t="s">
        <v>40</v>
      </c>
      <c r="Y666" s="304">
        <v>46181</v>
      </c>
      <c r="Z666" s="304">
        <v>46183</v>
      </c>
      <c r="AA666" s="314">
        <v>146059</v>
      </c>
      <c r="AB666" s="346"/>
      <c r="AC666" s="346"/>
      <c r="AD666" s="314">
        <v>0</v>
      </c>
    </row>
    <row r="667" spans="1:30" s="270" customFormat="1" ht="18" customHeight="1">
      <c r="A667" s="237">
        <v>30499</v>
      </c>
      <c r="B667" s="224">
        <v>1</v>
      </c>
      <c r="C667" s="238">
        <v>46169</v>
      </c>
      <c r="D667" s="105">
        <f t="shared" ca="1" si="26"/>
        <v>58</v>
      </c>
      <c r="E667" s="138" t="str">
        <f t="shared" ca="1" si="27"/>
        <v>CRÍTICO</v>
      </c>
      <c r="F667" s="230" t="s">
        <v>42</v>
      </c>
      <c r="G667" s="147" t="s">
        <v>240</v>
      </c>
      <c r="H667" s="117" t="s">
        <v>214</v>
      </c>
      <c r="I667" s="117" t="str">
        <f>IF(X667="ADMITIDO","ADMITIDO",IF(X667="CANCELADA","CANCELADA",IF(H667="","",IFERROR(_xlfn.XLOOKUP(H667,Listas!I:I,Listas!J:J),"OUTROS"))))</f>
        <v>TRIAGEM</v>
      </c>
      <c r="J667" s="240" t="s">
        <v>53</v>
      </c>
      <c r="K667" s="240" t="s">
        <v>241</v>
      </c>
      <c r="L667" s="240" t="s">
        <v>307</v>
      </c>
      <c r="M667" s="240"/>
      <c r="N667" s="240" t="s">
        <v>243</v>
      </c>
      <c r="O667" s="119" t="s">
        <v>34</v>
      </c>
      <c r="P667" s="119" t="s">
        <v>57</v>
      </c>
      <c r="Q667" s="119" t="s">
        <v>308</v>
      </c>
      <c r="R667" s="241"/>
      <c r="S667" s="242" t="s">
        <v>65</v>
      </c>
      <c r="T667" s="260"/>
      <c r="U667" s="73"/>
      <c r="V667" s="216"/>
      <c r="W667" s="118"/>
      <c r="X667" s="119"/>
      <c r="Y667" s="120"/>
      <c r="Z667" s="120"/>
      <c r="AA667" s="244"/>
      <c r="AB667" s="241" t="s">
        <v>1997</v>
      </c>
      <c r="AC667" s="241"/>
      <c r="AD667" s="244">
        <v>2</v>
      </c>
    </row>
    <row r="668" spans="1:30" s="270" customFormat="1" ht="18" customHeight="1">
      <c r="A668" s="237">
        <v>30498</v>
      </c>
      <c r="B668" s="224">
        <v>1</v>
      </c>
      <c r="C668" s="238">
        <v>46169</v>
      </c>
      <c r="D668" s="105">
        <f t="shared" ca="1" si="26"/>
        <v>58</v>
      </c>
      <c r="E668" s="138" t="str">
        <f t="shared" si="27"/>
        <v>ADMITIDO</v>
      </c>
      <c r="F668" s="230" t="s">
        <v>42</v>
      </c>
      <c r="G668" s="147" t="s">
        <v>240</v>
      </c>
      <c r="H668" s="117" t="s">
        <v>334</v>
      </c>
      <c r="I668" s="117" t="str">
        <f>IF(X668="ADMITIDO","ADMITIDO",IF(X668="CANCELADA","CANCELADA",IF(H668="","",IFERROR(_xlfn.XLOOKUP(H668,Listas!I:I,Listas!J:J),"OUTROS"))))</f>
        <v>ADMITIDO</v>
      </c>
      <c r="J668" s="240" t="s">
        <v>53</v>
      </c>
      <c r="K668" s="240" t="s">
        <v>241</v>
      </c>
      <c r="L668" s="240" t="s">
        <v>312</v>
      </c>
      <c r="M668" s="240"/>
      <c r="N668" s="240" t="s">
        <v>243</v>
      </c>
      <c r="O668" s="119" t="s">
        <v>34</v>
      </c>
      <c r="P668" s="119" t="s">
        <v>57</v>
      </c>
      <c r="Q668" s="119" t="s">
        <v>313</v>
      </c>
      <c r="R668" s="241"/>
      <c r="S668" s="242" t="s">
        <v>65</v>
      </c>
      <c r="T668" s="243"/>
      <c r="U668" s="73" t="s">
        <v>76</v>
      </c>
      <c r="V668" s="216">
        <v>46217</v>
      </c>
      <c r="W668" s="118" t="s">
        <v>1998</v>
      </c>
      <c r="X668" s="119" t="s">
        <v>40</v>
      </c>
      <c r="Y668" s="120">
        <v>46223</v>
      </c>
      <c r="Z668" s="120">
        <v>46225</v>
      </c>
      <c r="AA668" s="244">
        <v>914654</v>
      </c>
      <c r="AB668" s="241" t="s">
        <v>1999</v>
      </c>
      <c r="AC668" s="241"/>
      <c r="AD668" s="244">
        <v>1</v>
      </c>
    </row>
    <row r="669" spans="1:30" s="270" customFormat="1" ht="18" customHeight="1">
      <c r="A669" s="396">
        <v>30493</v>
      </c>
      <c r="B669" s="358">
        <v>1</v>
      </c>
      <c r="C669" s="404">
        <v>46169</v>
      </c>
      <c r="D669" s="386">
        <f t="shared" ca="1" si="26"/>
        <v>58</v>
      </c>
      <c r="E669" s="170" t="str">
        <f t="shared" si="27"/>
        <v>ADMITIDO</v>
      </c>
      <c r="F669" s="397" t="s">
        <v>28</v>
      </c>
      <c r="G669" s="392" t="s">
        <v>60</v>
      </c>
      <c r="H669" s="139" t="s">
        <v>40</v>
      </c>
      <c r="I669" s="139" t="str">
        <f>IF(X669="ADMITIDO","ADMITIDO",IF(X669="CANCELADA","CANCELADA",IF(H669="","",IFERROR(_xlfn.XLOOKUP(H669,Listas!I:I,Listas!J:J),"OUTROS"))))</f>
        <v>ADMITIDO</v>
      </c>
      <c r="J669" s="427" t="s">
        <v>487</v>
      </c>
      <c r="K669" s="428" t="s">
        <v>330</v>
      </c>
      <c r="L669" s="428" t="s">
        <v>907</v>
      </c>
      <c r="M669" s="428"/>
      <c r="N669" s="428" t="s">
        <v>63</v>
      </c>
      <c r="O669" s="308" t="s">
        <v>34</v>
      </c>
      <c r="P669" s="308" t="s">
        <v>35</v>
      </c>
      <c r="Q669" s="308" t="s">
        <v>36</v>
      </c>
      <c r="R669" s="351" t="s">
        <v>2000</v>
      </c>
      <c r="S669" s="429" t="s">
        <v>65</v>
      </c>
      <c r="T669" s="430" t="s">
        <v>2001</v>
      </c>
      <c r="U669" s="327" t="s">
        <v>76</v>
      </c>
      <c r="V669" s="315">
        <v>46181</v>
      </c>
      <c r="W669" s="468" t="s">
        <v>2002</v>
      </c>
      <c r="X669" s="308" t="s">
        <v>40</v>
      </c>
      <c r="Y669" s="309">
        <v>46184</v>
      </c>
      <c r="Z669" s="309">
        <v>46186</v>
      </c>
      <c r="AA669" s="316">
        <v>914420</v>
      </c>
      <c r="AB669" s="351" t="s">
        <v>2003</v>
      </c>
      <c r="AC669" s="351"/>
      <c r="AD669" s="316">
        <v>1</v>
      </c>
    </row>
    <row r="670" spans="1:30" s="270" customFormat="1" ht="18" customHeight="1">
      <c r="A670" s="402">
        <v>30504</v>
      </c>
      <c r="B670" s="399">
        <v>1</v>
      </c>
      <c r="C670" s="403">
        <v>46169</v>
      </c>
      <c r="D670" s="380">
        <f t="shared" ca="1" si="26"/>
        <v>58</v>
      </c>
      <c r="E670" s="381" t="str">
        <f t="shared" si="27"/>
        <v>CANCELADA</v>
      </c>
      <c r="F670" s="395" t="s">
        <v>42</v>
      </c>
      <c r="G670" s="390" t="s">
        <v>43</v>
      </c>
      <c r="H670" s="382" t="s">
        <v>52</v>
      </c>
      <c r="I670" s="382" t="str">
        <f>IF(X670="ADMITIDO","ADMITIDO",IF(X670="CANCELADA","CANCELADA",IF(H670="","",IFERROR(_xlfn.XLOOKUP(H670,Listas!I:I,Listas!J:J),"OUTROS"))))</f>
        <v>CANCELADA</v>
      </c>
      <c r="J670" s="240" t="s">
        <v>53</v>
      </c>
      <c r="K670" s="240" t="s">
        <v>45</v>
      </c>
      <c r="L670" s="240" t="s">
        <v>218</v>
      </c>
      <c r="M670" s="240"/>
      <c r="N670" s="240" t="s">
        <v>97</v>
      </c>
      <c r="O670" s="119" t="s">
        <v>34</v>
      </c>
      <c r="P670" s="119" t="s">
        <v>219</v>
      </c>
      <c r="Q670" s="119" t="s">
        <v>220</v>
      </c>
      <c r="R670" t="s">
        <v>2004</v>
      </c>
      <c r="S670" s="242"/>
      <c r="T670" s="243"/>
      <c r="U670" s="73"/>
      <c r="V670" s="216"/>
      <c r="W670" s="118"/>
      <c r="X670" s="119"/>
      <c r="Y670" s="120"/>
      <c r="Z670" s="120"/>
      <c r="AA670" s="244"/>
      <c r="AB670" s="241"/>
      <c r="AC670" s="241"/>
      <c r="AD670" s="244">
        <v>0</v>
      </c>
    </row>
    <row r="671" spans="1:30" s="270" customFormat="1" ht="18" customHeight="1">
      <c r="A671" s="237">
        <v>30500</v>
      </c>
      <c r="B671" s="224">
        <v>1</v>
      </c>
      <c r="C671" s="238">
        <v>46169</v>
      </c>
      <c r="D671" s="105">
        <f t="shared" ca="1" si="26"/>
        <v>58</v>
      </c>
      <c r="E671" s="138" t="str">
        <f t="shared" si="27"/>
        <v>ADMITIDO</v>
      </c>
      <c r="F671" s="230" t="s">
        <v>42</v>
      </c>
      <c r="G671" s="147" t="s">
        <v>167</v>
      </c>
      <c r="H671" s="117" t="s">
        <v>40</v>
      </c>
      <c r="I671" s="117" t="str">
        <f>IF(X671="ADMITIDO","ADMITIDO",IF(X671="CANCELADA","CANCELADA",IF(H671="","",IFERROR(_xlfn.XLOOKUP(H671,Listas!I:I,Listas!J:J),"OUTROS"))))</f>
        <v>ADMITIDO</v>
      </c>
      <c r="J671" s="363" t="s">
        <v>53</v>
      </c>
      <c r="K671" s="240" t="s">
        <v>103</v>
      </c>
      <c r="L671" s="240" t="s">
        <v>194</v>
      </c>
      <c r="M671" s="240"/>
      <c r="N671" s="240" t="s">
        <v>63</v>
      </c>
      <c r="O671" s="119" t="s">
        <v>34</v>
      </c>
      <c r="P671" s="119" t="s">
        <v>219</v>
      </c>
      <c r="Q671" s="119" t="s">
        <v>238</v>
      </c>
      <c r="R671" s="241"/>
      <c r="S671" s="242"/>
      <c r="T671" s="243"/>
      <c r="U671" s="73" t="s">
        <v>109</v>
      </c>
      <c r="V671" s="216">
        <v>46170</v>
      </c>
      <c r="W671" s="118" t="s">
        <v>2005</v>
      </c>
      <c r="X671" s="119" t="s">
        <v>40</v>
      </c>
      <c r="Y671" s="120">
        <v>46171</v>
      </c>
      <c r="Z671" s="120">
        <v>46174</v>
      </c>
      <c r="AA671" s="244">
        <v>914380</v>
      </c>
      <c r="AB671" s="241"/>
      <c r="AC671" s="241"/>
      <c r="AD671" s="244">
        <v>0</v>
      </c>
    </row>
    <row r="672" spans="1:30" s="270" customFormat="1" ht="18" customHeight="1">
      <c r="A672" s="237">
        <v>30443</v>
      </c>
      <c r="B672" s="121">
        <v>1</v>
      </c>
      <c r="C672" s="238">
        <v>46170</v>
      </c>
      <c r="D672" s="105">
        <f t="shared" ca="1" si="26"/>
        <v>57</v>
      </c>
      <c r="E672" s="138" t="str">
        <f t="shared" si="27"/>
        <v>ADMITIDO</v>
      </c>
      <c r="F672" s="230" t="s">
        <v>171</v>
      </c>
      <c r="G672" s="147" t="s">
        <v>167</v>
      </c>
      <c r="H672" s="117" t="s">
        <v>40</v>
      </c>
      <c r="I672" s="117" t="str">
        <f>IF(X672="ADMITIDO","ADMITIDO",IF(X672="CANCELADA","CANCELADA",IF(H672="","",IFERROR(_xlfn.XLOOKUP(H672,Listas!I:I,Listas!J:J),"OUTROS"))))</f>
        <v>ADMITIDO</v>
      </c>
      <c r="J672" s="363" t="s">
        <v>172</v>
      </c>
      <c r="K672" s="240" t="s">
        <v>1820</v>
      </c>
      <c r="L672" s="240" t="s">
        <v>1821</v>
      </c>
      <c r="M672" s="240"/>
      <c r="N672" s="240" t="s">
        <v>999</v>
      </c>
      <c r="O672" s="119" t="s">
        <v>34</v>
      </c>
      <c r="P672" s="119" t="s">
        <v>48</v>
      </c>
      <c r="Q672" s="119" t="s">
        <v>2006</v>
      </c>
      <c r="R672" s="241"/>
      <c r="S672" s="242"/>
      <c r="T672" s="243"/>
      <c r="U672" s="73" t="s">
        <v>132</v>
      </c>
      <c r="V672" s="216">
        <v>46174</v>
      </c>
      <c r="W672" s="118" t="s">
        <v>2007</v>
      </c>
      <c r="X672" s="119" t="s">
        <v>40</v>
      </c>
      <c r="Y672" s="120">
        <v>46176</v>
      </c>
      <c r="Z672" s="120">
        <v>46178</v>
      </c>
      <c r="AA672" s="244">
        <v>83328</v>
      </c>
      <c r="AB672" s="241"/>
      <c r="AC672" s="241"/>
      <c r="AD672" s="244">
        <v>0</v>
      </c>
    </row>
    <row r="673" spans="1:30" s="270" customFormat="1" ht="18" customHeight="1">
      <c r="A673" s="237">
        <v>30507</v>
      </c>
      <c r="B673" s="121">
        <v>1</v>
      </c>
      <c r="C673" s="238">
        <v>46170</v>
      </c>
      <c r="D673" s="105">
        <f t="shared" ca="1" si="26"/>
        <v>57</v>
      </c>
      <c r="E673" s="138" t="str">
        <f t="shared" si="27"/>
        <v>ADMITIDO</v>
      </c>
      <c r="F673" s="230" t="s">
        <v>28</v>
      </c>
      <c r="G673" s="147" t="s">
        <v>60</v>
      </c>
      <c r="H673" s="117" t="s">
        <v>40</v>
      </c>
      <c r="I673" s="117" t="str">
        <f>IF(X673="ADMITIDO","ADMITIDO",IF(X673="CANCELADA","CANCELADA",IF(H673="","",IFERROR(_xlfn.XLOOKUP(H673,Listas!I:I,Listas!J:J),"OUTROS"))))</f>
        <v>ADMITIDO</v>
      </c>
      <c r="J673" s="363" t="s">
        <v>268</v>
      </c>
      <c r="K673" s="125" t="s">
        <v>986</v>
      </c>
      <c r="L673" s="240" t="s">
        <v>246</v>
      </c>
      <c r="M673" s="240"/>
      <c r="N673" s="240" t="s">
        <v>63</v>
      </c>
      <c r="O673" s="119" t="s">
        <v>34</v>
      </c>
      <c r="P673" s="119" t="s">
        <v>35</v>
      </c>
      <c r="Q673" s="119" t="s">
        <v>612</v>
      </c>
      <c r="R673" s="241" t="s">
        <v>2008</v>
      </c>
      <c r="S673" s="242"/>
      <c r="T673" s="243"/>
      <c r="U673" s="73" t="s">
        <v>109</v>
      </c>
      <c r="V673" s="216">
        <v>46171</v>
      </c>
      <c r="W673" s="118" t="s">
        <v>2009</v>
      </c>
      <c r="X673" s="119" t="s">
        <v>40</v>
      </c>
      <c r="Y673" s="120">
        <v>46175</v>
      </c>
      <c r="Z673" s="120">
        <v>46176</v>
      </c>
      <c r="AA673" s="244">
        <v>914387</v>
      </c>
      <c r="AB673" s="241"/>
      <c r="AC673" s="241"/>
      <c r="AD673" s="244">
        <v>0</v>
      </c>
    </row>
    <row r="674" spans="1:30" s="270" customFormat="1" ht="18" customHeight="1">
      <c r="A674" s="396">
        <v>30508</v>
      </c>
      <c r="B674" s="405">
        <v>1</v>
      </c>
      <c r="C674" s="404">
        <v>46170</v>
      </c>
      <c r="D674" s="386">
        <f t="shared" ca="1" si="26"/>
        <v>57</v>
      </c>
      <c r="E674" s="170" t="str">
        <f t="shared" si="27"/>
        <v>CANCELADA</v>
      </c>
      <c r="F674" s="397" t="s">
        <v>28</v>
      </c>
      <c r="G674" s="392" t="s">
        <v>60</v>
      </c>
      <c r="H674" s="139" t="s">
        <v>52</v>
      </c>
      <c r="I674" s="139" t="str">
        <f>IF(X674="ADMITIDO","ADMITIDO",IF(X674="CANCELADA","CANCELADA",IF(H674="","",IFERROR(_xlfn.XLOOKUP(H674,Listas!I:I,Listas!J:J),"OUTROS"))))</f>
        <v>CANCELADA</v>
      </c>
      <c r="J674" s="240" t="s">
        <v>268</v>
      </c>
      <c r="K674" s="125" t="s">
        <v>986</v>
      </c>
      <c r="L674" s="240" t="s">
        <v>246</v>
      </c>
      <c r="M674" s="240"/>
      <c r="N674" s="240" t="s">
        <v>63</v>
      </c>
      <c r="O674" s="119" t="s">
        <v>34</v>
      </c>
      <c r="P674" s="119" t="s">
        <v>35</v>
      </c>
      <c r="Q674" s="119" t="s">
        <v>612</v>
      </c>
      <c r="R674" s="241" t="s">
        <v>2010</v>
      </c>
      <c r="S674" s="242"/>
      <c r="T674" s="243"/>
      <c r="U674" s="73"/>
      <c r="V674" s="216"/>
      <c r="W674" s="118"/>
      <c r="X674" s="119"/>
      <c r="Y674" s="120"/>
      <c r="Z674" s="120"/>
      <c r="AA674" s="244"/>
      <c r="AB674" s="241" t="s">
        <v>2011</v>
      </c>
      <c r="AC674" s="241" t="s">
        <v>1295</v>
      </c>
      <c r="AD674" s="244">
        <v>0</v>
      </c>
    </row>
    <row r="675" spans="1:30" s="270" customFormat="1" ht="18" customHeight="1">
      <c r="A675" s="374">
        <v>30505</v>
      </c>
      <c r="B675" s="376">
        <v>1</v>
      </c>
      <c r="C675" s="375">
        <v>46170</v>
      </c>
      <c r="D675" s="367">
        <f t="shared" ca="1" si="26"/>
        <v>57</v>
      </c>
      <c r="E675" s="368" t="str">
        <f t="shared" si="27"/>
        <v>CANCELADA</v>
      </c>
      <c r="F675" s="371" t="s">
        <v>42</v>
      </c>
      <c r="G675" s="369" t="s">
        <v>663</v>
      </c>
      <c r="H675" s="146" t="s">
        <v>52</v>
      </c>
      <c r="I675" s="146" t="str">
        <f>IF(X675="ADMITIDO","ADMITIDO",IF(X675="CANCELADA","CANCELADA",IF(H675="","",IFERROR(_xlfn.XLOOKUP(H675,Listas!I:I,Listas!J:J),"OUTROS"))))</f>
        <v>CANCELADA</v>
      </c>
      <c r="J675" s="240" t="s">
        <v>53</v>
      </c>
      <c r="K675" s="240" t="s">
        <v>54</v>
      </c>
      <c r="L675" s="240" t="s">
        <v>164</v>
      </c>
      <c r="M675" s="240"/>
      <c r="N675" s="240" t="s">
        <v>88</v>
      </c>
      <c r="O675" s="119" t="s">
        <v>56</v>
      </c>
      <c r="P675" s="119" t="s">
        <v>2012</v>
      </c>
      <c r="Q675" s="119" t="s">
        <v>165</v>
      </c>
      <c r="R675" s="241"/>
      <c r="S675" s="242"/>
      <c r="T675" s="243"/>
      <c r="U675" s="73"/>
      <c r="V675" s="216"/>
      <c r="W675" s="118"/>
      <c r="X675" s="119" t="s">
        <v>52</v>
      </c>
      <c r="Y675" s="120"/>
      <c r="Z675" s="120"/>
      <c r="AA675" s="244"/>
      <c r="AB675" s="241" t="s">
        <v>2013</v>
      </c>
      <c r="AC675" s="241" t="s">
        <v>1295</v>
      </c>
      <c r="AD675" s="244">
        <v>0</v>
      </c>
    </row>
    <row r="676" spans="1:30" s="270" customFormat="1" ht="18" customHeight="1">
      <c r="A676" s="237">
        <v>30520</v>
      </c>
      <c r="B676" s="121">
        <v>1</v>
      </c>
      <c r="C676" s="238">
        <v>46170</v>
      </c>
      <c r="D676" s="105">
        <f t="shared" ca="1" si="26"/>
        <v>57</v>
      </c>
      <c r="E676" s="138" t="str">
        <f t="shared" si="27"/>
        <v>ADMITIDO</v>
      </c>
      <c r="F676" s="230" t="s">
        <v>42</v>
      </c>
      <c r="G676" s="147" t="s">
        <v>69</v>
      </c>
      <c r="H676" s="117" t="s">
        <v>40</v>
      </c>
      <c r="I676" s="117" t="str">
        <f>IF(X676="ADMITIDO","ADMITIDO",IF(X676="CANCELADA","CANCELADA",IF(H676="","",IFERROR(_xlfn.XLOOKUP(H676,Listas!I:I,Listas!J:J),"OUTROS"))))</f>
        <v>ADMITIDO</v>
      </c>
      <c r="J676" s="363" t="s">
        <v>53</v>
      </c>
      <c r="K676" s="240" t="s">
        <v>158</v>
      </c>
      <c r="L676" s="240" t="s">
        <v>159</v>
      </c>
      <c r="M676" s="240"/>
      <c r="N676" s="240" t="s">
        <v>63</v>
      </c>
      <c r="O676" s="119" t="s">
        <v>34</v>
      </c>
      <c r="P676" s="119" t="s">
        <v>57</v>
      </c>
      <c r="Q676" s="119" t="s">
        <v>220</v>
      </c>
      <c r="R676" s="241"/>
      <c r="S676" s="242"/>
      <c r="T676" s="243"/>
      <c r="U676" s="73" t="s">
        <v>132</v>
      </c>
      <c r="V676" s="216">
        <v>46188</v>
      </c>
      <c r="W676" s="118" t="s">
        <v>2014</v>
      </c>
      <c r="X676" s="119" t="s">
        <v>40</v>
      </c>
      <c r="Y676" s="120">
        <v>46195</v>
      </c>
      <c r="Z676" s="120">
        <v>46197</v>
      </c>
      <c r="AA676" s="244">
        <v>146137</v>
      </c>
      <c r="AB676" s="241"/>
      <c r="AC676" s="241"/>
      <c r="AD676" s="244">
        <v>0</v>
      </c>
    </row>
    <row r="677" spans="1:30" s="270" customFormat="1" ht="18" customHeight="1">
      <c r="A677" s="237">
        <v>30518</v>
      </c>
      <c r="B677" s="121">
        <v>1</v>
      </c>
      <c r="C677" s="238">
        <v>46170</v>
      </c>
      <c r="D677" s="105">
        <f t="shared" ca="1" si="26"/>
        <v>57</v>
      </c>
      <c r="E677" s="138" t="str">
        <f t="shared" si="27"/>
        <v>ADMITIDO</v>
      </c>
      <c r="F677" s="230" t="s">
        <v>42</v>
      </c>
      <c r="G677" s="147" t="s">
        <v>29</v>
      </c>
      <c r="H677" s="117" t="s">
        <v>40</v>
      </c>
      <c r="I677" s="117" t="str">
        <f>IF(X677="ADMITIDO","ADMITIDO",IF(X677="CANCELADA","CANCELADA",IF(H677="","",IFERROR(_xlfn.XLOOKUP(H677,Listas!I:I,Listas!J:J),"OUTROS"))))</f>
        <v>ADMITIDO</v>
      </c>
      <c r="J677" s="363" t="s">
        <v>53</v>
      </c>
      <c r="K677" s="240" t="s">
        <v>228</v>
      </c>
      <c r="L677" s="240" t="s">
        <v>807</v>
      </c>
      <c r="M677" s="240"/>
      <c r="N677" s="240" t="s">
        <v>88</v>
      </c>
      <c r="O677" s="119" t="s">
        <v>34</v>
      </c>
      <c r="P677" s="119" t="s">
        <v>57</v>
      </c>
      <c r="Q677" s="119" t="s">
        <v>619</v>
      </c>
      <c r="R677" s="234"/>
      <c r="S677" s="273"/>
      <c r="T677" s="299" t="s">
        <v>2015</v>
      </c>
      <c r="U677" s="73" t="s">
        <v>38</v>
      </c>
      <c r="V677" s="216">
        <v>46301</v>
      </c>
      <c r="W677" s="118" t="s">
        <v>2016</v>
      </c>
      <c r="X677" s="119" t="s">
        <v>40</v>
      </c>
      <c r="Y677" s="120">
        <v>46188</v>
      </c>
      <c r="Z677" s="120">
        <v>46190</v>
      </c>
      <c r="AA677" s="244">
        <v>914442</v>
      </c>
      <c r="AB677" s="241"/>
      <c r="AC677" s="241"/>
      <c r="AD677" s="244">
        <v>0</v>
      </c>
    </row>
    <row r="678" spans="1:30" s="270" customFormat="1" ht="18" customHeight="1">
      <c r="A678" s="402">
        <v>30519</v>
      </c>
      <c r="B678" s="406">
        <v>1</v>
      </c>
      <c r="C678" s="403">
        <v>46170</v>
      </c>
      <c r="D678" s="380">
        <f t="shared" ca="1" si="26"/>
        <v>57</v>
      </c>
      <c r="E678" s="381" t="str">
        <f t="shared" si="27"/>
        <v>CANCELADA</v>
      </c>
      <c r="F678" s="395" t="s">
        <v>42</v>
      </c>
      <c r="G678" s="390" t="s">
        <v>60</v>
      </c>
      <c r="H678" s="382" t="s">
        <v>52</v>
      </c>
      <c r="I678" s="382" t="str">
        <f>IF(X678="ADMITIDO","ADMITIDO",IF(X678="CANCELADA","CANCELADA",IF(H678="","",IFERROR(_xlfn.XLOOKUP(H678,Listas!I:I,Listas!J:J),"OUTROS"))))</f>
        <v>CANCELADA</v>
      </c>
      <c r="J678" s="240" t="s">
        <v>163</v>
      </c>
      <c r="K678" s="240" t="s">
        <v>61</v>
      </c>
      <c r="L678" s="240" t="s">
        <v>600</v>
      </c>
      <c r="M678" s="240"/>
      <c r="N678" s="240" t="s">
        <v>63</v>
      </c>
      <c r="O678" s="119" t="s">
        <v>34</v>
      </c>
      <c r="P678" s="119" t="s">
        <v>57</v>
      </c>
      <c r="Q678" s="119" t="s">
        <v>98</v>
      </c>
      <c r="R678" s="234" t="s">
        <v>2017</v>
      </c>
      <c r="S678" s="273"/>
      <c r="T678" s="273"/>
      <c r="U678" s="73"/>
      <c r="V678" s="216"/>
      <c r="W678" s="118"/>
      <c r="X678" s="119"/>
      <c r="Y678" s="120"/>
      <c r="Z678" s="120"/>
      <c r="AA678" s="244"/>
      <c r="AB678" s="241"/>
      <c r="AC678" s="241" t="s">
        <v>1512</v>
      </c>
      <c r="AD678" s="244">
        <v>0</v>
      </c>
    </row>
    <row r="679" spans="1:30" s="251" customFormat="1" ht="18" customHeight="1">
      <c r="A679" s="237">
        <v>30509</v>
      </c>
      <c r="B679" s="121">
        <v>1</v>
      </c>
      <c r="C679" s="238">
        <v>46170</v>
      </c>
      <c r="D679" s="105">
        <f t="shared" ca="1" si="26"/>
        <v>57</v>
      </c>
      <c r="E679" s="138" t="str">
        <f t="shared" si="27"/>
        <v>ADMITIDO</v>
      </c>
      <c r="F679" s="230" t="s">
        <v>28</v>
      </c>
      <c r="G679" s="147" t="s">
        <v>60</v>
      </c>
      <c r="H679" s="117" t="s">
        <v>40</v>
      </c>
      <c r="I679" s="117" t="str">
        <f>IF(X679="ADMITIDO","ADMITIDO",IF(X679="CANCELADA","CANCELADA",IF(H679="","",IFERROR(_xlfn.XLOOKUP(H679,Listas!I:I,Listas!J:J),"OUTROS"))))</f>
        <v>ADMITIDO</v>
      </c>
      <c r="J679" s="363" t="s">
        <v>683</v>
      </c>
      <c r="K679" s="240" t="s">
        <v>318</v>
      </c>
      <c r="L679" s="240" t="s">
        <v>776</v>
      </c>
      <c r="M679" s="240"/>
      <c r="N679" s="240" t="s">
        <v>391</v>
      </c>
      <c r="O679" s="119" t="s">
        <v>56</v>
      </c>
      <c r="P679" s="119" t="s">
        <v>35</v>
      </c>
      <c r="Q679" s="119" t="s">
        <v>176</v>
      </c>
      <c r="R679" s="234"/>
      <c r="S679" s="273" t="s">
        <v>65</v>
      </c>
      <c r="T679" s="274" t="s">
        <v>2018</v>
      </c>
      <c r="U679" s="73" t="s">
        <v>109</v>
      </c>
      <c r="V679" s="216">
        <v>46176</v>
      </c>
      <c r="W679" s="118" t="s">
        <v>2019</v>
      </c>
      <c r="X679" s="119" t="s">
        <v>40</v>
      </c>
      <c r="Y679" s="120">
        <v>46181</v>
      </c>
      <c r="Z679" s="120">
        <v>46183</v>
      </c>
      <c r="AA679" s="244">
        <v>914402</v>
      </c>
      <c r="AB679" s="241"/>
      <c r="AC679" s="241"/>
      <c r="AD679" s="244">
        <v>0</v>
      </c>
    </row>
    <row r="680" spans="1:30" s="251" customFormat="1" ht="18" customHeight="1">
      <c r="A680" s="374">
        <v>30510</v>
      </c>
      <c r="B680" s="376">
        <v>1</v>
      </c>
      <c r="C680" s="375">
        <v>46170</v>
      </c>
      <c r="D680" s="367">
        <f t="shared" ca="1" si="26"/>
        <v>57</v>
      </c>
      <c r="E680" s="368" t="str">
        <f t="shared" si="27"/>
        <v>ADMITIDO</v>
      </c>
      <c r="F680" s="371" t="s">
        <v>28</v>
      </c>
      <c r="G680" s="369" t="s">
        <v>240</v>
      </c>
      <c r="H680" s="146" t="s">
        <v>40</v>
      </c>
      <c r="I680" s="146" t="str">
        <f>IF(X680="ADMITIDO","ADMITIDO",IF(X680="CANCELADA","CANCELADA",IF(H680="","",IFERROR(_xlfn.XLOOKUP(H680,Listas!I:I,Listas!J:J),"OUTROS"))))</f>
        <v>ADMITIDO</v>
      </c>
      <c r="J680" s="414" t="s">
        <v>268</v>
      </c>
      <c r="K680" s="415" t="s">
        <v>676</v>
      </c>
      <c r="L680" s="415" t="s">
        <v>112</v>
      </c>
      <c r="M680" s="415"/>
      <c r="N680" s="415" t="s">
        <v>63</v>
      </c>
      <c r="O680" s="303" t="s">
        <v>56</v>
      </c>
      <c r="P680" s="303" t="s">
        <v>35</v>
      </c>
      <c r="Q680" s="303" t="s">
        <v>176</v>
      </c>
      <c r="R680" s="418"/>
      <c r="S680" s="419" t="s">
        <v>1229</v>
      </c>
      <c r="T680" s="345" t="s">
        <v>2020</v>
      </c>
      <c r="U680" s="326" t="s">
        <v>109</v>
      </c>
      <c r="V680" s="313">
        <v>46182</v>
      </c>
      <c r="W680" s="302" t="s">
        <v>2021</v>
      </c>
      <c r="X680" s="303" t="s">
        <v>40</v>
      </c>
      <c r="Y680" s="304">
        <v>46184</v>
      </c>
      <c r="Z680" s="304">
        <v>46185</v>
      </c>
      <c r="AA680" s="314">
        <v>914429</v>
      </c>
      <c r="AB680" s="346" t="s">
        <v>2022</v>
      </c>
      <c r="AC680" s="346"/>
      <c r="AD680" s="314">
        <v>1</v>
      </c>
    </row>
    <row r="681" spans="1:30" s="251" customFormat="1" ht="18" customHeight="1">
      <c r="A681" s="237">
        <v>30512</v>
      </c>
      <c r="B681" s="121">
        <v>1</v>
      </c>
      <c r="C681" s="238">
        <v>46170</v>
      </c>
      <c r="D681" s="105">
        <f t="shared" ca="1" si="26"/>
        <v>57</v>
      </c>
      <c r="E681" s="138" t="str">
        <f t="shared" ca="1" si="27"/>
        <v>CRÍTICO</v>
      </c>
      <c r="F681" s="230" t="s">
        <v>42</v>
      </c>
      <c r="G681" s="147" t="s">
        <v>102</v>
      </c>
      <c r="H681" s="117" t="s">
        <v>334</v>
      </c>
      <c r="I681" s="117" t="str">
        <f>IF(X681="ADMITIDO","ADMITIDO",IF(X681="CANCELADA","CANCELADA",IF(H681="","",IFERROR(_xlfn.XLOOKUP(H681,Listas!I:I,Listas!J:J),"OUTROS"))))</f>
        <v>DOCUMENTAÇÃO</v>
      </c>
      <c r="J681" s="240" t="s">
        <v>44</v>
      </c>
      <c r="K681" s="240" t="s">
        <v>103</v>
      </c>
      <c r="L681" s="240" t="s">
        <v>2023</v>
      </c>
      <c r="M681" s="240"/>
      <c r="N681" s="240" t="s">
        <v>274</v>
      </c>
      <c r="O681" s="119" t="s">
        <v>34</v>
      </c>
      <c r="P681" s="119" t="s">
        <v>48</v>
      </c>
      <c r="Q681" s="119" t="s">
        <v>275</v>
      </c>
      <c r="R681" s="273"/>
      <c r="S681" s="273" t="s">
        <v>1533</v>
      </c>
      <c r="T681" s="234" t="s">
        <v>2024</v>
      </c>
      <c r="U681" s="73"/>
      <c r="V681" s="216">
        <v>46223</v>
      </c>
      <c r="W681" s="118" t="s">
        <v>2025</v>
      </c>
      <c r="X681" s="119"/>
      <c r="Y681" s="120"/>
      <c r="Z681" s="120"/>
      <c r="AA681" s="244"/>
      <c r="AB681" s="118" t="s">
        <v>2026</v>
      </c>
      <c r="AC681" s="241"/>
      <c r="AD681" s="244">
        <v>1</v>
      </c>
    </row>
    <row r="682" spans="1:30" s="251" customFormat="1" ht="18" customHeight="1">
      <c r="A682" s="402">
        <v>30511</v>
      </c>
      <c r="B682" s="406">
        <v>1</v>
      </c>
      <c r="C682" s="403">
        <v>46170</v>
      </c>
      <c r="D682" s="380">
        <f t="shared" ca="1" si="26"/>
        <v>57</v>
      </c>
      <c r="E682" s="381" t="str">
        <f t="shared" si="27"/>
        <v>CANCELADA</v>
      </c>
      <c r="F682" s="395" t="s">
        <v>42</v>
      </c>
      <c r="G682" s="390" t="s">
        <v>43</v>
      </c>
      <c r="H682" s="382" t="s">
        <v>52</v>
      </c>
      <c r="I682" s="382" t="str">
        <f>IF(X682="ADMITIDO","ADMITIDO",IF(X682="CANCELADA","CANCELADA",IF(H682="","",IFERROR(_xlfn.XLOOKUP(H682,Listas!I:I,Listas!J:J),"OUTROS"))))</f>
        <v>CANCELADA</v>
      </c>
      <c r="J682" s="428" t="s">
        <v>198</v>
      </c>
      <c r="K682" s="428" t="s">
        <v>45</v>
      </c>
      <c r="L682" s="428" t="s">
        <v>46</v>
      </c>
      <c r="M682" s="428"/>
      <c r="N682" s="428" t="s">
        <v>47</v>
      </c>
      <c r="O682" s="308" t="s">
        <v>34</v>
      </c>
      <c r="P682" s="308" t="s">
        <v>48</v>
      </c>
      <c r="Q682" s="308" t="s">
        <v>49</v>
      </c>
      <c r="R682"/>
      <c r="S682" s="432"/>
      <c r="T682" s="431"/>
      <c r="U682" s="327"/>
      <c r="V682" s="315"/>
      <c r="W682" s="310"/>
      <c r="X682" s="308"/>
      <c r="Y682" s="309"/>
      <c r="Z682" s="309"/>
      <c r="AA682" s="316"/>
      <c r="AB682" s="351"/>
      <c r="AC682" s="351" t="s">
        <v>2027</v>
      </c>
      <c r="AD682" s="316">
        <v>0</v>
      </c>
    </row>
    <row r="683" spans="1:30" s="251" customFormat="1" ht="18" customHeight="1">
      <c r="A683" s="237">
        <v>30513</v>
      </c>
      <c r="B683" s="121">
        <v>1</v>
      </c>
      <c r="C683" s="238">
        <v>46170</v>
      </c>
      <c r="D683" s="105">
        <f t="shared" ca="1" si="26"/>
        <v>57</v>
      </c>
      <c r="E683" s="138" t="str">
        <f t="shared" si="27"/>
        <v>ADMITIDO</v>
      </c>
      <c r="F683" s="230" t="s">
        <v>42</v>
      </c>
      <c r="G683" s="147" t="s">
        <v>69</v>
      </c>
      <c r="H683" s="117" t="s">
        <v>40</v>
      </c>
      <c r="I683" s="117" t="str">
        <f>IF(X683="ADMITIDO","ADMITIDO",IF(X683="CANCELADA","CANCELADA",IF(H683="","",IFERROR(_xlfn.XLOOKUP(H683,Listas!I:I,Listas!J:J),"OUTROS"))))</f>
        <v>ADMITIDO</v>
      </c>
      <c r="J683" s="363" t="s">
        <v>53</v>
      </c>
      <c r="K683" s="240" t="s">
        <v>158</v>
      </c>
      <c r="L683" s="240" t="s">
        <v>1040</v>
      </c>
      <c r="M683" s="240"/>
      <c r="N683" s="240" t="s">
        <v>63</v>
      </c>
      <c r="O683" s="119" t="s">
        <v>34</v>
      </c>
      <c r="P683" s="119" t="s">
        <v>72</v>
      </c>
      <c r="Q683" s="119" t="s">
        <v>238</v>
      </c>
      <c r="R683" s="234"/>
      <c r="S683" s="273"/>
      <c r="T683" s="234"/>
      <c r="U683" s="73" t="s">
        <v>76</v>
      </c>
      <c r="V683" s="216">
        <v>46185</v>
      </c>
      <c r="W683" s="118" t="s">
        <v>2028</v>
      </c>
      <c r="X683" s="119" t="s">
        <v>40</v>
      </c>
      <c r="Y683" s="120">
        <v>46190</v>
      </c>
      <c r="Z683" s="120">
        <v>46191</v>
      </c>
      <c r="AA683" s="244">
        <v>914461</v>
      </c>
      <c r="AB683" s="241"/>
      <c r="AC683" s="241"/>
      <c r="AD683" s="244">
        <v>0</v>
      </c>
    </row>
    <row r="684" spans="1:30" s="251" customFormat="1" ht="18" customHeight="1">
      <c r="A684" s="237">
        <v>30517</v>
      </c>
      <c r="B684" s="121">
        <v>1</v>
      </c>
      <c r="C684" s="238">
        <v>46170</v>
      </c>
      <c r="D684" s="105">
        <f t="shared" ca="1" si="26"/>
        <v>57</v>
      </c>
      <c r="E684" s="138" t="str">
        <f t="shared" si="27"/>
        <v>ADMITIDO</v>
      </c>
      <c r="F684" s="230" t="s">
        <v>28</v>
      </c>
      <c r="G684" s="147" t="s">
        <v>60</v>
      </c>
      <c r="H684" s="117" t="s">
        <v>40</v>
      </c>
      <c r="I684" s="117" t="str">
        <f>IF(X684="ADMITIDO","ADMITIDO",IF(X684="CANCELADA","CANCELADA",IF(H684="","",IFERROR(_xlfn.XLOOKUP(H684,Listas!I:I,Listas!J:J),"OUTROS"))))</f>
        <v>ADMITIDO</v>
      </c>
      <c r="J684" s="363" t="s">
        <v>268</v>
      </c>
      <c r="K684" s="240" t="s">
        <v>54</v>
      </c>
      <c r="L684" s="240" t="s">
        <v>1017</v>
      </c>
      <c r="M684" s="240"/>
      <c r="N684" s="240" t="s">
        <v>435</v>
      </c>
      <c r="O684" s="119" t="s">
        <v>34</v>
      </c>
      <c r="P684" s="119" t="s">
        <v>35</v>
      </c>
      <c r="Q684" s="119" t="s">
        <v>362</v>
      </c>
      <c r="R684" s="234"/>
      <c r="S684" s="273"/>
      <c r="T684" s="234"/>
      <c r="U684" s="73" t="s">
        <v>109</v>
      </c>
      <c r="V684" s="220">
        <v>46169</v>
      </c>
      <c r="W684" s="203" t="s">
        <v>2029</v>
      </c>
      <c r="X684" s="227" t="s">
        <v>40</v>
      </c>
      <c r="Y684" s="249">
        <v>46171</v>
      </c>
      <c r="Z684" s="249">
        <v>46175</v>
      </c>
      <c r="AA684" s="256">
        <v>914382</v>
      </c>
      <c r="AB684" s="74" t="s">
        <v>1169</v>
      </c>
      <c r="AC684" s="241"/>
      <c r="AD684" s="244">
        <v>0</v>
      </c>
    </row>
    <row r="685" spans="1:30" s="251" customFormat="1" ht="18" customHeight="1">
      <c r="A685" s="374">
        <v>30516</v>
      </c>
      <c r="B685" s="376">
        <v>1</v>
      </c>
      <c r="C685" s="375">
        <v>46170</v>
      </c>
      <c r="D685" s="367">
        <f t="shared" ca="1" si="26"/>
        <v>57</v>
      </c>
      <c r="E685" s="368" t="str">
        <f t="shared" si="27"/>
        <v>ADMITIDO</v>
      </c>
      <c r="F685" s="371" t="s">
        <v>119</v>
      </c>
      <c r="G685" s="371" t="s">
        <v>821</v>
      </c>
      <c r="H685" s="146" t="s">
        <v>40</v>
      </c>
      <c r="I685" s="146" t="str">
        <f>IF(X685="ADMITIDO","ADMITIDO",IF(X685="CANCELADA","CANCELADA",IF(H685="","",IFERROR(_xlfn.XLOOKUP(H685,Listas!I:I,Listas!J:J),"OUTROS"))))</f>
        <v>ADMITIDO</v>
      </c>
      <c r="J685" s="414" t="s">
        <v>1252</v>
      </c>
      <c r="K685" s="415" t="s">
        <v>1253</v>
      </c>
      <c r="L685" s="415" t="s">
        <v>1254</v>
      </c>
      <c r="M685" s="415"/>
      <c r="N685" s="415" t="s">
        <v>119</v>
      </c>
      <c r="O685" s="303" t="s">
        <v>34</v>
      </c>
      <c r="P685" s="303" t="s">
        <v>48</v>
      </c>
      <c r="Q685" s="303" t="s">
        <v>441</v>
      </c>
      <c r="R685" s="418" t="s">
        <v>2030</v>
      </c>
      <c r="S685" s="419" t="s">
        <v>2031</v>
      </c>
      <c r="T685" s="345"/>
      <c r="U685" s="326" t="s">
        <v>132</v>
      </c>
      <c r="V685" s="313">
        <v>46181</v>
      </c>
      <c r="W685" s="302" t="s">
        <v>2032</v>
      </c>
      <c r="X685" s="303" t="s">
        <v>40</v>
      </c>
      <c r="Y685" s="304">
        <v>46188</v>
      </c>
      <c r="Z685" s="304">
        <v>46188</v>
      </c>
      <c r="AA685" s="314">
        <v>146088</v>
      </c>
      <c r="AB685" s="346" t="s">
        <v>2033</v>
      </c>
      <c r="AC685" s="346"/>
      <c r="AD685" s="314">
        <v>2</v>
      </c>
    </row>
    <row r="686" spans="1:30" s="251" customFormat="1" ht="18" customHeight="1">
      <c r="A686" s="237">
        <v>30533</v>
      </c>
      <c r="B686" s="121">
        <v>1</v>
      </c>
      <c r="C686" s="238">
        <v>46171</v>
      </c>
      <c r="D686" s="105">
        <f t="shared" ca="1" si="26"/>
        <v>56</v>
      </c>
      <c r="E686" s="138" t="str">
        <f t="shared" ca="1" si="27"/>
        <v>CRÍTICO</v>
      </c>
      <c r="F686" s="230" t="s">
        <v>42</v>
      </c>
      <c r="G686" s="147" t="s">
        <v>663</v>
      </c>
      <c r="H686" s="117" t="s">
        <v>259</v>
      </c>
      <c r="I686" s="117" t="str">
        <f>IF(X686="ADMITIDO","ADMITIDO",IF(X686="CANCELADA","CANCELADA",IF(H686="","",IFERROR(_xlfn.XLOOKUP(H686,Listas!I:I,Listas!J:J),"OUTROS"))))</f>
        <v>TRIAGEM</v>
      </c>
      <c r="J686" s="240" t="s">
        <v>44</v>
      </c>
      <c r="K686" s="240" t="s">
        <v>228</v>
      </c>
      <c r="L686" s="240" t="s">
        <v>229</v>
      </c>
      <c r="M686" s="240"/>
      <c r="N686" s="240" t="s">
        <v>88</v>
      </c>
      <c r="O686" s="119" t="s">
        <v>34</v>
      </c>
      <c r="P686" s="119" t="s">
        <v>57</v>
      </c>
      <c r="Q686" s="119" t="s">
        <v>561</v>
      </c>
      <c r="R686" s="234"/>
      <c r="S686" s="273"/>
      <c r="T686" s="118"/>
      <c r="U686" s="73"/>
      <c r="V686" s="216"/>
      <c r="W686" s="245"/>
      <c r="X686" s="119"/>
      <c r="Y686" s="120"/>
      <c r="Z686" s="120"/>
      <c r="AA686" s="244"/>
      <c r="AB686" s="241" t="s">
        <v>2034</v>
      </c>
      <c r="AC686" s="241"/>
      <c r="AD686" s="244">
        <v>1</v>
      </c>
    </row>
    <row r="687" spans="1:30" s="251" customFormat="1" ht="18" customHeight="1">
      <c r="A687" s="396">
        <v>30521</v>
      </c>
      <c r="B687" s="405">
        <v>1</v>
      </c>
      <c r="C687" s="404">
        <v>46171</v>
      </c>
      <c r="D687" s="386">
        <f t="shared" ca="1" si="26"/>
        <v>56</v>
      </c>
      <c r="E687" s="170" t="str">
        <f t="shared" si="27"/>
        <v>CANCELADA</v>
      </c>
      <c r="F687" s="397" t="s">
        <v>42</v>
      </c>
      <c r="G687" s="392" t="s">
        <v>663</v>
      </c>
      <c r="H687" s="139" t="s">
        <v>52</v>
      </c>
      <c r="I687" s="139" t="str">
        <f>IF(X687="ADMITIDO","ADMITIDO",IF(X687="CANCELADA","CANCELADA",IF(H687="","",IFERROR(_xlfn.XLOOKUP(H687,Listas!I:I,Listas!J:J),"OUTROS"))))</f>
        <v>CANCELADA</v>
      </c>
      <c r="J687" s="428" t="s">
        <v>53</v>
      </c>
      <c r="K687" s="428" t="s">
        <v>54</v>
      </c>
      <c r="L687" s="428" t="s">
        <v>164</v>
      </c>
      <c r="M687" s="428"/>
      <c r="N687" s="428" t="s">
        <v>88</v>
      </c>
      <c r="O687" s="308" t="s">
        <v>34</v>
      </c>
      <c r="P687" s="308" t="s">
        <v>57</v>
      </c>
      <c r="Q687" s="308" t="s">
        <v>231</v>
      </c>
      <c r="R687" s="431"/>
      <c r="S687" s="432"/>
      <c r="T687" s="431"/>
      <c r="U687" s="327"/>
      <c r="V687" s="315"/>
      <c r="W687" s="310"/>
      <c r="X687" s="308"/>
      <c r="Y687" s="309"/>
      <c r="Z687" s="309"/>
      <c r="AA687" s="316"/>
      <c r="AB687" s="351"/>
      <c r="AC687" s="351" t="s">
        <v>1992</v>
      </c>
      <c r="AD687" s="316">
        <v>0</v>
      </c>
    </row>
    <row r="688" spans="1:30" s="251" customFormat="1" ht="18" customHeight="1">
      <c r="A688" s="237">
        <v>30536</v>
      </c>
      <c r="B688" s="121">
        <v>1</v>
      </c>
      <c r="C688" s="238">
        <v>46171</v>
      </c>
      <c r="D688" s="105">
        <f t="shared" ca="1" si="26"/>
        <v>56</v>
      </c>
      <c r="E688" s="138" t="str">
        <f t="shared" si="27"/>
        <v>CANCELADA</v>
      </c>
      <c r="F688" s="230" t="s">
        <v>42</v>
      </c>
      <c r="G688" s="147" t="s">
        <v>29</v>
      </c>
      <c r="H688" s="117" t="s">
        <v>52</v>
      </c>
      <c r="I688" s="117" t="str">
        <f>IF(X688="ADMITIDO","ADMITIDO",IF(X688="CANCELADA","CANCELADA",IF(H688="","",IFERROR(_xlfn.XLOOKUP(H688,Listas!I:I,Listas!J:J),"OUTROS"))))</f>
        <v>CANCELADA</v>
      </c>
      <c r="J688" s="240" t="s">
        <v>53</v>
      </c>
      <c r="K688" s="240" t="s">
        <v>54</v>
      </c>
      <c r="L688" s="240" t="s">
        <v>164</v>
      </c>
      <c r="M688" s="240"/>
      <c r="N688" s="240" t="s">
        <v>88</v>
      </c>
      <c r="O688" s="119" t="s">
        <v>34</v>
      </c>
      <c r="P688" s="119" t="s">
        <v>57</v>
      </c>
      <c r="Q688" s="119" t="s">
        <v>94</v>
      </c>
      <c r="R688" s="234"/>
      <c r="S688" s="273"/>
      <c r="T688" s="234"/>
      <c r="U688" s="73"/>
      <c r="V688" s="216"/>
      <c r="W688" s="118"/>
      <c r="X688" s="119" t="s">
        <v>52</v>
      </c>
      <c r="Y688" s="120"/>
      <c r="Z688" s="120"/>
      <c r="AA688" s="244"/>
      <c r="AB688" s="241" t="s">
        <v>2035</v>
      </c>
      <c r="AC688" s="241" t="s">
        <v>1295</v>
      </c>
      <c r="AD688" s="244">
        <v>0</v>
      </c>
    </row>
    <row r="689" spans="1:30" s="251" customFormat="1" ht="18" customHeight="1">
      <c r="A689" s="237">
        <v>30537</v>
      </c>
      <c r="B689" s="121">
        <v>1</v>
      </c>
      <c r="C689" s="238">
        <v>46171</v>
      </c>
      <c r="D689" s="105">
        <f t="shared" ref="D689:D725" ca="1" si="28">TODAY()-C689</f>
        <v>56</v>
      </c>
      <c r="E689" s="138" t="str">
        <f t="shared" ref="E689:E725" si="29">IF(X689="ADMITIDO","ADMITIDO",IF(X689="CANCELADA","CANCELADA",IF(H689="","",IF(H689="ADMITIDO","ADMITIDO",IF(H689="CANCELADA","CANCELADA",IF(OR(H689="ANALISE CANCELAMENTO",H689="ANÁLISE CANCELAMENTO"),"EM ANÁLISE",IF(D689="","",IF(D689&lt;=7,"NO PRAZO",IF(D689&lt;=14,"ATENÇÃO","CRÍTICO")))))))))</f>
        <v>CANCELADA</v>
      </c>
      <c r="F689" s="230" t="s">
        <v>42</v>
      </c>
      <c r="G689" s="147" t="s">
        <v>29</v>
      </c>
      <c r="H689" s="117" t="s">
        <v>52</v>
      </c>
      <c r="I689" s="117" t="str">
        <f>IF(X689="ADMITIDO","ADMITIDO",IF(X689="CANCELADA","CANCELADA",IF(H689="","",IFERROR(_xlfn.XLOOKUP(H689,Listas!I:I,Listas!J:J),"OUTROS"))))</f>
        <v>CANCELADA</v>
      </c>
      <c r="J689" s="240" t="s">
        <v>53</v>
      </c>
      <c r="K689" s="240" t="s">
        <v>54</v>
      </c>
      <c r="L689" s="240" t="s">
        <v>164</v>
      </c>
      <c r="M689" s="240"/>
      <c r="N689" s="240" t="s">
        <v>88</v>
      </c>
      <c r="O689" s="119" t="s">
        <v>34</v>
      </c>
      <c r="P689" s="119" t="s">
        <v>57</v>
      </c>
      <c r="Q689" s="119" t="s">
        <v>231</v>
      </c>
      <c r="R689" s="234"/>
      <c r="S689" s="273"/>
      <c r="T689" s="234"/>
      <c r="U689" s="73"/>
      <c r="V689" s="216"/>
      <c r="W689" s="118"/>
      <c r="X689" s="119"/>
      <c r="Y689" s="120"/>
      <c r="Z689" s="120"/>
      <c r="AA689" s="244"/>
      <c r="AB689" s="241"/>
      <c r="AC689" s="241" t="s">
        <v>1992</v>
      </c>
      <c r="AD689" s="244">
        <v>0</v>
      </c>
    </row>
    <row r="690" spans="1:30" s="251" customFormat="1" ht="18" customHeight="1">
      <c r="A690" s="374">
        <v>30538</v>
      </c>
      <c r="B690" s="376">
        <v>1</v>
      </c>
      <c r="C690" s="375">
        <v>46171</v>
      </c>
      <c r="D690" s="367">
        <f t="shared" ca="1" si="28"/>
        <v>56</v>
      </c>
      <c r="E690" s="368" t="str">
        <f t="shared" si="29"/>
        <v>CANCELADA</v>
      </c>
      <c r="F690" s="371" t="s">
        <v>42</v>
      </c>
      <c r="G690" s="369" t="s">
        <v>29</v>
      </c>
      <c r="H690" s="146" t="s">
        <v>52</v>
      </c>
      <c r="I690" s="146" t="str">
        <f>IF(X690="ADMITIDO","ADMITIDO",IF(X690="CANCELADA","CANCELADA",IF(H690="","",IFERROR(_xlfn.XLOOKUP(H690,Listas!I:I,Listas!J:J),"OUTROS"))))</f>
        <v>CANCELADA</v>
      </c>
      <c r="J690" s="415" t="s">
        <v>53</v>
      </c>
      <c r="K690" s="415" t="s">
        <v>54</v>
      </c>
      <c r="L690" s="415" t="s">
        <v>164</v>
      </c>
      <c r="M690" s="415"/>
      <c r="N690" s="415" t="s">
        <v>88</v>
      </c>
      <c r="O690" s="303" t="s">
        <v>34</v>
      </c>
      <c r="P690" s="303" t="s">
        <v>57</v>
      </c>
      <c r="Q690" s="303" t="s">
        <v>231</v>
      </c>
      <c r="R690" s="418"/>
      <c r="S690" s="419"/>
      <c r="T690" s="418"/>
      <c r="U690" s="326"/>
      <c r="V690" s="313"/>
      <c r="W690" s="302"/>
      <c r="X690" s="303" t="s">
        <v>52</v>
      </c>
      <c r="Y690" s="304"/>
      <c r="Z690" s="304"/>
      <c r="AA690" s="314"/>
      <c r="AB690" s="346" t="s">
        <v>2036</v>
      </c>
      <c r="AC690" s="346" t="s">
        <v>1295</v>
      </c>
      <c r="AD690" s="314">
        <v>0</v>
      </c>
    </row>
    <row r="691" spans="1:30" s="251" customFormat="1" ht="18" customHeight="1">
      <c r="A691" s="237">
        <v>30522</v>
      </c>
      <c r="B691" s="121">
        <v>1</v>
      </c>
      <c r="C691" s="238">
        <v>46171</v>
      </c>
      <c r="D691" s="105">
        <f t="shared" ca="1" si="28"/>
        <v>56</v>
      </c>
      <c r="E691" s="138" t="str">
        <f t="shared" si="29"/>
        <v>ADMITIDO</v>
      </c>
      <c r="F691" s="230" t="s">
        <v>42</v>
      </c>
      <c r="G691" s="147" t="s">
        <v>240</v>
      </c>
      <c r="H691" s="146" t="s">
        <v>40</v>
      </c>
      <c r="I691" s="117" t="str">
        <f>IF(X691="ADMITIDO","ADMITIDO",IF(X691="CANCELADA","CANCELADA",IF(H691="","",IFERROR(_xlfn.XLOOKUP(H691,Listas!I:I,Listas!J:J),"OUTROS"))))</f>
        <v>ADMITIDO</v>
      </c>
      <c r="J691" s="240" t="s">
        <v>53</v>
      </c>
      <c r="K691" s="240" t="s">
        <v>241</v>
      </c>
      <c r="L691" s="240" t="s">
        <v>307</v>
      </c>
      <c r="M691" s="240"/>
      <c r="N691" s="240" t="s">
        <v>243</v>
      </c>
      <c r="O691" s="119" t="s">
        <v>34</v>
      </c>
      <c r="P691" s="119" t="s">
        <v>57</v>
      </c>
      <c r="Q691" s="119" t="s">
        <v>308</v>
      </c>
      <c r="R691" s="234"/>
      <c r="S691" s="273" t="s">
        <v>65</v>
      </c>
      <c r="T691" s="234" t="s">
        <v>2037</v>
      </c>
      <c r="U691" s="73" t="s">
        <v>109</v>
      </c>
      <c r="V691" s="216">
        <v>46203</v>
      </c>
      <c r="W691" s="118" t="s">
        <v>2038</v>
      </c>
      <c r="X691" s="119" t="s">
        <v>40</v>
      </c>
      <c r="Y691" s="120">
        <v>46210</v>
      </c>
      <c r="Z691" s="120">
        <v>46212</v>
      </c>
      <c r="AA691" s="244">
        <v>146194</v>
      </c>
      <c r="AB691" s="241" t="s">
        <v>2039</v>
      </c>
      <c r="AC691" s="241"/>
      <c r="AD691" s="244">
        <v>1</v>
      </c>
    </row>
    <row r="692" spans="1:30" s="251" customFormat="1" ht="18" customHeight="1">
      <c r="A692" s="237">
        <v>30523</v>
      </c>
      <c r="B692" s="121">
        <v>1</v>
      </c>
      <c r="C692" s="238">
        <v>46171</v>
      </c>
      <c r="D692" s="105">
        <f t="shared" ca="1" si="28"/>
        <v>56</v>
      </c>
      <c r="E692" s="138" t="str">
        <f t="shared" si="29"/>
        <v>CANCELADA</v>
      </c>
      <c r="F692" s="230" t="s">
        <v>42</v>
      </c>
      <c r="G692" s="147" t="s">
        <v>240</v>
      </c>
      <c r="H692" s="117" t="s">
        <v>52</v>
      </c>
      <c r="I692" s="117" t="str">
        <f>IF(X692="ADMITIDO","ADMITIDO",IF(X692="CANCELADA","CANCELADA",IF(H692="","",IFERROR(_xlfn.XLOOKUP(H692,Listas!I:I,Listas!J:J),"OUTROS"))))</f>
        <v>CANCELADA</v>
      </c>
      <c r="J692" s="240" t="s">
        <v>53</v>
      </c>
      <c r="K692" s="240" t="s">
        <v>241</v>
      </c>
      <c r="L692" s="240" t="s">
        <v>307</v>
      </c>
      <c r="M692" s="240"/>
      <c r="N692" s="240" t="s">
        <v>243</v>
      </c>
      <c r="O692" s="119" t="s">
        <v>34</v>
      </c>
      <c r="P692" s="119" t="s">
        <v>57</v>
      </c>
      <c r="Q692" s="119" t="s">
        <v>231</v>
      </c>
      <c r="R692" s="234"/>
      <c r="S692" s="273"/>
      <c r="T692" s="234"/>
      <c r="U692" s="73"/>
      <c r="V692" s="216"/>
      <c r="W692" s="118"/>
      <c r="X692" s="119"/>
      <c r="Y692" s="120"/>
      <c r="Z692" s="120"/>
      <c r="AA692" s="244"/>
      <c r="AB692" s="241"/>
      <c r="AC692" s="241" t="s">
        <v>2040</v>
      </c>
      <c r="AD692" s="244">
        <v>0</v>
      </c>
    </row>
    <row r="693" spans="1:30" s="251" customFormat="1" ht="18" customHeight="1">
      <c r="A693" s="237">
        <v>30524</v>
      </c>
      <c r="B693" s="121">
        <v>1</v>
      </c>
      <c r="C693" s="238">
        <v>46171</v>
      </c>
      <c r="D693" s="105">
        <f t="shared" ca="1" si="28"/>
        <v>56</v>
      </c>
      <c r="E693" s="138" t="str">
        <f t="shared" ca="1" si="29"/>
        <v>CRÍTICO</v>
      </c>
      <c r="F693" s="230" t="s">
        <v>42</v>
      </c>
      <c r="G693" s="147" t="s">
        <v>240</v>
      </c>
      <c r="H693" s="117" t="s">
        <v>91</v>
      </c>
      <c r="I693" s="117" t="str">
        <f>IF(X693="ADMITIDO","ADMITIDO",IF(X693="CANCELADA","CANCELADA",IF(H693="","",IFERROR(_xlfn.XLOOKUP(H693,Listas!I:I,Listas!J:J),"OUTROS"))))</f>
        <v>TRIAGEM</v>
      </c>
      <c r="J693" s="240" t="s">
        <v>53</v>
      </c>
      <c r="K693" s="240" t="s">
        <v>241</v>
      </c>
      <c r="L693" s="240" t="s">
        <v>307</v>
      </c>
      <c r="M693" s="240"/>
      <c r="N693" s="240" t="s">
        <v>243</v>
      </c>
      <c r="O693" s="119" t="s">
        <v>34</v>
      </c>
      <c r="P693" s="119" t="s">
        <v>57</v>
      </c>
      <c r="Q693" s="119" t="s">
        <v>231</v>
      </c>
      <c r="R693" s="234"/>
      <c r="S693" s="273"/>
      <c r="T693" s="234"/>
      <c r="U693" s="73"/>
      <c r="V693" s="216"/>
      <c r="W693" s="118"/>
      <c r="X693" s="119"/>
      <c r="Y693" s="120"/>
      <c r="Z693" s="120"/>
      <c r="AA693" s="244"/>
      <c r="AB693" s="241"/>
      <c r="AC693" s="241"/>
      <c r="AD693" s="244">
        <v>0</v>
      </c>
    </row>
    <row r="694" spans="1:30" s="251" customFormat="1" ht="18" customHeight="1">
      <c r="A694" s="396">
        <v>30534</v>
      </c>
      <c r="B694" s="405">
        <v>1</v>
      </c>
      <c r="C694" s="404">
        <v>46171</v>
      </c>
      <c r="D694" s="386">
        <f t="shared" ca="1" si="28"/>
        <v>56</v>
      </c>
      <c r="E694" s="170" t="str">
        <f t="shared" si="29"/>
        <v>ADMITIDO</v>
      </c>
      <c r="F694" s="397" t="s">
        <v>28</v>
      </c>
      <c r="G694" s="392" t="s">
        <v>145</v>
      </c>
      <c r="H694" s="139" t="s">
        <v>40</v>
      </c>
      <c r="I694" s="139" t="str">
        <f>IF(X694="ADMITIDO","ADMITIDO",IF(X694="CANCELADA","CANCELADA",IF(H694="","",IFERROR(_xlfn.XLOOKUP(H694,Listas!I:I,Listas!J:J),"OUTROS"))))</f>
        <v>ADMITIDO</v>
      </c>
      <c r="J694" s="427" t="s">
        <v>268</v>
      </c>
      <c r="K694" s="428" t="s">
        <v>1820</v>
      </c>
      <c r="L694" s="428" t="s">
        <v>1097</v>
      </c>
      <c r="M694" s="428"/>
      <c r="N694" s="428" t="s">
        <v>63</v>
      </c>
      <c r="O694" s="308" t="s">
        <v>34</v>
      </c>
      <c r="P694" s="308" t="s">
        <v>35</v>
      </c>
      <c r="Q694" s="308" t="s">
        <v>36</v>
      </c>
      <c r="R694" s="431"/>
      <c r="S694" s="432"/>
      <c r="T694" s="352"/>
      <c r="U694" s="327" t="s">
        <v>132</v>
      </c>
      <c r="V694" s="315">
        <v>46178</v>
      </c>
      <c r="W694" s="338" t="s">
        <v>2041</v>
      </c>
      <c r="X694" s="308" t="s">
        <v>40</v>
      </c>
      <c r="Y694" s="309">
        <v>46182</v>
      </c>
      <c r="Z694" s="309">
        <v>46183</v>
      </c>
      <c r="AA694" s="316">
        <v>914417</v>
      </c>
      <c r="AB694" s="351"/>
      <c r="AC694" s="351"/>
      <c r="AD694" s="316">
        <v>0</v>
      </c>
    </row>
    <row r="695" spans="1:30" s="251" customFormat="1" ht="18" customHeight="1">
      <c r="A695" s="237">
        <v>30530</v>
      </c>
      <c r="B695" s="121">
        <v>1</v>
      </c>
      <c r="C695" s="238">
        <v>46171</v>
      </c>
      <c r="D695" s="105">
        <f t="shared" ca="1" si="28"/>
        <v>56</v>
      </c>
      <c r="E695" s="138" t="str">
        <f t="shared" si="29"/>
        <v>ADMITIDO</v>
      </c>
      <c r="F695" s="230" t="s">
        <v>171</v>
      </c>
      <c r="G695" s="147" t="s">
        <v>43</v>
      </c>
      <c r="H695" s="117" t="s">
        <v>40</v>
      </c>
      <c r="I695" s="117" t="str">
        <f>IF(X695="ADMITIDO","ADMITIDO",IF(X695="CANCELADA","CANCELADA",IF(H695="","",IFERROR(_xlfn.XLOOKUP(H695,Listas!I:I,Listas!J:J),"OUTROS"))))</f>
        <v>ADMITIDO</v>
      </c>
      <c r="J695" s="363" t="s">
        <v>1273</v>
      </c>
      <c r="K695" s="240" t="s">
        <v>1808</v>
      </c>
      <c r="L695" s="240" t="s">
        <v>924</v>
      </c>
      <c r="M695" s="240"/>
      <c r="N695" s="240" t="s">
        <v>925</v>
      </c>
      <c r="O695" s="119" t="s">
        <v>34</v>
      </c>
      <c r="P695" s="119" t="s">
        <v>35</v>
      </c>
      <c r="Q695" s="119" t="s">
        <v>36</v>
      </c>
      <c r="R695" s="234"/>
      <c r="S695" s="273" t="s">
        <v>2042</v>
      </c>
      <c r="T695" s="274">
        <v>11993731988</v>
      </c>
      <c r="U695" s="73" t="s">
        <v>50</v>
      </c>
      <c r="V695" s="216">
        <v>46178</v>
      </c>
      <c r="W695" s="118" t="s">
        <v>2043</v>
      </c>
      <c r="X695" s="119" t="s">
        <v>40</v>
      </c>
      <c r="Y695" s="120">
        <v>46185</v>
      </c>
      <c r="Z695" s="120">
        <v>46189</v>
      </c>
      <c r="AA695" s="244">
        <v>83343</v>
      </c>
      <c r="AB695" s="241"/>
      <c r="AC695" s="241"/>
      <c r="AD695" s="244">
        <v>0</v>
      </c>
    </row>
    <row r="696" spans="1:30" s="251" customFormat="1" ht="18" customHeight="1">
      <c r="A696" s="237">
        <v>30531</v>
      </c>
      <c r="B696" s="121">
        <v>1</v>
      </c>
      <c r="C696" s="238">
        <v>46171</v>
      </c>
      <c r="D696" s="105">
        <f t="shared" ca="1" si="28"/>
        <v>56</v>
      </c>
      <c r="E696" s="138" t="str">
        <f t="shared" si="29"/>
        <v>ADMITIDO</v>
      </c>
      <c r="F696" s="230" t="s">
        <v>171</v>
      </c>
      <c r="G696" s="147" t="s">
        <v>43</v>
      </c>
      <c r="H696" s="117" t="s">
        <v>40</v>
      </c>
      <c r="I696" s="117" t="str">
        <f>IF(X696="ADMITIDO","ADMITIDO",IF(X696="CANCELADA","CANCELADA",IF(H696="","",IFERROR(_xlfn.XLOOKUP(H696,Listas!I:I,Listas!J:J),"OUTROS"))))</f>
        <v>ADMITIDO</v>
      </c>
      <c r="J696" s="363" t="s">
        <v>1273</v>
      </c>
      <c r="K696" s="240" t="s">
        <v>383</v>
      </c>
      <c r="L696" s="240" t="s">
        <v>924</v>
      </c>
      <c r="M696" s="240"/>
      <c r="N696" s="240" t="s">
        <v>925</v>
      </c>
      <c r="O696" s="119" t="s">
        <v>56</v>
      </c>
      <c r="P696" s="119" t="s">
        <v>35</v>
      </c>
      <c r="Q696" s="119" t="s">
        <v>176</v>
      </c>
      <c r="R696" s="234"/>
      <c r="S696" s="273" t="s">
        <v>2044</v>
      </c>
      <c r="T696" s="274">
        <v>11976895301</v>
      </c>
      <c r="U696" s="73" t="s">
        <v>50</v>
      </c>
      <c r="V696" s="216">
        <v>46178</v>
      </c>
      <c r="W696" s="118" t="s">
        <v>2045</v>
      </c>
      <c r="X696" s="119" t="s">
        <v>40</v>
      </c>
      <c r="Y696" s="120">
        <v>46183</v>
      </c>
      <c r="Z696" s="120">
        <v>46184</v>
      </c>
      <c r="AA696" s="244">
        <v>83335</v>
      </c>
      <c r="AB696" s="241"/>
      <c r="AC696" s="241"/>
      <c r="AD696" s="244">
        <v>0</v>
      </c>
    </row>
    <row r="697" spans="1:30" s="251" customFormat="1" ht="18" customHeight="1">
      <c r="A697" s="237">
        <v>30535</v>
      </c>
      <c r="B697" s="121">
        <v>1</v>
      </c>
      <c r="C697" s="238">
        <v>46171</v>
      </c>
      <c r="D697" s="105">
        <f t="shared" ca="1" si="28"/>
        <v>56</v>
      </c>
      <c r="E697" s="138" t="str">
        <f t="shared" si="29"/>
        <v>ADMITIDO</v>
      </c>
      <c r="F697" s="230" t="s">
        <v>42</v>
      </c>
      <c r="G697" s="147" t="s">
        <v>102</v>
      </c>
      <c r="H697" s="117" t="s">
        <v>40</v>
      </c>
      <c r="I697" s="117" t="str">
        <f>IF(X697="ADMITIDO","ADMITIDO",IF(X697="CANCELADA","CANCELADA",IF(H697="","",IFERROR(_xlfn.XLOOKUP(H697,Listas!I:I,Listas!J:J),"OUTROS"))))</f>
        <v>ADMITIDO</v>
      </c>
      <c r="J697" s="363" t="s">
        <v>53</v>
      </c>
      <c r="K697" s="240" t="s">
        <v>103</v>
      </c>
      <c r="L697" s="240" t="s">
        <v>1173</v>
      </c>
      <c r="M697" s="240"/>
      <c r="N697" s="240" t="s">
        <v>1174</v>
      </c>
      <c r="O697" s="119" t="s">
        <v>34</v>
      </c>
      <c r="P697" s="119" t="s">
        <v>57</v>
      </c>
      <c r="Q697" s="119" t="s">
        <v>98</v>
      </c>
      <c r="R697" s="234" t="s">
        <v>2046</v>
      </c>
      <c r="S697" s="273"/>
      <c r="T697" s="234"/>
      <c r="U697" s="73" t="s">
        <v>76</v>
      </c>
      <c r="V697" s="216">
        <v>46185</v>
      </c>
      <c r="W697" s="118" t="s">
        <v>2047</v>
      </c>
      <c r="X697" s="119" t="s">
        <v>40</v>
      </c>
      <c r="Y697" s="120">
        <v>46189</v>
      </c>
      <c r="Z697" s="120">
        <v>46192</v>
      </c>
      <c r="AA697" s="244">
        <v>146103</v>
      </c>
      <c r="AB697" s="241"/>
      <c r="AC697" s="241"/>
      <c r="AD697" s="244">
        <v>0</v>
      </c>
    </row>
    <row r="698" spans="1:30" s="251" customFormat="1" ht="18" customHeight="1">
      <c r="A698" s="237">
        <v>30514</v>
      </c>
      <c r="B698" s="121">
        <v>1</v>
      </c>
      <c r="C698" s="238">
        <v>46171</v>
      </c>
      <c r="D698" s="105">
        <f t="shared" ca="1" si="28"/>
        <v>56</v>
      </c>
      <c r="E698" s="138" t="str">
        <f t="shared" si="29"/>
        <v>ADMITIDO</v>
      </c>
      <c r="F698" s="230" t="s">
        <v>42</v>
      </c>
      <c r="G698" s="147" t="s">
        <v>69</v>
      </c>
      <c r="H698" s="117" t="s">
        <v>40</v>
      </c>
      <c r="I698" s="117" t="str">
        <f>IF(X698="ADMITIDO","ADMITIDO",IF(X698="CANCELADA","CANCELADA",IF(H698="","",IFERROR(_xlfn.XLOOKUP(H698,Listas!I:I,Listas!J:J),"OUTROS"))))</f>
        <v>ADMITIDO</v>
      </c>
      <c r="J698" s="363" t="s">
        <v>44</v>
      </c>
      <c r="K698" s="240" t="s">
        <v>158</v>
      </c>
      <c r="L698" s="240" t="s">
        <v>2048</v>
      </c>
      <c r="M698" s="240"/>
      <c r="N698" s="240" t="s">
        <v>63</v>
      </c>
      <c r="O698" s="119" t="s">
        <v>34</v>
      </c>
      <c r="P698" s="119" t="s">
        <v>72</v>
      </c>
      <c r="Q698" s="119" t="s">
        <v>73</v>
      </c>
      <c r="R698" s="234"/>
      <c r="S698" s="273"/>
      <c r="T698" s="274"/>
      <c r="U698" s="73" t="s">
        <v>76</v>
      </c>
      <c r="V698" s="216">
        <v>46176</v>
      </c>
      <c r="W698" s="118" t="s">
        <v>2049</v>
      </c>
      <c r="X698" s="119" t="s">
        <v>40</v>
      </c>
      <c r="Y698" s="120">
        <v>46181</v>
      </c>
      <c r="Z698" s="120">
        <v>46182</v>
      </c>
      <c r="AA698" s="244">
        <v>146067</v>
      </c>
      <c r="AB698" s="241"/>
      <c r="AC698" s="241"/>
      <c r="AD698" s="244">
        <v>0</v>
      </c>
    </row>
    <row r="699" spans="1:30" s="251" customFormat="1" ht="18" customHeight="1">
      <c r="A699" s="237">
        <v>30539</v>
      </c>
      <c r="B699" s="121">
        <v>1</v>
      </c>
      <c r="C699" s="238">
        <v>46171</v>
      </c>
      <c r="D699" s="105">
        <f t="shared" ca="1" si="28"/>
        <v>56</v>
      </c>
      <c r="E699" s="138" t="str">
        <f t="shared" si="29"/>
        <v>ADMITIDO</v>
      </c>
      <c r="F699" s="230" t="s">
        <v>28</v>
      </c>
      <c r="G699" s="147" t="s">
        <v>29</v>
      </c>
      <c r="H699" s="117" t="s">
        <v>40</v>
      </c>
      <c r="I699" s="117" t="str">
        <f>IF(X699="ADMITIDO","ADMITIDO",IF(X699="CANCELADA","CANCELADA",IF(H699="","",IFERROR(_xlfn.XLOOKUP(H699,Listas!I:I,Listas!J:J),"OUTROS"))))</f>
        <v>ADMITIDO</v>
      </c>
      <c r="J699" s="363" t="s">
        <v>146</v>
      </c>
      <c r="K699" s="240" t="s">
        <v>614</v>
      </c>
      <c r="L699" s="240" t="s">
        <v>1232</v>
      </c>
      <c r="M699" s="240"/>
      <c r="N699" s="240" t="s">
        <v>88</v>
      </c>
      <c r="O699" s="119" t="s">
        <v>56</v>
      </c>
      <c r="P699" s="119" t="s">
        <v>35</v>
      </c>
      <c r="Q699" s="119" t="s">
        <v>357</v>
      </c>
      <c r="R699" s="234"/>
      <c r="S699" s="273"/>
      <c r="T699" s="234" t="s">
        <v>2050</v>
      </c>
      <c r="U699" s="73" t="s">
        <v>38</v>
      </c>
      <c r="V699" s="216">
        <v>46301</v>
      </c>
      <c r="W699" s="118" t="s">
        <v>2051</v>
      </c>
      <c r="X699" s="119" t="s">
        <v>40</v>
      </c>
      <c r="Y699" s="120">
        <v>46185</v>
      </c>
      <c r="Z699" s="120">
        <v>46186</v>
      </c>
      <c r="AA699" s="244">
        <v>914437</v>
      </c>
      <c r="AB699" s="241"/>
      <c r="AC699" s="241"/>
      <c r="AD699" s="244">
        <v>0</v>
      </c>
    </row>
    <row r="700" spans="1:30" s="251" customFormat="1" ht="18" customHeight="1">
      <c r="A700" s="237">
        <v>30526</v>
      </c>
      <c r="B700" s="121">
        <v>1</v>
      </c>
      <c r="C700" s="238">
        <v>46171</v>
      </c>
      <c r="D700" s="105">
        <f t="shared" ca="1" si="28"/>
        <v>56</v>
      </c>
      <c r="E700" s="138" t="str">
        <f t="shared" si="29"/>
        <v>ADMITIDO</v>
      </c>
      <c r="F700" s="230" t="s">
        <v>28</v>
      </c>
      <c r="G700" s="147" t="s">
        <v>240</v>
      </c>
      <c r="H700" s="117" t="s">
        <v>40</v>
      </c>
      <c r="I700" s="117" t="str">
        <f>IF(X700="ADMITIDO","ADMITIDO",IF(X700="CANCELADA","CANCELADA",IF(H700="","",IFERROR(_xlfn.XLOOKUP(H700,Listas!I:I,Listas!J:J),"OUTROS"))))</f>
        <v>ADMITIDO</v>
      </c>
      <c r="J700" s="363" t="s">
        <v>448</v>
      </c>
      <c r="K700" s="240" t="s">
        <v>423</v>
      </c>
      <c r="L700" s="240" t="s">
        <v>988</v>
      </c>
      <c r="M700" s="240"/>
      <c r="N700" s="240" t="s">
        <v>63</v>
      </c>
      <c r="O700" s="119" t="s">
        <v>34</v>
      </c>
      <c r="P700" s="119" t="s">
        <v>48</v>
      </c>
      <c r="Q700" s="119" t="s">
        <v>441</v>
      </c>
      <c r="R700" s="234"/>
      <c r="S700" s="273" t="s">
        <v>1880</v>
      </c>
      <c r="T700" s="234" t="s">
        <v>2052</v>
      </c>
      <c r="U700" s="73" t="s">
        <v>76</v>
      </c>
      <c r="V700" s="216">
        <v>46175</v>
      </c>
      <c r="W700" s="118" t="s">
        <v>2053</v>
      </c>
      <c r="X700" s="119" t="s">
        <v>40</v>
      </c>
      <c r="Y700" s="120">
        <v>46178</v>
      </c>
      <c r="Z700" s="120">
        <v>46182</v>
      </c>
      <c r="AA700" s="244">
        <v>914399</v>
      </c>
      <c r="AB700" s="241"/>
      <c r="AC700" s="241"/>
      <c r="AD700" s="244">
        <v>0</v>
      </c>
    </row>
    <row r="701" spans="1:30" s="251" customFormat="1" ht="18" customHeight="1">
      <c r="A701" s="402">
        <v>30532</v>
      </c>
      <c r="B701" s="406">
        <v>1</v>
      </c>
      <c r="C701" s="403">
        <v>46171</v>
      </c>
      <c r="D701" s="380">
        <f t="shared" ca="1" si="28"/>
        <v>56</v>
      </c>
      <c r="E701" s="381" t="str">
        <f t="shared" si="29"/>
        <v>CANCELADA</v>
      </c>
      <c r="F701" s="395" t="s">
        <v>42</v>
      </c>
      <c r="G701" s="390" t="s">
        <v>552</v>
      </c>
      <c r="H701" s="382" t="s">
        <v>52</v>
      </c>
      <c r="I701" s="382" t="str">
        <f>IF(X701="ADMITIDO","ADMITIDO",IF(X701="CANCELADA","CANCELADA",IF(H701="","",IFERROR(_xlfn.XLOOKUP(H701,Listas!I:I,Listas!J:J),"OUTROS"))))</f>
        <v>CANCELADA</v>
      </c>
      <c r="J701" s="240" t="s">
        <v>44</v>
      </c>
      <c r="K701" s="240" t="s">
        <v>553</v>
      </c>
      <c r="L701" s="240" t="s">
        <v>1875</v>
      </c>
      <c r="M701" s="240"/>
      <c r="N701" s="240" t="s">
        <v>1876</v>
      </c>
      <c r="O701" s="119" t="s">
        <v>34</v>
      </c>
      <c r="P701" s="119" t="s">
        <v>57</v>
      </c>
      <c r="Q701" s="119" t="s">
        <v>432</v>
      </c>
      <c r="R701" s="234"/>
      <c r="S701" s="273"/>
      <c r="T701" s="234"/>
      <c r="U701" s="73" t="s">
        <v>552</v>
      </c>
      <c r="V701" s="216"/>
      <c r="W701" s="118"/>
      <c r="X701" s="119" t="s">
        <v>52</v>
      </c>
      <c r="Y701" s="120"/>
      <c r="Z701" s="120"/>
      <c r="AA701" s="244"/>
      <c r="AB701" s="241"/>
      <c r="AC701" s="241" t="s">
        <v>2054</v>
      </c>
      <c r="AD701" s="244">
        <v>0</v>
      </c>
    </row>
    <row r="702" spans="1:30" s="251" customFormat="1" ht="18" customHeight="1">
      <c r="A702" s="237">
        <v>30529</v>
      </c>
      <c r="B702" s="121">
        <v>1</v>
      </c>
      <c r="C702" s="238">
        <v>46171</v>
      </c>
      <c r="D702" s="105">
        <f t="shared" ca="1" si="28"/>
        <v>56</v>
      </c>
      <c r="E702" s="138" t="str">
        <f t="shared" si="29"/>
        <v>ADMITIDO</v>
      </c>
      <c r="F702" s="230" t="s">
        <v>42</v>
      </c>
      <c r="G702" s="147" t="s">
        <v>663</v>
      </c>
      <c r="H702" s="117" t="s">
        <v>40</v>
      </c>
      <c r="I702" s="117" t="str">
        <f>IF(X702="ADMITIDO","ADMITIDO",IF(X702="CANCELADA","CANCELADA",IF(H702="","",IFERROR(_xlfn.XLOOKUP(H702,Listas!I:I,Listas!J:J),"OUTROS"))))</f>
        <v>ADMITIDO</v>
      </c>
      <c r="J702" s="363" t="s">
        <v>974</v>
      </c>
      <c r="K702" s="240" t="s">
        <v>54</v>
      </c>
      <c r="L702" s="240" t="s">
        <v>865</v>
      </c>
      <c r="M702" s="240"/>
      <c r="N702" s="240" t="s">
        <v>93</v>
      </c>
      <c r="O702" s="119" t="s">
        <v>34</v>
      </c>
      <c r="P702" s="119" t="s">
        <v>48</v>
      </c>
      <c r="Q702" s="119" t="s">
        <v>131</v>
      </c>
      <c r="R702" s="234"/>
      <c r="S702" s="273"/>
      <c r="T702" s="234" t="s">
        <v>2055</v>
      </c>
      <c r="U702" s="73" t="s">
        <v>38</v>
      </c>
      <c r="V702" s="216">
        <v>46301</v>
      </c>
      <c r="W702" s="297" t="s">
        <v>2056</v>
      </c>
      <c r="X702" s="119" t="s">
        <v>40</v>
      </c>
      <c r="Y702" s="120">
        <v>46190</v>
      </c>
      <c r="Z702" s="120">
        <v>46191</v>
      </c>
      <c r="AA702" s="244">
        <v>146102</v>
      </c>
      <c r="AB702" s="241"/>
      <c r="AC702" s="241"/>
      <c r="AD702" s="244">
        <v>0</v>
      </c>
    </row>
    <row r="703" spans="1:30" s="251" customFormat="1" ht="18" customHeight="1">
      <c r="A703" s="237">
        <v>30527</v>
      </c>
      <c r="B703" s="121">
        <v>1</v>
      </c>
      <c r="C703" s="238">
        <v>46171</v>
      </c>
      <c r="D703" s="105">
        <f t="shared" ca="1" si="28"/>
        <v>56</v>
      </c>
      <c r="E703" s="138" t="str">
        <f t="shared" si="29"/>
        <v>ADMITIDO</v>
      </c>
      <c r="F703" s="230" t="s">
        <v>42</v>
      </c>
      <c r="G703" s="147" t="s">
        <v>29</v>
      </c>
      <c r="H703" s="117" t="s">
        <v>40</v>
      </c>
      <c r="I703" s="117" t="str">
        <f>IF(X703="ADMITIDO","ADMITIDO",IF(X703="CANCELADA","CANCELADA",IF(H703="","",IFERROR(_xlfn.XLOOKUP(H703,Listas!I:I,Listas!J:J),"OUTROS"))))</f>
        <v>ADMITIDO</v>
      </c>
      <c r="J703" s="363" t="s">
        <v>44</v>
      </c>
      <c r="K703" s="240" t="s">
        <v>347</v>
      </c>
      <c r="L703" s="240" t="s">
        <v>2057</v>
      </c>
      <c r="M703" s="240"/>
      <c r="N703" s="240" t="s">
        <v>611</v>
      </c>
      <c r="O703" s="119" t="s">
        <v>34</v>
      </c>
      <c r="P703" s="119" t="s">
        <v>48</v>
      </c>
      <c r="Q703" s="119" t="s">
        <v>49</v>
      </c>
      <c r="R703" s="234"/>
      <c r="S703" s="273"/>
      <c r="T703" s="234" t="s">
        <v>2058</v>
      </c>
      <c r="U703" s="73" t="s">
        <v>38</v>
      </c>
      <c r="V703" s="216">
        <v>46332</v>
      </c>
      <c r="W703" s="118" t="s">
        <v>2059</v>
      </c>
      <c r="X703" s="119" t="s">
        <v>40</v>
      </c>
      <c r="Y703" s="120">
        <v>46190</v>
      </c>
      <c r="Z703" s="120">
        <v>46191</v>
      </c>
      <c r="AA703" s="244">
        <v>146115</v>
      </c>
      <c r="AB703" s="241"/>
      <c r="AC703" s="241"/>
      <c r="AD703" s="244">
        <v>0</v>
      </c>
    </row>
    <row r="704" spans="1:30" s="251" customFormat="1" ht="18" customHeight="1">
      <c r="A704" s="237">
        <v>30528</v>
      </c>
      <c r="B704" s="121">
        <v>1</v>
      </c>
      <c r="C704" s="238">
        <v>46171</v>
      </c>
      <c r="D704" s="105">
        <f t="shared" ca="1" si="28"/>
        <v>56</v>
      </c>
      <c r="E704" s="138" t="str">
        <f t="shared" si="29"/>
        <v>ADMITIDO</v>
      </c>
      <c r="F704" s="230" t="s">
        <v>28</v>
      </c>
      <c r="G704" s="147" t="s">
        <v>240</v>
      </c>
      <c r="H704" s="117" t="s">
        <v>40</v>
      </c>
      <c r="I704" s="117" t="str">
        <f>IF(X704="ADMITIDO","ADMITIDO",IF(X704="CANCELADA","CANCELADA",IF(H704="","",IFERROR(_xlfn.XLOOKUP(H704,Listas!I:I,Listas!J:J),"OUTROS"))))</f>
        <v>ADMITIDO</v>
      </c>
      <c r="J704" s="363" t="s">
        <v>268</v>
      </c>
      <c r="K704" s="240" t="s">
        <v>676</v>
      </c>
      <c r="L704" s="240" t="s">
        <v>1068</v>
      </c>
      <c r="M704" s="240"/>
      <c r="N704" s="240" t="s">
        <v>63</v>
      </c>
      <c r="O704" s="119" t="s">
        <v>56</v>
      </c>
      <c r="P704" s="119" t="s">
        <v>35</v>
      </c>
      <c r="Q704" s="119" t="s">
        <v>176</v>
      </c>
      <c r="R704" s="234"/>
      <c r="S704" s="273" t="s">
        <v>65</v>
      </c>
      <c r="T704" s="274" t="s">
        <v>2060</v>
      </c>
      <c r="U704" s="73" t="s">
        <v>76</v>
      </c>
      <c r="V704" s="216">
        <v>46059</v>
      </c>
      <c r="W704" s="118" t="s">
        <v>2061</v>
      </c>
      <c r="X704" s="119" t="s">
        <v>40</v>
      </c>
      <c r="Y704" s="120">
        <v>46182</v>
      </c>
      <c r="Z704" s="120">
        <v>46183</v>
      </c>
      <c r="AA704" s="244">
        <v>914413</v>
      </c>
      <c r="AB704" s="241"/>
      <c r="AC704" s="241"/>
      <c r="AD704" s="244">
        <v>0</v>
      </c>
    </row>
    <row r="705" spans="1:30" s="236" customFormat="1" ht="18" customHeight="1">
      <c r="A705" s="402">
        <v>30506</v>
      </c>
      <c r="B705" s="406">
        <v>1</v>
      </c>
      <c r="C705" s="403">
        <v>46171</v>
      </c>
      <c r="D705" s="380">
        <f t="shared" ca="1" si="28"/>
        <v>56</v>
      </c>
      <c r="E705" s="381" t="str">
        <f t="shared" si="29"/>
        <v>CANCELADA</v>
      </c>
      <c r="F705" s="395" t="s">
        <v>42</v>
      </c>
      <c r="G705" s="390" t="s">
        <v>60</v>
      </c>
      <c r="H705" s="382" t="s">
        <v>52</v>
      </c>
      <c r="I705" s="382" t="str">
        <f>IF(X705="ADMITIDO","ADMITIDO",IF(X705="CANCELADA","CANCELADA",IF(H705="","",IFERROR(_xlfn.XLOOKUP(H705,Listas!I:I,Listas!J:J),"OUTROS"))))</f>
        <v>CANCELADA</v>
      </c>
      <c r="J705" s="240" t="s">
        <v>116</v>
      </c>
      <c r="K705" s="240" t="s">
        <v>117</v>
      </c>
      <c r="L705" s="240" t="s">
        <v>118</v>
      </c>
      <c r="M705" s="240"/>
      <c r="N705" s="240" t="s">
        <v>63</v>
      </c>
      <c r="O705" s="119" t="s">
        <v>34</v>
      </c>
      <c r="P705" s="119" t="s">
        <v>48</v>
      </c>
      <c r="Q705" s="119" t="s">
        <v>120</v>
      </c>
      <c r="R705" s="234"/>
      <c r="S705" s="273"/>
      <c r="T705" s="234"/>
      <c r="U705" s="73"/>
      <c r="V705" s="216"/>
      <c r="W705" s="118"/>
      <c r="X705" s="119"/>
      <c r="Y705" s="120"/>
      <c r="Z705" s="120"/>
      <c r="AA705" s="244"/>
      <c r="AB705" s="241"/>
      <c r="AC705" s="241"/>
      <c r="AD705" s="244">
        <v>0</v>
      </c>
    </row>
    <row r="706" spans="1:30" s="251" customFormat="1" ht="18" customHeight="1">
      <c r="A706" s="237">
        <v>30543</v>
      </c>
      <c r="B706" s="121">
        <v>1</v>
      </c>
      <c r="C706" s="238">
        <v>46174</v>
      </c>
      <c r="D706" s="367">
        <f t="shared" ca="1" si="28"/>
        <v>53</v>
      </c>
      <c r="E706" s="368" t="str">
        <f t="shared" si="29"/>
        <v>ADMITIDO</v>
      </c>
      <c r="F706" s="371" t="s">
        <v>42</v>
      </c>
      <c r="G706" s="369" t="s">
        <v>43</v>
      </c>
      <c r="H706" s="146" t="s">
        <v>40</v>
      </c>
      <c r="I706" s="117" t="str">
        <f>IF(X706="ADMITIDO","ADMITIDO",IF(X706="CANCELADA","CANCELADA",IF(H706="","",IFERROR(_xlfn.XLOOKUP(H706,Listas!I:I,Listas!J:J),"OUTROS"))))</f>
        <v>ADMITIDO</v>
      </c>
      <c r="J706" s="363" t="s">
        <v>53</v>
      </c>
      <c r="K706" s="240" t="s">
        <v>189</v>
      </c>
      <c r="L706" s="240" t="s">
        <v>869</v>
      </c>
      <c r="M706" s="240"/>
      <c r="N706" s="240" t="s">
        <v>337</v>
      </c>
      <c r="O706" s="119" t="s">
        <v>34</v>
      </c>
      <c r="P706" s="119" t="s">
        <v>57</v>
      </c>
      <c r="Q706" s="119" t="s">
        <v>98</v>
      </c>
      <c r="R706" s="234"/>
      <c r="S706" s="273" t="s">
        <v>2062</v>
      </c>
      <c r="T706" s="274">
        <v>15991423518</v>
      </c>
      <c r="U706" s="73" t="s">
        <v>67</v>
      </c>
      <c r="V706" s="216">
        <v>46175</v>
      </c>
      <c r="W706" s="118" t="s">
        <v>2063</v>
      </c>
      <c r="X706" s="119" t="s">
        <v>40</v>
      </c>
      <c r="Y706" s="120">
        <v>46188</v>
      </c>
      <c r="Z706" s="120">
        <v>46188</v>
      </c>
      <c r="AA706" s="244">
        <v>914426</v>
      </c>
      <c r="AB706" s="241"/>
      <c r="AC706" s="241"/>
      <c r="AD706" s="244">
        <v>0</v>
      </c>
    </row>
    <row r="707" spans="1:30" s="251" customFormat="1" ht="18" customHeight="1">
      <c r="A707" s="402">
        <v>30551</v>
      </c>
      <c r="B707" s="406">
        <v>1</v>
      </c>
      <c r="C707" s="595">
        <v>46174</v>
      </c>
      <c r="D707" s="105">
        <f t="shared" ca="1" si="28"/>
        <v>53</v>
      </c>
      <c r="E707" s="138" t="str">
        <f t="shared" si="29"/>
        <v>CANCELADA</v>
      </c>
      <c r="F707" s="230" t="s">
        <v>42</v>
      </c>
      <c r="G707" s="147" t="s">
        <v>43</v>
      </c>
      <c r="H707" s="117" t="s">
        <v>52</v>
      </c>
      <c r="I707" s="575" t="str">
        <f>IF(X707="ADMITIDO","ADMITIDO",IF(X707="CANCELADA","CANCELADA",IF(H707="","",IFERROR(_xlfn.XLOOKUP(H707,Listas!I:I,Listas!J:J),"OUTROS"))))</f>
        <v>CANCELADA</v>
      </c>
      <c r="J707" s="240" t="s">
        <v>198</v>
      </c>
      <c r="K707" s="240" t="s">
        <v>45</v>
      </c>
      <c r="L707" s="240" t="s">
        <v>377</v>
      </c>
      <c r="M707" s="240"/>
      <c r="N707" s="240" t="s">
        <v>378</v>
      </c>
      <c r="O707" s="119" t="s">
        <v>34</v>
      </c>
      <c r="P707" s="119" t="s">
        <v>57</v>
      </c>
      <c r="Q707" s="119" t="s">
        <v>151</v>
      </c>
      <c r="R707" s="234" t="s">
        <v>2064</v>
      </c>
      <c r="S707" s="273"/>
      <c r="T707" s="234"/>
      <c r="U707" s="73"/>
      <c r="V707" s="216"/>
      <c r="W707" s="118"/>
      <c r="X707" s="119"/>
      <c r="Y707" s="120"/>
      <c r="Z707" s="120"/>
      <c r="AA707" s="244"/>
      <c r="AB707" s="241" t="s">
        <v>2065</v>
      </c>
      <c r="AC707" s="241" t="s">
        <v>2066</v>
      </c>
      <c r="AD707" s="244">
        <v>0</v>
      </c>
    </row>
    <row r="708" spans="1:30" s="251" customFormat="1" ht="18" customHeight="1">
      <c r="A708" s="237">
        <v>30561</v>
      </c>
      <c r="B708" s="121">
        <v>1</v>
      </c>
      <c r="C708" s="238">
        <v>46174</v>
      </c>
      <c r="D708" s="386">
        <f t="shared" ca="1" si="28"/>
        <v>53</v>
      </c>
      <c r="E708" s="170" t="str">
        <f t="shared" si="29"/>
        <v>ADMITIDO</v>
      </c>
      <c r="F708" s="397" t="s">
        <v>28</v>
      </c>
      <c r="G708" s="392" t="s">
        <v>60</v>
      </c>
      <c r="H708" s="139" t="s">
        <v>40</v>
      </c>
      <c r="I708" s="117" t="str">
        <f>IF(X708="ADMITIDO","ADMITIDO",IF(X708="CANCELADA","CANCELADA",IF(H708="","",IFERROR(_xlfn.XLOOKUP(H708,Listas!I:I,Listas!J:J),"OUTROS"))))</f>
        <v>ADMITIDO</v>
      </c>
      <c r="J708" s="363" t="s">
        <v>1024</v>
      </c>
      <c r="K708" s="240" t="s">
        <v>330</v>
      </c>
      <c r="L708" s="240" t="s">
        <v>996</v>
      </c>
      <c r="M708" s="240"/>
      <c r="N708" s="240" t="s">
        <v>63</v>
      </c>
      <c r="O708" s="119" t="s">
        <v>34</v>
      </c>
      <c r="P708" s="119" t="s">
        <v>210</v>
      </c>
      <c r="Q708" s="119" t="s">
        <v>1128</v>
      </c>
      <c r="R708" s="234" t="s">
        <v>2067</v>
      </c>
      <c r="S708" s="273" t="s">
        <v>1533</v>
      </c>
      <c r="T708" s="273" t="s">
        <v>2068</v>
      </c>
      <c r="U708" s="73" t="s">
        <v>76</v>
      </c>
      <c r="V708" s="216">
        <v>46195</v>
      </c>
      <c r="W708" s="118" t="s">
        <v>2069</v>
      </c>
      <c r="X708" s="119" t="s">
        <v>40</v>
      </c>
      <c r="Y708" s="120">
        <v>46197</v>
      </c>
      <c r="Z708" s="120">
        <v>46198</v>
      </c>
      <c r="AA708" s="244">
        <v>914518</v>
      </c>
      <c r="AB708" s="241" t="s">
        <v>2070</v>
      </c>
      <c r="AC708" s="241"/>
      <c r="AD708" s="244">
        <v>1</v>
      </c>
    </row>
    <row r="709" spans="1:30" s="251" customFormat="1" ht="18" customHeight="1">
      <c r="A709" s="237">
        <v>30550</v>
      </c>
      <c r="B709" s="376">
        <v>1</v>
      </c>
      <c r="C709" s="375">
        <v>46174</v>
      </c>
      <c r="D709" s="367">
        <f t="shared" ca="1" si="28"/>
        <v>53</v>
      </c>
      <c r="E709" s="368" t="str">
        <f t="shared" si="29"/>
        <v>ADMITIDO</v>
      </c>
      <c r="F709" s="371" t="s">
        <v>28</v>
      </c>
      <c r="G709" s="369" t="s">
        <v>145</v>
      </c>
      <c r="H709" s="146" t="s">
        <v>40</v>
      </c>
      <c r="I709" s="146" t="str">
        <f>IF(X709="ADMITIDO","ADMITIDO",IF(X709="CANCELADA","CANCELADA",IF(H709="","",IFERROR(_xlfn.XLOOKUP(H709,Listas!I:I,Listas!J:J),"OUTROS"))))</f>
        <v>ADMITIDO</v>
      </c>
      <c r="J709" s="414" t="s">
        <v>268</v>
      </c>
      <c r="K709" s="415" t="s">
        <v>330</v>
      </c>
      <c r="L709" s="415" t="s">
        <v>2071</v>
      </c>
      <c r="M709" s="415"/>
      <c r="N709" s="415" t="s">
        <v>435</v>
      </c>
      <c r="O709" s="303" t="s">
        <v>34</v>
      </c>
      <c r="P709" s="303" t="s">
        <v>35</v>
      </c>
      <c r="Q709" s="303" t="s">
        <v>36</v>
      </c>
      <c r="R709" s="418"/>
      <c r="S709" s="273" t="s">
        <v>65</v>
      </c>
      <c r="T709" s="274" t="s">
        <v>2072</v>
      </c>
      <c r="U709" s="73" t="s">
        <v>109</v>
      </c>
      <c r="V709" s="216">
        <v>46176</v>
      </c>
      <c r="W709" s="118" t="s">
        <v>2073</v>
      </c>
      <c r="X709" s="119" t="s">
        <v>40</v>
      </c>
      <c r="Y709" s="120">
        <v>46181</v>
      </c>
      <c r="Z709" s="120">
        <v>46183</v>
      </c>
      <c r="AA709" s="244">
        <v>914406</v>
      </c>
      <c r="AB709" s="241"/>
      <c r="AC709" s="241"/>
      <c r="AD709" s="244">
        <v>0</v>
      </c>
    </row>
    <row r="710" spans="1:30" ht="18" customHeight="1">
      <c r="A710" s="580">
        <v>30559</v>
      </c>
      <c r="B710" s="121">
        <v>1</v>
      </c>
      <c r="C710" s="238">
        <v>46174</v>
      </c>
      <c r="D710" s="105">
        <f t="shared" ca="1" si="28"/>
        <v>53</v>
      </c>
      <c r="E710" s="138" t="str">
        <f t="shared" si="29"/>
        <v>ADMITIDO</v>
      </c>
      <c r="F710" s="230" t="s">
        <v>28</v>
      </c>
      <c r="G710" s="147" t="s">
        <v>145</v>
      </c>
      <c r="H710" s="117" t="s">
        <v>40</v>
      </c>
      <c r="I710" s="117" t="str">
        <f>IF(X710="ADMITIDO","ADMITIDO",IF(X710="CANCELADA","CANCELADA",IF(H710="","",IFERROR(_xlfn.XLOOKUP(H710,Listas!I:I,Listas!J:J),"OUTROS"))))</f>
        <v>ADMITIDO</v>
      </c>
      <c r="J710" s="240" t="s">
        <v>268</v>
      </c>
      <c r="K710" s="240" t="s">
        <v>986</v>
      </c>
      <c r="L710" s="240" t="s">
        <v>246</v>
      </c>
      <c r="M710" s="240"/>
      <c r="N710" s="240" t="s">
        <v>63</v>
      </c>
      <c r="O710" s="119" t="s">
        <v>56</v>
      </c>
      <c r="P710" s="119" t="s">
        <v>35</v>
      </c>
      <c r="Q710" s="119" t="s">
        <v>176</v>
      </c>
      <c r="R710" s="234"/>
      <c r="S710" s="476"/>
      <c r="T710" s="274"/>
      <c r="U710" s="73" t="s">
        <v>132</v>
      </c>
      <c r="V710" s="216">
        <v>46178</v>
      </c>
      <c r="W710" s="118" t="s">
        <v>2074</v>
      </c>
      <c r="X710" s="119" t="s">
        <v>40</v>
      </c>
      <c r="Y710" s="120">
        <v>46184</v>
      </c>
      <c r="Z710" s="120">
        <v>46185</v>
      </c>
      <c r="AA710" s="244">
        <v>914414</v>
      </c>
      <c r="AB710" s="241"/>
      <c r="AC710" s="241"/>
      <c r="AD710" s="244">
        <v>0</v>
      </c>
    </row>
    <row r="711" spans="1:30" ht="18" customHeight="1">
      <c r="A711" s="580">
        <v>30553</v>
      </c>
      <c r="B711" s="121">
        <v>1</v>
      </c>
      <c r="C711" s="238">
        <v>46174</v>
      </c>
      <c r="D711" s="105">
        <f t="shared" ca="1" si="28"/>
        <v>53</v>
      </c>
      <c r="E711" s="138" t="str">
        <f t="shared" si="29"/>
        <v>ADMITIDO</v>
      </c>
      <c r="F711" s="230" t="s">
        <v>42</v>
      </c>
      <c r="G711" s="147" t="s">
        <v>43</v>
      </c>
      <c r="H711" s="117" t="s">
        <v>40</v>
      </c>
      <c r="I711" s="117" t="str">
        <f>IF(X711="ADMITIDO","ADMITIDO",IF(X711="CANCELADA","CANCELADA",IF(H711="","",IFERROR(_xlfn.XLOOKUP(H711,Listas!I:I,Listas!J:J),"OUTROS"))))</f>
        <v>ADMITIDO</v>
      </c>
      <c r="J711" s="240" t="s">
        <v>53</v>
      </c>
      <c r="K711" s="240" t="s">
        <v>189</v>
      </c>
      <c r="L711" s="240" t="s">
        <v>511</v>
      </c>
      <c r="M711" s="240"/>
      <c r="N711" s="240" t="s">
        <v>512</v>
      </c>
      <c r="O711" s="119" t="s">
        <v>34</v>
      </c>
      <c r="P711" s="119" t="s">
        <v>48</v>
      </c>
      <c r="Q711" s="119" t="s">
        <v>131</v>
      </c>
      <c r="R711" s="234"/>
      <c r="S711" s="476" t="s">
        <v>2075</v>
      </c>
      <c r="T711" s="274" t="s">
        <v>2076</v>
      </c>
      <c r="U711" s="73" t="s">
        <v>67</v>
      </c>
      <c r="V711" s="216">
        <v>46175</v>
      </c>
      <c r="W711" s="118" t="s">
        <v>2077</v>
      </c>
      <c r="X711" s="119" t="s">
        <v>40</v>
      </c>
      <c r="Y711" s="120"/>
      <c r="Z711" s="120"/>
      <c r="AA711" s="244"/>
      <c r="AB711" s="241" t="s">
        <v>2078</v>
      </c>
      <c r="AC711" s="241"/>
      <c r="AD711" s="244">
        <v>0</v>
      </c>
    </row>
    <row r="712" spans="1:30" ht="18" customHeight="1">
      <c r="A712" s="580">
        <v>30547</v>
      </c>
      <c r="B712" s="121">
        <v>1</v>
      </c>
      <c r="C712" s="238">
        <v>46174</v>
      </c>
      <c r="D712" s="105">
        <f t="shared" ca="1" si="28"/>
        <v>53</v>
      </c>
      <c r="E712" s="138" t="str">
        <f t="shared" si="29"/>
        <v>ADMITIDO</v>
      </c>
      <c r="F712" s="230" t="s">
        <v>42</v>
      </c>
      <c r="G712" s="147" t="s">
        <v>69</v>
      </c>
      <c r="H712" s="117" t="s">
        <v>40</v>
      </c>
      <c r="I712" s="117" t="str">
        <f>IF(X712="ADMITIDO","ADMITIDO",IF(X712="CANCELADA","CANCELADA",IF(H712="","",IFERROR(_xlfn.XLOOKUP(H712,Listas!I:I,Listas!J:J),"OUTROS"))))</f>
        <v>ADMITIDO</v>
      </c>
      <c r="J712" s="240" t="s">
        <v>44</v>
      </c>
      <c r="K712" s="240" t="s">
        <v>158</v>
      </c>
      <c r="L712" s="240" t="s">
        <v>1012</v>
      </c>
      <c r="M712" s="240"/>
      <c r="N712" s="240" t="s">
        <v>63</v>
      </c>
      <c r="O712" s="119" t="s">
        <v>34</v>
      </c>
      <c r="P712" s="119" t="s">
        <v>589</v>
      </c>
      <c r="Q712" s="119" t="s">
        <v>98</v>
      </c>
      <c r="R712" s="234"/>
      <c r="S712" s="476"/>
      <c r="T712" s="274"/>
      <c r="U712" s="73" t="s">
        <v>76</v>
      </c>
      <c r="V712" s="216">
        <v>46176</v>
      </c>
      <c r="W712" s="118" t="s">
        <v>2079</v>
      </c>
      <c r="X712" s="119" t="s">
        <v>40</v>
      </c>
      <c r="Y712" s="120">
        <v>46181</v>
      </c>
      <c r="Z712" s="120">
        <v>46183</v>
      </c>
      <c r="AA712" s="244">
        <v>146068</v>
      </c>
      <c r="AB712" s="241"/>
      <c r="AC712" s="241"/>
      <c r="AD712" s="244">
        <v>0</v>
      </c>
    </row>
    <row r="713" spans="1:30" ht="18" customHeight="1">
      <c r="A713" s="582">
        <v>30544</v>
      </c>
      <c r="B713" s="121">
        <v>1</v>
      </c>
      <c r="C713" s="238">
        <v>46174</v>
      </c>
      <c r="D713" s="105">
        <f t="shared" ca="1" si="28"/>
        <v>53</v>
      </c>
      <c r="E713" s="138" t="str">
        <f t="shared" si="29"/>
        <v>ADMITIDO</v>
      </c>
      <c r="F713" s="230" t="s">
        <v>42</v>
      </c>
      <c r="G713" s="147" t="s">
        <v>69</v>
      </c>
      <c r="H713" s="117" t="s">
        <v>40</v>
      </c>
      <c r="I713" s="117" t="str">
        <f>IF(X713="ADMITIDO","ADMITIDO",IF(X713="CANCELADA","CANCELADA",IF(H713="","",IFERROR(_xlfn.XLOOKUP(H713,Listas!I:I,Listas!J:J),"OUTROS"))))</f>
        <v>ADMITIDO</v>
      </c>
      <c r="J713" s="240" t="s">
        <v>44</v>
      </c>
      <c r="K713" s="240" t="s">
        <v>158</v>
      </c>
      <c r="L713" s="240" t="s">
        <v>159</v>
      </c>
      <c r="M713" s="240"/>
      <c r="N713" s="240" t="s">
        <v>63</v>
      </c>
      <c r="O713" s="119" t="s">
        <v>34</v>
      </c>
      <c r="P713" s="119" t="s">
        <v>57</v>
      </c>
      <c r="Q713" s="119" t="s">
        <v>220</v>
      </c>
      <c r="R713" s="234"/>
      <c r="S713" s="479"/>
      <c r="T713" s="418"/>
      <c r="U713" s="326" t="s">
        <v>76</v>
      </c>
      <c r="V713" s="313">
        <v>46195</v>
      </c>
      <c r="W713" s="302" t="s">
        <v>2080</v>
      </c>
      <c r="X713" s="303" t="s">
        <v>40</v>
      </c>
      <c r="Y713" s="304">
        <v>46197</v>
      </c>
      <c r="Z713" s="304">
        <v>46199</v>
      </c>
      <c r="AA713" s="314">
        <v>146152</v>
      </c>
      <c r="AB713" s="346"/>
      <c r="AC713" s="346"/>
      <c r="AD713" s="314">
        <v>0</v>
      </c>
    </row>
    <row r="714" spans="1:30" ht="18" customHeight="1">
      <c r="A714" s="237">
        <v>30542</v>
      </c>
      <c r="B714" s="406">
        <v>1</v>
      </c>
      <c r="C714" s="403">
        <v>46174</v>
      </c>
      <c r="D714" s="380">
        <f t="shared" ca="1" si="28"/>
        <v>53</v>
      </c>
      <c r="E714" s="381" t="str">
        <f t="shared" si="29"/>
        <v>CANCELADA</v>
      </c>
      <c r="F714" s="395" t="s">
        <v>42</v>
      </c>
      <c r="G714" s="390" t="s">
        <v>69</v>
      </c>
      <c r="H714" s="382" t="s">
        <v>52</v>
      </c>
      <c r="I714" s="382" t="str">
        <f>IF(X714="ADMITIDO","ADMITIDO",IF(X714="CANCELADA","CANCELADA",IF(H714="","",IFERROR(_xlfn.XLOOKUP(H714,Listas!I:I,Listas!J:J),"OUTROS"))))</f>
        <v>CANCELADA</v>
      </c>
      <c r="J714" s="435" t="s">
        <v>163</v>
      </c>
      <c r="K714" s="435" t="s">
        <v>158</v>
      </c>
      <c r="L714" s="435" t="s">
        <v>159</v>
      </c>
      <c r="M714" s="435"/>
      <c r="N714" s="435" t="s">
        <v>63</v>
      </c>
      <c r="O714" s="306" t="s">
        <v>34</v>
      </c>
      <c r="P714" s="306" t="s">
        <v>57</v>
      </c>
      <c r="Q714" s="306" t="s">
        <v>231</v>
      </c>
      <c r="R714" s="436"/>
      <c r="S714" s="273"/>
      <c r="T714" s="234"/>
      <c r="U714" s="73"/>
      <c r="V714" s="216"/>
      <c r="W714" s="118"/>
      <c r="X714" s="119"/>
      <c r="Y714" s="120"/>
      <c r="Z714" s="120"/>
      <c r="AA714" s="244"/>
      <c r="AB714" s="241"/>
      <c r="AC714" s="241" t="s">
        <v>2081</v>
      </c>
      <c r="AD714" s="244">
        <v>0</v>
      </c>
    </row>
    <row r="715" spans="1:30" ht="18" customHeight="1">
      <c r="A715" s="581">
        <v>30556</v>
      </c>
      <c r="B715" s="121">
        <v>1</v>
      </c>
      <c r="C715" s="238">
        <v>46174</v>
      </c>
      <c r="D715" s="105">
        <f t="shared" ca="1" si="28"/>
        <v>53</v>
      </c>
      <c r="E715" s="138" t="str">
        <f t="shared" si="29"/>
        <v>ADMITIDO</v>
      </c>
      <c r="F715" s="230" t="s">
        <v>42</v>
      </c>
      <c r="G715" s="147" t="s">
        <v>43</v>
      </c>
      <c r="H715" s="117" t="s">
        <v>40</v>
      </c>
      <c r="I715" s="117" t="str">
        <f>IF(X715="ADMITIDO","ADMITIDO",IF(X715="CANCELADA","CANCELADA",IF(H715="","",IFERROR(_xlfn.XLOOKUP(H715,Listas!I:I,Listas!J:J),"OUTROS"))))</f>
        <v>ADMITIDO</v>
      </c>
      <c r="J715" s="240" t="s">
        <v>2082</v>
      </c>
      <c r="K715" s="240" t="s">
        <v>189</v>
      </c>
      <c r="L715" s="240" t="s">
        <v>190</v>
      </c>
      <c r="M715" s="240"/>
      <c r="N715" s="240" t="s">
        <v>191</v>
      </c>
      <c r="O715" s="119" t="s">
        <v>34</v>
      </c>
      <c r="P715" s="119" t="s">
        <v>48</v>
      </c>
      <c r="Q715" s="119" t="s">
        <v>49</v>
      </c>
      <c r="R715" s="234"/>
      <c r="S715" s="477" t="s">
        <v>2083</v>
      </c>
      <c r="T715" s="431">
        <v>11961502370</v>
      </c>
      <c r="U715" s="327" t="s">
        <v>50</v>
      </c>
      <c r="V715" s="315">
        <v>46183</v>
      </c>
      <c r="W715" s="310" t="s">
        <v>2084</v>
      </c>
      <c r="X715" s="308" t="s">
        <v>40</v>
      </c>
      <c r="Y715" s="309">
        <v>46190</v>
      </c>
      <c r="Z715" s="309">
        <v>46191</v>
      </c>
      <c r="AA715" s="316">
        <v>146107</v>
      </c>
      <c r="AB715" s="351"/>
      <c r="AC715" s="351"/>
      <c r="AD715" s="316">
        <v>0</v>
      </c>
    </row>
    <row r="716" spans="1:30" ht="18" customHeight="1">
      <c r="A716" s="374">
        <v>30557</v>
      </c>
      <c r="B716" s="406">
        <v>1</v>
      </c>
      <c r="C716" s="403">
        <v>46174</v>
      </c>
      <c r="D716" s="380">
        <f t="shared" ca="1" si="28"/>
        <v>53</v>
      </c>
      <c r="E716" s="381" t="str">
        <f t="shared" si="29"/>
        <v>ADMITIDO</v>
      </c>
      <c r="F716" s="395" t="s">
        <v>42</v>
      </c>
      <c r="G716" s="390" t="s">
        <v>43</v>
      </c>
      <c r="H716" s="382" t="s">
        <v>40</v>
      </c>
      <c r="I716" s="382" t="str">
        <f>IF(X716="ADMITIDO","ADMITIDO",IF(X716="CANCELADA","CANCELADA",IF(H716="","",IFERROR(_xlfn.XLOOKUP(H716,Listas!I:I,Listas!J:J),"OUTROS"))))</f>
        <v>ADMITIDO</v>
      </c>
      <c r="J716" s="464" t="s">
        <v>2085</v>
      </c>
      <c r="K716" s="435" t="s">
        <v>189</v>
      </c>
      <c r="L716" s="435" t="s">
        <v>190</v>
      </c>
      <c r="M716" s="435"/>
      <c r="N716" s="435" t="s">
        <v>191</v>
      </c>
      <c r="O716" s="306" t="s">
        <v>34</v>
      </c>
      <c r="P716" s="306" t="s">
        <v>48</v>
      </c>
      <c r="Q716" s="306" t="s">
        <v>131</v>
      </c>
      <c r="R716" s="436"/>
      <c r="S716" s="419" t="s">
        <v>1702</v>
      </c>
      <c r="T716" s="418">
        <v>11982530612</v>
      </c>
      <c r="U716" s="326" t="s">
        <v>50</v>
      </c>
      <c r="V716" s="313">
        <v>46183</v>
      </c>
      <c r="W716" s="302" t="s">
        <v>2086</v>
      </c>
      <c r="X716" s="303" t="s">
        <v>40</v>
      </c>
      <c r="Y716" s="304">
        <v>46190</v>
      </c>
      <c r="Z716" s="304">
        <v>46191</v>
      </c>
      <c r="AA716" s="314">
        <v>146110</v>
      </c>
      <c r="AB716" s="346"/>
      <c r="AC716" s="346"/>
      <c r="AD716" s="314">
        <v>0</v>
      </c>
    </row>
    <row r="717" spans="1:30" ht="18" customHeight="1">
      <c r="A717" s="237">
        <v>30558</v>
      </c>
      <c r="B717" s="121">
        <v>1</v>
      </c>
      <c r="C717" s="238">
        <v>46174</v>
      </c>
      <c r="D717" s="105">
        <f t="shared" ca="1" si="28"/>
        <v>53</v>
      </c>
      <c r="E717" s="138" t="str">
        <f t="shared" si="29"/>
        <v>ADMITIDO</v>
      </c>
      <c r="F717" s="230" t="s">
        <v>42</v>
      </c>
      <c r="G717" s="147" t="s">
        <v>43</v>
      </c>
      <c r="H717" s="117" t="s">
        <v>40</v>
      </c>
      <c r="I717" s="117" t="str">
        <f>IF(X717="ADMITIDO","ADMITIDO",IF(X717="CANCELADA","CANCELADA",IF(H717="","",IFERROR(_xlfn.XLOOKUP(H717,Listas!I:I,Listas!J:J),"OUTROS"))))</f>
        <v>ADMITIDO</v>
      </c>
      <c r="J717" s="240" t="s">
        <v>44</v>
      </c>
      <c r="K717" s="240" t="s">
        <v>189</v>
      </c>
      <c r="L717" s="240" t="s">
        <v>190</v>
      </c>
      <c r="M717" s="240"/>
      <c r="N717" s="240" t="s">
        <v>191</v>
      </c>
      <c r="O717" s="119" t="s">
        <v>34</v>
      </c>
      <c r="P717" s="119" t="s">
        <v>48</v>
      </c>
      <c r="Q717" s="119" t="s">
        <v>49</v>
      </c>
      <c r="R717" s="234" t="s">
        <v>2087</v>
      </c>
      <c r="S717" s="273" t="s">
        <v>2088</v>
      </c>
      <c r="T717" s="273">
        <v>11993227520</v>
      </c>
      <c r="U717" s="73" t="s">
        <v>50</v>
      </c>
      <c r="V717" s="216">
        <v>46204</v>
      </c>
      <c r="W717" s="118" t="s">
        <v>2089</v>
      </c>
      <c r="X717" s="119" t="s">
        <v>40</v>
      </c>
      <c r="Y717" s="120">
        <v>46211</v>
      </c>
      <c r="Z717" s="120">
        <v>46213</v>
      </c>
      <c r="AA717" s="244">
        <v>146191</v>
      </c>
      <c r="AB717" s="241" t="s">
        <v>2090</v>
      </c>
      <c r="AC717" s="241"/>
      <c r="AD717" s="244">
        <v>3</v>
      </c>
    </row>
    <row r="718" spans="1:30" ht="18" customHeight="1">
      <c r="A718" s="396">
        <v>30562</v>
      </c>
      <c r="B718" s="405">
        <v>1</v>
      </c>
      <c r="C718" s="404">
        <v>46174</v>
      </c>
      <c r="D718" s="386">
        <f t="shared" ca="1" si="28"/>
        <v>53</v>
      </c>
      <c r="E718" s="170" t="str">
        <f t="shared" si="29"/>
        <v>ADMITIDO</v>
      </c>
      <c r="F718" s="397" t="s">
        <v>42</v>
      </c>
      <c r="G718" s="392" t="s">
        <v>29</v>
      </c>
      <c r="H718" s="139" t="s">
        <v>40</v>
      </c>
      <c r="I718" s="139" t="str">
        <f>IF(X718="ADMITIDO","ADMITIDO",IF(X718="CANCELADA","CANCELADA",IF(H718="","",IFERROR(_xlfn.XLOOKUP(H718,Listas!I:I,Listas!J:J),"OUTROS"))))</f>
        <v>ADMITIDO</v>
      </c>
      <c r="J718" s="427" t="s">
        <v>53</v>
      </c>
      <c r="K718" s="428" t="s">
        <v>347</v>
      </c>
      <c r="L718" s="428" t="s">
        <v>2091</v>
      </c>
      <c r="M718" s="428"/>
      <c r="N718" s="428" t="s">
        <v>2092</v>
      </c>
      <c r="O718" s="308" t="s">
        <v>34</v>
      </c>
      <c r="P718" s="308" t="s">
        <v>48</v>
      </c>
      <c r="Q718" s="308" t="s">
        <v>2093</v>
      </c>
      <c r="R718" s="431"/>
      <c r="S718" s="432"/>
      <c r="T718" s="431" t="s">
        <v>2094</v>
      </c>
      <c r="U718" s="327" t="s">
        <v>38</v>
      </c>
      <c r="V718" s="339">
        <v>46188</v>
      </c>
      <c r="W718" s="310" t="s">
        <v>2095</v>
      </c>
      <c r="X718" s="308" t="s">
        <v>40</v>
      </c>
      <c r="Y718" s="309">
        <v>46192</v>
      </c>
      <c r="Z718" s="433">
        <v>46193</v>
      </c>
      <c r="AA718" s="316">
        <v>146123</v>
      </c>
      <c r="AB718" s="351"/>
      <c r="AC718" s="351"/>
      <c r="AD718" s="316">
        <v>0</v>
      </c>
    </row>
    <row r="719" spans="1:30" ht="18" customHeight="1">
      <c r="A719" s="237">
        <v>30546</v>
      </c>
      <c r="B719" s="121">
        <v>1</v>
      </c>
      <c r="C719" s="238">
        <v>46174</v>
      </c>
      <c r="D719" s="105">
        <f t="shared" ca="1" si="28"/>
        <v>53</v>
      </c>
      <c r="E719" s="138" t="str">
        <f t="shared" si="29"/>
        <v>ADMITIDO</v>
      </c>
      <c r="F719" s="230" t="s">
        <v>42</v>
      </c>
      <c r="G719" s="147" t="s">
        <v>102</v>
      </c>
      <c r="H719" s="117" t="s">
        <v>40</v>
      </c>
      <c r="I719" s="117" t="str">
        <f>IF(X719="ADMITIDO","ADMITIDO",IF(X719="CANCELADA","CANCELADA",IF(H719="","",IFERROR(_xlfn.XLOOKUP(H719,Listas!I:I,Listas!J:J),"OUTROS"))))</f>
        <v>ADMITIDO</v>
      </c>
      <c r="J719" s="363" t="s">
        <v>53</v>
      </c>
      <c r="K719" s="240" t="s">
        <v>103</v>
      </c>
      <c r="L719" s="240" t="s">
        <v>1173</v>
      </c>
      <c r="M719" s="240"/>
      <c r="N719" s="240" t="s">
        <v>1174</v>
      </c>
      <c r="O719" s="119" t="s">
        <v>34</v>
      </c>
      <c r="P719" s="119" t="s">
        <v>57</v>
      </c>
      <c r="Q719" s="119" t="s">
        <v>1175</v>
      </c>
      <c r="R719" s="234"/>
      <c r="S719" s="273"/>
      <c r="T719" s="234"/>
      <c r="U719" s="73" t="s">
        <v>132</v>
      </c>
      <c r="V719" s="216">
        <v>46176</v>
      </c>
      <c r="W719" s="305" t="s">
        <v>2096</v>
      </c>
      <c r="X719" s="306" t="s">
        <v>40</v>
      </c>
      <c r="Y719" s="307">
        <v>46178</v>
      </c>
      <c r="Z719" s="120">
        <v>46183</v>
      </c>
      <c r="AA719" s="244">
        <v>146060</v>
      </c>
      <c r="AB719" s="241"/>
      <c r="AC719" s="241"/>
      <c r="AD719" s="244">
        <v>0</v>
      </c>
    </row>
    <row r="720" spans="1:30" ht="18" customHeight="1">
      <c r="A720" s="374">
        <v>30548</v>
      </c>
      <c r="B720" s="376">
        <v>1</v>
      </c>
      <c r="C720" s="375">
        <v>46174</v>
      </c>
      <c r="D720" s="367">
        <f t="shared" ca="1" si="28"/>
        <v>53</v>
      </c>
      <c r="E720" s="368" t="str">
        <f t="shared" si="29"/>
        <v>ADMITIDO</v>
      </c>
      <c r="F720" s="371" t="s">
        <v>28</v>
      </c>
      <c r="G720" s="369" t="s">
        <v>29</v>
      </c>
      <c r="H720" s="146" t="s">
        <v>40</v>
      </c>
      <c r="I720" s="146" t="str">
        <f>IF(X720="ADMITIDO","ADMITIDO",IF(X720="CANCELADA","CANCELADA",IF(H720="","",IFERROR(_xlfn.XLOOKUP(H720,Listas!I:I,Listas!J:J),"OUTROS"))))</f>
        <v>ADMITIDO</v>
      </c>
      <c r="J720" s="414" t="s">
        <v>146</v>
      </c>
      <c r="K720" s="415" t="s">
        <v>31</v>
      </c>
      <c r="L720" s="415" t="s">
        <v>2097</v>
      </c>
      <c r="M720" s="415"/>
      <c r="N720" s="415" t="s">
        <v>93</v>
      </c>
      <c r="O720" s="303" t="s">
        <v>34</v>
      </c>
      <c r="P720" s="303" t="s">
        <v>35</v>
      </c>
      <c r="Q720" s="303" t="s">
        <v>1805</v>
      </c>
      <c r="R720" s="418"/>
      <c r="S720" s="419"/>
      <c r="T720" s="418" t="s">
        <v>2098</v>
      </c>
      <c r="U720" s="326" t="s">
        <v>38</v>
      </c>
      <c r="V720" s="448">
        <v>46188</v>
      </c>
      <c r="W720" s="302" t="s">
        <v>2099</v>
      </c>
      <c r="X720" s="303" t="s">
        <v>40</v>
      </c>
      <c r="Y720" s="304">
        <v>46192</v>
      </c>
      <c r="Z720" s="449">
        <v>46193</v>
      </c>
      <c r="AA720" s="314">
        <v>914474</v>
      </c>
      <c r="AB720" s="346"/>
      <c r="AC720" s="346"/>
      <c r="AD720" s="314">
        <v>0</v>
      </c>
    </row>
    <row r="721" spans="1:30" ht="18" customHeight="1">
      <c r="A721" s="237">
        <v>30552</v>
      </c>
      <c r="B721" s="121">
        <v>1</v>
      </c>
      <c r="C721" s="238">
        <v>46174</v>
      </c>
      <c r="D721" s="105">
        <f t="shared" ca="1" si="28"/>
        <v>53</v>
      </c>
      <c r="E721" s="138" t="str">
        <f t="shared" si="29"/>
        <v>ADMITIDO</v>
      </c>
      <c r="F721" s="230" t="s">
        <v>42</v>
      </c>
      <c r="G721" s="147" t="s">
        <v>240</v>
      </c>
      <c r="H721" s="117" t="s">
        <v>181</v>
      </c>
      <c r="I721" s="117" t="str">
        <f>IF(X721="ADMITIDO","ADMITIDO",IF(X721="CANCELADA","CANCELADA",IF(H721="","",IFERROR(_xlfn.XLOOKUP(H721,Listas!I:I,Listas!J:J),"OUTROS"))))</f>
        <v>ADMITIDO</v>
      </c>
      <c r="J721" s="240" t="s">
        <v>53</v>
      </c>
      <c r="K721" s="240" t="s">
        <v>241</v>
      </c>
      <c r="L721" s="240" t="s">
        <v>312</v>
      </c>
      <c r="M721" s="240"/>
      <c r="N721" s="240" t="s">
        <v>243</v>
      </c>
      <c r="O721" s="119" t="s">
        <v>34</v>
      </c>
      <c r="P721" s="119" t="s">
        <v>48</v>
      </c>
      <c r="Q721" s="119" t="s">
        <v>131</v>
      </c>
      <c r="R721" s="234"/>
      <c r="S721" s="273" t="s">
        <v>65</v>
      </c>
      <c r="T721" s="234"/>
      <c r="U721" s="73" t="s">
        <v>76</v>
      </c>
      <c r="V721" s="216">
        <v>46223</v>
      </c>
      <c r="W721" s="118" t="s">
        <v>2100</v>
      </c>
      <c r="X721" s="119" t="s">
        <v>40</v>
      </c>
      <c r="Y721" s="120">
        <v>46225</v>
      </c>
      <c r="Z721" s="120">
        <v>46230</v>
      </c>
      <c r="AA721" s="244">
        <v>914672</v>
      </c>
      <c r="AB721" s="241"/>
      <c r="AC721" s="241"/>
      <c r="AD721" s="244">
        <v>0</v>
      </c>
    </row>
    <row r="722" spans="1:30" ht="18" customHeight="1">
      <c r="A722" s="237">
        <v>30545</v>
      </c>
      <c r="B722" s="121">
        <v>1</v>
      </c>
      <c r="C722" s="238">
        <v>46174</v>
      </c>
      <c r="D722" s="105">
        <f t="shared" ca="1" si="28"/>
        <v>53</v>
      </c>
      <c r="E722" s="138" t="str">
        <f t="shared" si="29"/>
        <v>ADMITIDO</v>
      </c>
      <c r="F722" s="230" t="s">
        <v>42</v>
      </c>
      <c r="G722" s="147" t="s">
        <v>69</v>
      </c>
      <c r="H722" s="117" t="s">
        <v>40</v>
      </c>
      <c r="I722" s="117" t="str">
        <f>IF(X722="ADMITIDO","ADMITIDO",IF(X722="CANCELADA","CANCELADA",IF(H722="","",IFERROR(_xlfn.XLOOKUP(H722,Listas!I:I,Listas!J:J),"OUTROS"))))</f>
        <v>ADMITIDO</v>
      </c>
      <c r="J722" s="240" t="s">
        <v>44</v>
      </c>
      <c r="K722" s="240" t="s">
        <v>158</v>
      </c>
      <c r="L722" s="240" t="s">
        <v>2101</v>
      </c>
      <c r="M722" s="240"/>
      <c r="N722" s="240" t="s">
        <v>63</v>
      </c>
      <c r="O722" s="119" t="s">
        <v>34</v>
      </c>
      <c r="P722" s="119" t="s">
        <v>57</v>
      </c>
      <c r="Q722" s="119" t="s">
        <v>2102</v>
      </c>
      <c r="R722" s="234"/>
      <c r="S722" s="273"/>
      <c r="T722" s="234"/>
      <c r="U722" s="73" t="s">
        <v>109</v>
      </c>
      <c r="V722" s="216">
        <v>46196</v>
      </c>
      <c r="W722" s="118" t="s">
        <v>2103</v>
      </c>
      <c r="X722" s="119" t="s">
        <v>40</v>
      </c>
      <c r="Y722" s="120">
        <v>46203</v>
      </c>
      <c r="Z722" s="120">
        <v>46205</v>
      </c>
      <c r="AA722" s="244">
        <v>914545</v>
      </c>
      <c r="AB722" s="241" t="s">
        <v>2104</v>
      </c>
      <c r="AC722" s="241"/>
      <c r="AD722" s="244">
        <v>1</v>
      </c>
    </row>
    <row r="723" spans="1:30" ht="18" customHeight="1">
      <c r="A723" s="396">
        <v>30540</v>
      </c>
      <c r="B723" s="405">
        <v>1</v>
      </c>
      <c r="C723" s="404">
        <v>46174</v>
      </c>
      <c r="D723" s="386">
        <f t="shared" ca="1" si="28"/>
        <v>53</v>
      </c>
      <c r="E723" s="170" t="str">
        <f t="shared" si="29"/>
        <v>ADMITIDO</v>
      </c>
      <c r="F723" s="397" t="s">
        <v>28</v>
      </c>
      <c r="G723" s="392" t="s">
        <v>663</v>
      </c>
      <c r="H723" s="139" t="s">
        <v>40</v>
      </c>
      <c r="I723" s="139" t="str">
        <f>IF(X723="ADMITIDO","ADMITIDO",IF(X723="CANCELADA","CANCELADA",IF(H723="","",IFERROR(_xlfn.XLOOKUP(H723,Listas!I:I,Listas!J:J),"OUTROS"))))</f>
        <v>ADMITIDO</v>
      </c>
      <c r="J723" s="427" t="s">
        <v>146</v>
      </c>
      <c r="K723" s="428" t="s">
        <v>614</v>
      </c>
      <c r="L723" s="428" t="s">
        <v>1232</v>
      </c>
      <c r="M723" s="428"/>
      <c r="N723" s="428" t="s">
        <v>88</v>
      </c>
      <c r="O723" s="308" t="s">
        <v>56</v>
      </c>
      <c r="P723" s="308" t="s">
        <v>35</v>
      </c>
      <c r="Q723" s="308" t="s">
        <v>357</v>
      </c>
      <c r="R723" s="431"/>
      <c r="S723" s="432"/>
      <c r="T723" s="352" t="s">
        <v>2105</v>
      </c>
      <c r="U723" s="327" t="s">
        <v>38</v>
      </c>
      <c r="V723" s="315">
        <v>46181</v>
      </c>
      <c r="W723" s="251" t="s">
        <v>2106</v>
      </c>
      <c r="X723" s="308" t="s">
        <v>40</v>
      </c>
      <c r="Y723" s="309">
        <v>46185</v>
      </c>
      <c r="Z723" s="309">
        <v>46186</v>
      </c>
      <c r="AA723" s="316">
        <v>914435</v>
      </c>
      <c r="AB723" s="351"/>
      <c r="AC723" s="351"/>
      <c r="AD723" s="316">
        <v>0</v>
      </c>
    </row>
    <row r="724" spans="1:30" ht="18" customHeight="1">
      <c r="A724" s="237">
        <v>30555</v>
      </c>
      <c r="B724" s="121">
        <v>1</v>
      </c>
      <c r="C724" s="238">
        <v>46174</v>
      </c>
      <c r="D724" s="105">
        <f t="shared" ca="1" si="28"/>
        <v>53</v>
      </c>
      <c r="E724" s="138" t="str">
        <f t="shared" si="29"/>
        <v>ADMITIDO</v>
      </c>
      <c r="F724" s="230" t="s">
        <v>42</v>
      </c>
      <c r="G724" s="147" t="s">
        <v>43</v>
      </c>
      <c r="H724" s="117" t="s">
        <v>40</v>
      </c>
      <c r="I724" s="117" t="str">
        <f>IF(X724="ADMITIDO","ADMITIDO",IF(X724="CANCELADA","CANCELADA",IF(H724="","",IFERROR(_xlfn.XLOOKUP(H724,Listas!I:I,Listas!J:J),"OUTROS"))))</f>
        <v>ADMITIDO</v>
      </c>
      <c r="J724" s="363" t="s">
        <v>53</v>
      </c>
      <c r="K724" s="240" t="s">
        <v>189</v>
      </c>
      <c r="L724" s="240" t="s">
        <v>2107</v>
      </c>
      <c r="M724" s="240"/>
      <c r="N724" s="240" t="s">
        <v>337</v>
      </c>
      <c r="O724" s="119" t="s">
        <v>34</v>
      </c>
      <c r="P724" s="119" t="s">
        <v>57</v>
      </c>
      <c r="Q724" s="119" t="s">
        <v>73</v>
      </c>
      <c r="R724" s="234"/>
      <c r="S724" s="273" t="s">
        <v>1321</v>
      </c>
      <c r="T724" s="274">
        <v>11963361087</v>
      </c>
      <c r="U724" s="73" t="s">
        <v>67</v>
      </c>
      <c r="V724" s="216">
        <v>46181</v>
      </c>
      <c r="W724" s="302" t="s">
        <v>2108</v>
      </c>
      <c r="X724" s="303" t="s">
        <v>40</v>
      </c>
      <c r="Y724" s="304">
        <v>46188</v>
      </c>
      <c r="Z724" s="120">
        <v>46188</v>
      </c>
      <c r="AA724" s="244">
        <v>146082</v>
      </c>
      <c r="AB724" s="241"/>
      <c r="AC724" s="241"/>
      <c r="AD724" s="244">
        <v>0</v>
      </c>
    </row>
    <row r="725" spans="1:30" ht="18" customHeight="1">
      <c r="A725" s="237">
        <v>30560</v>
      </c>
      <c r="B725" s="121">
        <v>1</v>
      </c>
      <c r="C725" s="238">
        <v>46174</v>
      </c>
      <c r="D725" s="105">
        <f t="shared" ca="1" si="28"/>
        <v>53</v>
      </c>
      <c r="E725" s="138" t="str">
        <f t="shared" si="29"/>
        <v>ADMITIDO</v>
      </c>
      <c r="F725" s="230" t="s">
        <v>42</v>
      </c>
      <c r="G725" s="147" t="s">
        <v>43</v>
      </c>
      <c r="H725" s="117" t="s">
        <v>40</v>
      </c>
      <c r="I725" s="117" t="str">
        <f>IF(X725="ADMITIDO","ADMITIDO",IF(X725="CANCELADA","CANCELADA",IF(H725="","",IFERROR(_xlfn.XLOOKUP(H725,Listas!I:I,Listas!J:J),"OUTROS"))))</f>
        <v>ADMITIDO</v>
      </c>
      <c r="J725" s="363" t="s">
        <v>116</v>
      </c>
      <c r="K725" s="240" t="s">
        <v>189</v>
      </c>
      <c r="L725" s="240" t="s">
        <v>2109</v>
      </c>
      <c r="M725" s="600"/>
      <c r="N725" t="s">
        <v>191</v>
      </c>
      <c r="O725" s="119" t="s">
        <v>34</v>
      </c>
      <c r="P725" s="119" t="s">
        <v>48</v>
      </c>
      <c r="Q725" s="119" t="s">
        <v>120</v>
      </c>
      <c r="R725" s="234" t="s">
        <v>2110</v>
      </c>
      <c r="S725" s="273" t="s">
        <v>2111</v>
      </c>
      <c r="T725" s="234">
        <v>71987986469</v>
      </c>
      <c r="U725" s="73" t="s">
        <v>50</v>
      </c>
      <c r="V725" s="300">
        <v>46185</v>
      </c>
      <c r="W725" s="118" t="s">
        <v>2112</v>
      </c>
      <c r="X725" s="119" t="s">
        <v>40</v>
      </c>
      <c r="Y725" s="120">
        <v>46197</v>
      </c>
      <c r="Z725" s="249">
        <v>46198</v>
      </c>
      <c r="AA725" s="244">
        <v>146133</v>
      </c>
      <c r="AB725" s="241"/>
      <c r="AC725" s="241"/>
      <c r="AD725" s="244">
        <v>0</v>
      </c>
    </row>
    <row r="726" spans="1:30" ht="18" customHeight="1">
      <c r="A726" s="237">
        <v>30579</v>
      </c>
      <c r="B726" s="121">
        <v>1</v>
      </c>
      <c r="C726" s="238">
        <v>46175</v>
      </c>
      <c r="D726" s="105">
        <f t="shared" ref="D726:D789" ca="1" si="30">TODAY()-C726</f>
        <v>52</v>
      </c>
      <c r="E726" s="138" t="str">
        <f t="shared" ref="E726:E751" si="31">IF(X726="ADMITIDO","ADMITIDO",IF(X726="CANCELADA","CANCELADA",IF(H726="","",IF(H726="ADMITIDO","ADMITIDO",IF(H726="CANCELADA","CANCELADA",IF(OR(H726="ANALISE CANCELAMENTO",H726="ANÁLISE CANCELAMENTO"),"EM ANÁLISE",IF(D726="","",IF(D726&lt;=7,"NO PRAZO",IF(D726&lt;=14,"ATENÇÃO","CRÍTICO")))))))))</f>
        <v>ADMITIDO</v>
      </c>
      <c r="F726" s="230" t="s">
        <v>42</v>
      </c>
      <c r="G726" s="147" t="s">
        <v>552</v>
      </c>
      <c r="H726" s="117" t="s">
        <v>40</v>
      </c>
      <c r="I726" s="117" t="str">
        <f>IF(X726="ADMITIDO","ADMITIDO",IF(X726="CANCELADA","CANCELADA",IF(H726="","",IFERROR(_xlfn.XLOOKUP(H726,Listas!I:I,Listas!J:J),"OUTROS"))))</f>
        <v>ADMITIDO</v>
      </c>
      <c r="J726" s="363" t="s">
        <v>44</v>
      </c>
      <c r="K726" s="240" t="s">
        <v>553</v>
      </c>
      <c r="L726" s="240" t="s">
        <v>554</v>
      </c>
      <c r="M726" s="240"/>
      <c r="N726" s="248" t="s">
        <v>1186</v>
      </c>
      <c r="O726" s="119" t="s">
        <v>34</v>
      </c>
      <c r="P726" s="119" t="s">
        <v>57</v>
      </c>
      <c r="Q726" s="119" t="s">
        <v>98</v>
      </c>
      <c r="R726" s="234"/>
      <c r="S726" s="273"/>
      <c r="T726" s="234"/>
      <c r="U726" s="73" t="s">
        <v>552</v>
      </c>
      <c r="V726" s="216">
        <v>46174</v>
      </c>
      <c r="W726" s="310" t="s">
        <v>2113</v>
      </c>
      <c r="X726" s="308" t="s">
        <v>40</v>
      </c>
      <c r="Y726" s="309">
        <v>46177</v>
      </c>
      <c r="Z726" s="120">
        <v>46177</v>
      </c>
      <c r="AA726" s="244">
        <v>914395</v>
      </c>
      <c r="AB726" s="241"/>
      <c r="AC726" s="241"/>
      <c r="AD726" s="244">
        <v>0</v>
      </c>
    </row>
    <row r="727" spans="1:30" ht="18" customHeight="1">
      <c r="A727" s="237">
        <v>30594</v>
      </c>
      <c r="B727" s="121">
        <v>1</v>
      </c>
      <c r="C727" s="238">
        <v>46175</v>
      </c>
      <c r="D727" s="105">
        <f t="shared" ca="1" si="30"/>
        <v>52</v>
      </c>
      <c r="E727" s="138" t="str">
        <f t="shared" si="31"/>
        <v>ADMITIDO</v>
      </c>
      <c r="F727" s="230" t="s">
        <v>171</v>
      </c>
      <c r="G727" s="147" t="s">
        <v>43</v>
      </c>
      <c r="H727" s="117" t="s">
        <v>40</v>
      </c>
      <c r="I727" s="117" t="str">
        <f>IF(X727="ADMITIDO","ADMITIDO",IF(X727="CANCELADA","CANCELADA",IF(H727="","",IFERROR(_xlfn.XLOOKUP(H727,Listas!I:I,Listas!J:J),"OUTROS"))))</f>
        <v>ADMITIDO</v>
      </c>
      <c r="J727" s="363" t="s">
        <v>172</v>
      </c>
      <c r="K727" s="240" t="s">
        <v>1808</v>
      </c>
      <c r="L727" s="240" t="s">
        <v>788</v>
      </c>
      <c r="M727" s="240"/>
      <c r="N727" s="240" t="s">
        <v>337</v>
      </c>
      <c r="O727" s="119" t="s">
        <v>34</v>
      </c>
      <c r="P727" s="119" t="s">
        <v>35</v>
      </c>
      <c r="Q727" s="119" t="s">
        <v>36</v>
      </c>
      <c r="R727" s="234"/>
      <c r="S727" s="273"/>
      <c r="T727" s="274" t="s">
        <v>2114</v>
      </c>
      <c r="U727" s="326" t="s">
        <v>67</v>
      </c>
      <c r="V727" s="313">
        <v>46175</v>
      </c>
      <c r="W727" s="302" t="s">
        <v>2115</v>
      </c>
      <c r="X727" s="119" t="s">
        <v>40</v>
      </c>
      <c r="Y727" s="120">
        <v>46183</v>
      </c>
      <c r="Z727" s="120">
        <v>46183</v>
      </c>
      <c r="AA727" s="244">
        <v>83338</v>
      </c>
      <c r="AB727" s="241"/>
      <c r="AC727" s="241"/>
      <c r="AD727" s="244">
        <v>0</v>
      </c>
    </row>
    <row r="728" spans="1:30" ht="18" customHeight="1">
      <c r="A728" s="237">
        <v>30567</v>
      </c>
      <c r="B728" s="121">
        <v>1</v>
      </c>
      <c r="C728" s="238">
        <v>46175</v>
      </c>
      <c r="D728" s="105">
        <f t="shared" ca="1" si="30"/>
        <v>52</v>
      </c>
      <c r="E728" s="138" t="str">
        <f t="shared" si="31"/>
        <v>ADMITIDO</v>
      </c>
      <c r="F728" s="230" t="s">
        <v>42</v>
      </c>
      <c r="G728" s="147" t="s">
        <v>663</v>
      </c>
      <c r="H728" s="117" t="s">
        <v>40</v>
      </c>
      <c r="I728" s="117" t="str">
        <f>IF(X728="ADMITIDO","ADMITIDO",IF(X728="CANCELADA","CANCELADA",IF(H728="","",IFERROR(_xlfn.XLOOKUP(H728,Listas!I:I,Listas!J:J),"OUTROS"))))</f>
        <v>ADMITIDO</v>
      </c>
      <c r="J728" s="363" t="s">
        <v>53</v>
      </c>
      <c r="K728" s="240" t="s">
        <v>54</v>
      </c>
      <c r="L728" s="240" t="s">
        <v>164</v>
      </c>
      <c r="M728" s="240"/>
      <c r="N728" s="240" t="s">
        <v>88</v>
      </c>
      <c r="O728" s="119" t="s">
        <v>34</v>
      </c>
      <c r="P728" s="119" t="s">
        <v>57</v>
      </c>
      <c r="Q728" s="119" t="s">
        <v>231</v>
      </c>
      <c r="R728" s="234"/>
      <c r="S728" s="273"/>
      <c r="T728" s="324" t="s">
        <v>2116</v>
      </c>
      <c r="U728" s="117" t="s">
        <v>38</v>
      </c>
      <c r="V728" s="216" t="s">
        <v>2117</v>
      </c>
      <c r="W728" s="236" t="s">
        <v>2118</v>
      </c>
      <c r="X728" s="333" t="s">
        <v>40</v>
      </c>
      <c r="Y728" s="304">
        <v>46197</v>
      </c>
      <c r="Z728" s="120">
        <v>46198</v>
      </c>
      <c r="AA728" s="244">
        <v>146144</v>
      </c>
      <c r="AB728" s="241" t="s">
        <v>2119</v>
      </c>
      <c r="AC728" s="241"/>
      <c r="AD728" s="244">
        <v>2</v>
      </c>
    </row>
    <row r="729" spans="1:30" ht="18" customHeight="1">
      <c r="A729" s="237">
        <v>30574</v>
      </c>
      <c r="B729" s="121">
        <v>1</v>
      </c>
      <c r="C729" s="238">
        <v>46175</v>
      </c>
      <c r="D729" s="105">
        <f t="shared" ca="1" si="30"/>
        <v>52</v>
      </c>
      <c r="E729" s="138" t="str">
        <f t="shared" si="31"/>
        <v>ADMITIDO</v>
      </c>
      <c r="F729" s="230" t="s">
        <v>42</v>
      </c>
      <c r="G729" s="147" t="s">
        <v>663</v>
      </c>
      <c r="H729" s="117" t="s">
        <v>40</v>
      </c>
      <c r="I729" s="117" t="str">
        <f>IF(X729="ADMITIDO","ADMITIDO",IF(X729="CANCELADA","CANCELADA",IF(H729="","",IFERROR(_xlfn.XLOOKUP(H729,Listas!I:I,Listas!J:J),"OUTROS"))))</f>
        <v>ADMITIDO</v>
      </c>
      <c r="J729" s="363" t="s">
        <v>53</v>
      </c>
      <c r="K729" s="240" t="s">
        <v>54</v>
      </c>
      <c r="L729" s="240" t="s">
        <v>164</v>
      </c>
      <c r="M729" s="240"/>
      <c r="N729" s="240" t="s">
        <v>88</v>
      </c>
      <c r="O729" s="119" t="s">
        <v>34</v>
      </c>
      <c r="P729" s="119" t="s">
        <v>57</v>
      </c>
      <c r="Q729" s="119" t="s">
        <v>231</v>
      </c>
      <c r="R729" s="234"/>
      <c r="S729" s="273"/>
      <c r="T729" s="274" t="s">
        <v>2120</v>
      </c>
      <c r="U729" s="139" t="s">
        <v>38</v>
      </c>
      <c r="V729" s="339">
        <v>46188</v>
      </c>
      <c r="W729" s="340" t="s">
        <v>2121</v>
      </c>
      <c r="X729" s="119" t="s">
        <v>40</v>
      </c>
      <c r="Y729" s="120">
        <v>46192</v>
      </c>
      <c r="Z729" s="301">
        <v>46193</v>
      </c>
      <c r="AA729" s="244">
        <v>146124</v>
      </c>
      <c r="AB729" s="241" t="s">
        <v>2122</v>
      </c>
      <c r="AC729" s="241"/>
      <c r="AD729" s="244">
        <v>2</v>
      </c>
    </row>
    <row r="730" spans="1:30" ht="18" customHeight="1">
      <c r="A730" s="237">
        <v>30575</v>
      </c>
      <c r="B730" s="121">
        <v>1</v>
      </c>
      <c r="C730" s="238">
        <v>46175</v>
      </c>
      <c r="D730" s="105">
        <f t="shared" ca="1" si="30"/>
        <v>52</v>
      </c>
      <c r="E730" s="138" t="str">
        <f t="shared" si="31"/>
        <v>ADMITIDO</v>
      </c>
      <c r="F730" s="230" t="s">
        <v>42</v>
      </c>
      <c r="G730" s="147" t="s">
        <v>29</v>
      </c>
      <c r="H730" s="117" t="s">
        <v>40</v>
      </c>
      <c r="I730" s="117" t="str">
        <f>IF(X730="ADMITIDO","ADMITIDO",IF(X730="CANCELADA","CANCELADA",IF(H730="","",IFERROR(_xlfn.XLOOKUP(H730,Listas!I:I,Listas!J:J),"OUTROS"))))</f>
        <v>ADMITIDO</v>
      </c>
      <c r="J730" s="363" t="s">
        <v>53</v>
      </c>
      <c r="K730" s="240" t="s">
        <v>54</v>
      </c>
      <c r="L730" s="240" t="s">
        <v>164</v>
      </c>
      <c r="M730" s="240"/>
      <c r="N730" s="240" t="s">
        <v>88</v>
      </c>
      <c r="O730" s="119" t="s">
        <v>34</v>
      </c>
      <c r="P730" s="119" t="s">
        <v>57</v>
      </c>
      <c r="Q730" s="119" t="s">
        <v>94</v>
      </c>
      <c r="R730" s="234"/>
      <c r="S730" s="273"/>
      <c r="T730" s="234" t="s">
        <v>2123</v>
      </c>
      <c r="U730" s="73" t="s">
        <v>38</v>
      </c>
      <c r="V730" s="216">
        <v>46271</v>
      </c>
      <c r="W730" s="310" t="s">
        <v>2124</v>
      </c>
      <c r="X730" s="308" t="s">
        <v>40</v>
      </c>
      <c r="Y730" s="309">
        <v>46185</v>
      </c>
      <c r="Z730" s="120">
        <v>46188</v>
      </c>
      <c r="AA730" s="244">
        <v>146087</v>
      </c>
      <c r="AB730" s="241"/>
      <c r="AC730" s="241"/>
      <c r="AD730" s="244">
        <v>0</v>
      </c>
    </row>
    <row r="731" spans="1:30" ht="18" customHeight="1">
      <c r="A731" s="237">
        <v>30576</v>
      </c>
      <c r="B731" s="121">
        <v>1</v>
      </c>
      <c r="C731" s="238">
        <v>46175</v>
      </c>
      <c r="D731" s="105">
        <f t="shared" ca="1" si="30"/>
        <v>52</v>
      </c>
      <c r="E731" s="138" t="str">
        <f t="shared" si="31"/>
        <v>ADMITIDO</v>
      </c>
      <c r="F731" s="230" t="s">
        <v>42</v>
      </c>
      <c r="G731" s="147" t="s">
        <v>663</v>
      </c>
      <c r="H731" s="117" t="s">
        <v>40</v>
      </c>
      <c r="I731" s="117" t="str">
        <f>IF(X731="ADMITIDO","ADMITIDO",IF(X731="CANCELADA","CANCELADA",IF(H731="","",IFERROR(_xlfn.XLOOKUP(H731,Listas!I:I,Listas!J:J),"OUTROS"))))</f>
        <v>ADMITIDO</v>
      </c>
      <c r="J731" s="363" t="s">
        <v>53</v>
      </c>
      <c r="K731" s="240" t="s">
        <v>54</v>
      </c>
      <c r="L731" s="240" t="s">
        <v>164</v>
      </c>
      <c r="M731" s="240"/>
      <c r="N731" s="240" t="s">
        <v>88</v>
      </c>
      <c r="O731" s="119" t="s">
        <v>34</v>
      </c>
      <c r="P731" s="119" t="s">
        <v>57</v>
      </c>
      <c r="Q731" s="119" t="s">
        <v>231</v>
      </c>
      <c r="R731" s="234"/>
      <c r="S731" s="273"/>
      <c r="T731" s="234" t="s">
        <v>2125</v>
      </c>
      <c r="U731" s="326" t="s">
        <v>38</v>
      </c>
      <c r="V731" s="313">
        <v>46028</v>
      </c>
      <c r="W731" s="302" t="s">
        <v>2126</v>
      </c>
      <c r="X731" s="303" t="s">
        <v>40</v>
      </c>
      <c r="Y731" s="304">
        <v>46178</v>
      </c>
      <c r="Z731" s="120">
        <v>46179</v>
      </c>
      <c r="AA731" s="244">
        <v>146050</v>
      </c>
      <c r="AB731" s="241"/>
      <c r="AC731" s="241"/>
      <c r="AD731" s="244">
        <v>0</v>
      </c>
    </row>
    <row r="732" spans="1:30" ht="18" customHeight="1">
      <c r="A732" s="237">
        <v>30577</v>
      </c>
      <c r="B732" s="121">
        <v>1</v>
      </c>
      <c r="C732" s="238">
        <v>46175</v>
      </c>
      <c r="D732" s="105">
        <f t="shared" ca="1" si="30"/>
        <v>52</v>
      </c>
      <c r="E732" s="138" t="str">
        <f t="shared" si="31"/>
        <v>ADMITIDO</v>
      </c>
      <c r="F732" s="230" t="s">
        <v>42</v>
      </c>
      <c r="G732" s="147" t="s">
        <v>663</v>
      </c>
      <c r="H732" s="117" t="s">
        <v>40</v>
      </c>
      <c r="I732" s="117" t="str">
        <f>IF(X732="ADMITIDO","ADMITIDO",IF(X732="CANCELADA","CANCELADA",IF(H732="","",IFERROR(_xlfn.XLOOKUP(H732,Listas!I:I,Listas!J:J),"OUTROS"))))</f>
        <v>ADMITIDO</v>
      </c>
      <c r="J732" s="363" t="s">
        <v>53</v>
      </c>
      <c r="K732" s="240" t="s">
        <v>54</v>
      </c>
      <c r="L732" s="240" t="s">
        <v>164</v>
      </c>
      <c r="M732" s="240"/>
      <c r="N732" s="240" t="s">
        <v>88</v>
      </c>
      <c r="O732" s="119" t="s">
        <v>34</v>
      </c>
      <c r="P732" s="119" t="s">
        <v>57</v>
      </c>
      <c r="Q732" s="119" t="s">
        <v>231</v>
      </c>
      <c r="R732" s="234"/>
      <c r="S732" s="273"/>
      <c r="T732" s="324" t="s">
        <v>2127</v>
      </c>
      <c r="U732" s="73" t="s">
        <v>38</v>
      </c>
      <c r="V732" s="216" t="s">
        <v>2128</v>
      </c>
      <c r="W732" s="331" t="s">
        <v>2129</v>
      </c>
      <c r="X732" s="334" t="s">
        <v>40</v>
      </c>
      <c r="Y732" s="120">
        <v>46197</v>
      </c>
      <c r="Z732" s="301">
        <v>46167</v>
      </c>
      <c r="AA732" s="244">
        <v>146141</v>
      </c>
      <c r="AB732" s="241" t="s">
        <v>2130</v>
      </c>
      <c r="AC732" s="241"/>
      <c r="AD732" s="244">
        <v>2</v>
      </c>
    </row>
    <row r="733" spans="1:30" ht="18" customHeight="1">
      <c r="A733" s="237">
        <v>30578</v>
      </c>
      <c r="B733" s="121">
        <v>1</v>
      </c>
      <c r="C733" s="238">
        <v>46175</v>
      </c>
      <c r="D733" s="105">
        <f t="shared" ca="1" si="30"/>
        <v>52</v>
      </c>
      <c r="E733" s="138" t="str">
        <f>IF(X733="ADMITIDO","ADMITIDO",IF(X733="CANCELADA","CANCELADA",IF(H733="","",IF(H733="ADMITIDO","ADMITIDO",IF(H733="CANCELADA","CANCELADA",IF(OR(H733="ANALISE CANCELAMENTO",H733="ANÁLISE CANCELAMENTO"),"EM ANÁLISE",IF(D733="","",IF(D733&lt;=7,"NO PRAZO",IF(D733&lt;=14,"ATENÇÃO","CRÍTICO")))))))))</f>
        <v>ADMITIDO</v>
      </c>
      <c r="F733" s="230" t="s">
        <v>42</v>
      </c>
      <c r="G733" s="147" t="s">
        <v>29</v>
      </c>
      <c r="H733" s="117" t="s">
        <v>40</v>
      </c>
      <c r="I733" s="117" t="str">
        <f>IF(X733="ADMITIDO","ADMITIDO",IF(X733="CANCELADA","CANCELADA",IF(H733="","",IFERROR(_xlfn.XLOOKUP(H733,Listas!I:I,Listas!J:J),"OUTROS"))))</f>
        <v>ADMITIDO</v>
      </c>
      <c r="J733" s="363" t="s">
        <v>53</v>
      </c>
      <c r="K733" s="240" t="s">
        <v>54</v>
      </c>
      <c r="L733" s="240" t="s">
        <v>164</v>
      </c>
      <c r="M733" s="240"/>
      <c r="N733" s="240" t="s">
        <v>88</v>
      </c>
      <c r="O733" s="119" t="s">
        <v>34</v>
      </c>
      <c r="P733" s="119" t="s">
        <v>57</v>
      </c>
      <c r="Q733" s="119" t="s">
        <v>231</v>
      </c>
      <c r="R733" s="234"/>
      <c r="S733" s="273"/>
      <c r="T733" s="274" t="s">
        <v>2131</v>
      </c>
      <c r="U733" s="327" t="s">
        <v>38</v>
      </c>
      <c r="V733" s="339">
        <v>46184</v>
      </c>
      <c r="W733" s="310" t="s">
        <v>2132</v>
      </c>
      <c r="X733" s="119" t="s">
        <v>40</v>
      </c>
      <c r="Y733" s="120">
        <v>46188</v>
      </c>
      <c r="Z733" s="301">
        <v>46189</v>
      </c>
      <c r="AA733" s="244">
        <v>146092</v>
      </c>
      <c r="AB733" s="241"/>
      <c r="AC733" s="241"/>
      <c r="AD733" s="244">
        <v>0</v>
      </c>
    </row>
    <row r="734" spans="1:30" ht="18" customHeight="1">
      <c r="A734" s="237">
        <v>30589</v>
      </c>
      <c r="B734" s="121">
        <v>1</v>
      </c>
      <c r="C734" s="238">
        <v>46175</v>
      </c>
      <c r="D734" s="105">
        <f t="shared" ca="1" si="30"/>
        <v>52</v>
      </c>
      <c r="E734" s="138" t="str">
        <f>IF(X733="ADMITIDO","ADMITIDO",IF(X733="CANCELADA","CANCELADA",IF(H734="","",IF(H734="ADMITIDO","ADMITIDO",IF(H734="CANCELADA","CANCELADA",IF(OR(H734="ANALISE CANCELAMENTO",H734="ANÁLISE CANCELAMENTO"),"EM ANÁLISE",IF(D734="","",IF(D734&lt;=7,"NO PRAZO",IF(D734&lt;=14,"ATENÇÃO","CRÍTICO")))))))))</f>
        <v>ADMITIDO</v>
      </c>
      <c r="F734" s="230" t="s">
        <v>42</v>
      </c>
      <c r="G734" s="147" t="s">
        <v>29</v>
      </c>
      <c r="H734" s="117" t="s">
        <v>40</v>
      </c>
      <c r="I734" s="117" t="str">
        <f>IF(X734="ADMITIDO","ADMITIDO",IF(X734="CANCELADA","CANCELADA",IF(H734="","",IFERROR(_xlfn.XLOOKUP(H734,Listas!I:I,Listas!J:J),"OUTROS"))))</f>
        <v>ADMITIDO</v>
      </c>
      <c r="J734" s="363" t="s">
        <v>53</v>
      </c>
      <c r="K734" s="240" t="s">
        <v>54</v>
      </c>
      <c r="L734" s="240" t="s">
        <v>164</v>
      </c>
      <c r="M734" s="240"/>
      <c r="N734" s="240" t="s">
        <v>88</v>
      </c>
      <c r="O734" s="119" t="s">
        <v>34</v>
      </c>
      <c r="P734" s="119" t="s">
        <v>57</v>
      </c>
      <c r="Q734" s="119" t="s">
        <v>94</v>
      </c>
      <c r="R734" s="234"/>
      <c r="S734" s="273"/>
      <c r="T734" s="234" t="s">
        <v>2133</v>
      </c>
      <c r="U734" s="73" t="s">
        <v>38</v>
      </c>
      <c r="V734" s="216">
        <v>46271</v>
      </c>
      <c r="W734" s="305" t="s">
        <v>2134</v>
      </c>
      <c r="X734" s="65" t="s">
        <v>40</v>
      </c>
      <c r="Y734" s="307">
        <v>46185</v>
      </c>
      <c r="Z734" s="120">
        <v>46188</v>
      </c>
      <c r="AA734" s="244">
        <v>146086</v>
      </c>
      <c r="AB734" s="241"/>
      <c r="AC734" s="241"/>
      <c r="AD734" s="244">
        <v>0</v>
      </c>
    </row>
    <row r="735" spans="1:30" ht="18" customHeight="1">
      <c r="A735" s="237">
        <v>30599</v>
      </c>
      <c r="B735" s="121">
        <v>1</v>
      </c>
      <c r="C735" s="238">
        <v>46175</v>
      </c>
      <c r="D735" s="105">
        <f t="shared" ca="1" si="30"/>
        <v>52</v>
      </c>
      <c r="E735" s="138" t="str">
        <f t="shared" si="31"/>
        <v>ADMITIDO</v>
      </c>
      <c r="F735" s="230" t="s">
        <v>42</v>
      </c>
      <c r="G735" s="147" t="s">
        <v>663</v>
      </c>
      <c r="H735" s="117" t="s">
        <v>40</v>
      </c>
      <c r="I735" s="117" t="str">
        <f>IF(X735="ADMITIDO","ADMITIDO",IF(X735="CANCELADA","CANCELADA",IF(H735="","",IFERROR(_xlfn.XLOOKUP(H735,Listas!I:I,Listas!J:J),"OUTROS"))))</f>
        <v>ADMITIDO</v>
      </c>
      <c r="J735" s="363" t="s">
        <v>53</v>
      </c>
      <c r="K735" s="240" t="s">
        <v>54</v>
      </c>
      <c r="L735" s="240" t="s">
        <v>164</v>
      </c>
      <c r="M735" s="240"/>
      <c r="N735" s="240" t="s">
        <v>88</v>
      </c>
      <c r="O735" s="119" t="s">
        <v>34</v>
      </c>
      <c r="P735" s="119" t="s">
        <v>57</v>
      </c>
      <c r="Q735" s="119" t="s">
        <v>231</v>
      </c>
      <c r="R735" s="234"/>
      <c r="S735" s="273"/>
      <c r="T735" s="234" t="s">
        <v>2135</v>
      </c>
      <c r="U735" s="73" t="s">
        <v>38</v>
      </c>
      <c r="V735" s="216">
        <v>46189</v>
      </c>
      <c r="W735" s="251" t="s">
        <v>2136</v>
      </c>
      <c r="X735" s="119" t="s">
        <v>40</v>
      </c>
      <c r="Y735" s="120">
        <v>46195</v>
      </c>
      <c r="Z735" s="301">
        <v>46196</v>
      </c>
      <c r="AA735" s="244">
        <v>146134</v>
      </c>
      <c r="AB735" s="241" t="s">
        <v>2137</v>
      </c>
      <c r="AC735" s="241"/>
      <c r="AD735" s="244">
        <v>1</v>
      </c>
    </row>
    <row r="736" spans="1:30" ht="18" customHeight="1">
      <c r="A736" s="237">
        <v>30601</v>
      </c>
      <c r="B736" s="121">
        <v>1</v>
      </c>
      <c r="C736" s="238">
        <v>46175</v>
      </c>
      <c r="D736" s="105">
        <f t="shared" ca="1" si="30"/>
        <v>52</v>
      </c>
      <c r="E736" s="138" t="str">
        <f t="shared" si="31"/>
        <v>ADMITIDO</v>
      </c>
      <c r="F736" s="230" t="s">
        <v>42</v>
      </c>
      <c r="G736" s="147" t="s">
        <v>145</v>
      </c>
      <c r="H736" s="117" t="s">
        <v>40</v>
      </c>
      <c r="I736" s="117" t="str">
        <f>IF(X736="ADMITIDO","ADMITIDO",IF(X736="CANCELADA","CANCELADA",IF(H736="","",IFERROR(_xlfn.XLOOKUP(H736,Listas!I:I,Listas!J:J),"OUTROS"))))</f>
        <v>ADMITIDO</v>
      </c>
      <c r="J736" s="363" t="s">
        <v>53</v>
      </c>
      <c r="K736" s="240" t="s">
        <v>54</v>
      </c>
      <c r="L736" s="240" t="s">
        <v>164</v>
      </c>
      <c r="M736" s="240"/>
      <c r="N736" s="240" t="s">
        <v>88</v>
      </c>
      <c r="O736" s="119" t="s">
        <v>34</v>
      </c>
      <c r="P736" s="119" t="s">
        <v>57</v>
      </c>
      <c r="Q736" s="119" t="s">
        <v>94</v>
      </c>
      <c r="R736" s="234"/>
      <c r="S736" s="273"/>
      <c r="T736" s="234" t="s">
        <v>2138</v>
      </c>
      <c r="U736" s="73" t="s">
        <v>38</v>
      </c>
      <c r="V736" s="216">
        <v>46301</v>
      </c>
      <c r="W736" s="305" t="s">
        <v>2139</v>
      </c>
      <c r="X736" s="306" t="s">
        <v>40</v>
      </c>
      <c r="Y736" s="307">
        <v>46185</v>
      </c>
      <c r="Z736" s="120">
        <v>46188</v>
      </c>
      <c r="AA736" s="244">
        <v>146091</v>
      </c>
      <c r="AB736" s="241"/>
      <c r="AC736" s="241"/>
      <c r="AD736" s="244">
        <v>0</v>
      </c>
    </row>
    <row r="737" spans="1:30" ht="18" customHeight="1">
      <c r="A737" s="237">
        <v>30602</v>
      </c>
      <c r="B737" s="121">
        <v>1</v>
      </c>
      <c r="C737" s="238">
        <v>46175</v>
      </c>
      <c r="D737" s="105">
        <f t="shared" ca="1" si="30"/>
        <v>52</v>
      </c>
      <c r="E737" s="138" t="str">
        <f t="shared" si="31"/>
        <v>ADMITIDO</v>
      </c>
      <c r="F737" s="230" t="s">
        <v>42</v>
      </c>
      <c r="G737" s="147" t="s">
        <v>145</v>
      </c>
      <c r="H737" s="117" t="s">
        <v>40</v>
      </c>
      <c r="I737" s="117" t="str">
        <f>IF(X737="ADMITIDO","ADMITIDO",IF(X737="CANCELADA","CANCELADA",IF(H737="","",IFERROR(_xlfn.XLOOKUP(H737,Listas!I:I,Listas!J:J),"OUTROS"))))</f>
        <v>ADMITIDO</v>
      </c>
      <c r="J737" s="363" t="s">
        <v>53</v>
      </c>
      <c r="K737" s="240" t="s">
        <v>54</v>
      </c>
      <c r="L737" s="240" t="s">
        <v>164</v>
      </c>
      <c r="M737" s="240"/>
      <c r="N737" s="240" t="s">
        <v>88</v>
      </c>
      <c r="O737" s="119" t="s">
        <v>34</v>
      </c>
      <c r="P737" s="119" t="s">
        <v>57</v>
      </c>
      <c r="Q737" s="119" t="s">
        <v>94</v>
      </c>
      <c r="R737" s="234"/>
      <c r="S737" s="273"/>
      <c r="T737" s="234" t="s">
        <v>2140</v>
      </c>
      <c r="U737" s="73" t="s">
        <v>38</v>
      </c>
      <c r="V737" s="300">
        <v>46332</v>
      </c>
      <c r="W737" s="118" t="s">
        <v>2141</v>
      </c>
      <c r="X737" s="119" t="s">
        <v>40</v>
      </c>
      <c r="Y737" s="120">
        <v>46192</v>
      </c>
      <c r="Z737" s="301">
        <v>46193</v>
      </c>
      <c r="AA737" s="244">
        <v>146113</v>
      </c>
      <c r="AB737" s="241"/>
      <c r="AC737" s="241"/>
      <c r="AD737" s="244">
        <v>0</v>
      </c>
    </row>
    <row r="738" spans="1:30" ht="18" customHeight="1">
      <c r="A738" s="237">
        <v>30572</v>
      </c>
      <c r="B738" s="121">
        <v>1</v>
      </c>
      <c r="C738" s="238">
        <v>46175</v>
      </c>
      <c r="D738" s="105">
        <f t="shared" ca="1" si="30"/>
        <v>52</v>
      </c>
      <c r="E738" s="138" t="str">
        <f t="shared" si="31"/>
        <v>ADMITIDO</v>
      </c>
      <c r="F738" s="230" t="s">
        <v>42</v>
      </c>
      <c r="G738" s="147" t="s">
        <v>29</v>
      </c>
      <c r="H738" s="117" t="s">
        <v>40</v>
      </c>
      <c r="I738" s="117" t="str">
        <f>IF(X738="ADMITIDO","ADMITIDO",IF(X738="CANCELADA","CANCELADA",IF(H738="","",IFERROR(_xlfn.XLOOKUP(H738,Listas!I:I,Listas!J:J),"OUTROS"))))</f>
        <v>ADMITIDO</v>
      </c>
      <c r="J738" s="363" t="s">
        <v>53</v>
      </c>
      <c r="K738" s="240" t="s">
        <v>54</v>
      </c>
      <c r="L738" s="240" t="s">
        <v>164</v>
      </c>
      <c r="M738" s="240"/>
      <c r="N738" s="240" t="s">
        <v>88</v>
      </c>
      <c r="O738" s="119" t="s">
        <v>56</v>
      </c>
      <c r="P738" s="119" t="s">
        <v>2012</v>
      </c>
      <c r="Q738" s="119" t="s">
        <v>165</v>
      </c>
      <c r="R738" s="234"/>
      <c r="S738" s="273"/>
      <c r="T738" s="274" t="s">
        <v>2142</v>
      </c>
      <c r="U738" s="73" t="s">
        <v>38</v>
      </c>
      <c r="V738" s="216">
        <v>46148</v>
      </c>
      <c r="W738" s="310" t="s">
        <v>2143</v>
      </c>
      <c r="X738" s="308" t="s">
        <v>40</v>
      </c>
      <c r="Y738" s="309">
        <v>46185</v>
      </c>
      <c r="Z738" s="120">
        <v>46188</v>
      </c>
      <c r="AA738" s="244">
        <v>146084</v>
      </c>
      <c r="AB738" s="241"/>
      <c r="AC738" s="241"/>
      <c r="AD738" s="244">
        <v>0</v>
      </c>
    </row>
    <row r="739" spans="1:30" ht="18" customHeight="1">
      <c r="A739" s="237">
        <v>30584</v>
      </c>
      <c r="B739" s="121">
        <v>1</v>
      </c>
      <c r="C739" s="238">
        <v>46175</v>
      </c>
      <c r="D739" s="105">
        <f t="shared" ca="1" si="30"/>
        <v>52</v>
      </c>
      <c r="E739" s="138" t="str">
        <f t="shared" si="31"/>
        <v>ADMITIDO</v>
      </c>
      <c r="F739" s="230" t="s">
        <v>42</v>
      </c>
      <c r="G739" s="147" t="s">
        <v>60</v>
      </c>
      <c r="H739" s="117" t="s">
        <v>40</v>
      </c>
      <c r="I739" s="117" t="str">
        <f>IF(X739="ADMITIDO","ADMITIDO",IF(X739="CANCELADA","CANCELADA",IF(H739="","",IFERROR(_xlfn.XLOOKUP(H739,Listas!I:I,Listas!J:J),"OUTROS"))))</f>
        <v>ADMITIDO</v>
      </c>
      <c r="J739" s="363" t="s">
        <v>53</v>
      </c>
      <c r="K739" s="240" t="s">
        <v>61</v>
      </c>
      <c r="L739" s="240" t="s">
        <v>506</v>
      </c>
      <c r="M739" s="240"/>
      <c r="N739" s="240" t="s">
        <v>63</v>
      </c>
      <c r="O739" s="119" t="s">
        <v>34</v>
      </c>
      <c r="P739" s="119" t="s">
        <v>219</v>
      </c>
      <c r="Q739" s="119" t="s">
        <v>578</v>
      </c>
      <c r="R739" s="234"/>
      <c r="S739" s="273" t="s">
        <v>65</v>
      </c>
      <c r="T739" s="274" t="s">
        <v>2144</v>
      </c>
      <c r="U739" s="73" t="s">
        <v>132</v>
      </c>
      <c r="V739" s="216">
        <v>46178</v>
      </c>
      <c r="W739" s="118" t="s">
        <v>2145</v>
      </c>
      <c r="X739" s="119" t="s">
        <v>40</v>
      </c>
      <c r="Y739" s="120">
        <v>46181</v>
      </c>
      <c r="Z739" s="120">
        <v>46182</v>
      </c>
      <c r="AA739" s="244">
        <v>914403</v>
      </c>
      <c r="AB739" s="241"/>
      <c r="AC739" s="241"/>
      <c r="AD739" s="244">
        <v>0</v>
      </c>
    </row>
    <row r="740" spans="1:30" ht="18" customHeight="1">
      <c r="A740" s="237">
        <v>30585</v>
      </c>
      <c r="B740" s="121">
        <v>1</v>
      </c>
      <c r="C740" s="238">
        <v>46175</v>
      </c>
      <c r="D740" s="105">
        <f t="shared" ca="1" si="30"/>
        <v>52</v>
      </c>
      <c r="E740" s="138" t="str">
        <f t="shared" si="31"/>
        <v>ADMITIDO</v>
      </c>
      <c r="F740" s="230" t="s">
        <v>42</v>
      </c>
      <c r="G740" s="147" t="s">
        <v>60</v>
      </c>
      <c r="H740" s="117" t="s">
        <v>40</v>
      </c>
      <c r="I740" s="117" t="str">
        <f>IF(X740="ADMITIDO","ADMITIDO",IF(X740="CANCELADA","CANCELADA",IF(H740="","",IFERROR(_xlfn.XLOOKUP(H740,Listas!I:I,Listas!J:J),"OUTROS"))))</f>
        <v>ADMITIDO</v>
      </c>
      <c r="J740" s="363" t="s">
        <v>53</v>
      </c>
      <c r="K740" s="240" t="s">
        <v>61</v>
      </c>
      <c r="L740" s="240" t="s">
        <v>506</v>
      </c>
      <c r="M740" s="240"/>
      <c r="N740" s="240" t="s">
        <v>63</v>
      </c>
      <c r="O740" s="119" t="s">
        <v>34</v>
      </c>
      <c r="P740" s="119" t="s">
        <v>219</v>
      </c>
      <c r="Q740" s="119" t="s">
        <v>578</v>
      </c>
      <c r="R740" s="234"/>
      <c r="S740" s="273" t="s">
        <v>65</v>
      </c>
      <c r="T740" s="274" t="s">
        <v>2146</v>
      </c>
      <c r="U740" s="73" t="s">
        <v>132</v>
      </c>
      <c r="V740" s="216">
        <v>46178</v>
      </c>
      <c r="W740" s="118" t="s">
        <v>2147</v>
      </c>
      <c r="X740" s="119" t="s">
        <v>40</v>
      </c>
      <c r="Y740" s="120">
        <v>46183</v>
      </c>
      <c r="Z740" s="120">
        <v>46184</v>
      </c>
      <c r="AA740" s="244">
        <v>914423</v>
      </c>
      <c r="AB740" s="241"/>
      <c r="AC740" s="241"/>
      <c r="AD740" s="244">
        <v>0</v>
      </c>
    </row>
    <row r="741" spans="1:30" ht="15" customHeight="1">
      <c r="A741" s="237">
        <v>30603</v>
      </c>
      <c r="B741" s="121">
        <v>1</v>
      </c>
      <c r="C741" s="238">
        <v>46175</v>
      </c>
      <c r="D741" s="105">
        <f t="shared" ca="1" si="30"/>
        <v>52</v>
      </c>
      <c r="E741" s="138" t="str">
        <f t="shared" si="31"/>
        <v>ADMITIDO</v>
      </c>
      <c r="F741" s="230" t="s">
        <v>42</v>
      </c>
      <c r="G741" s="147" t="s">
        <v>69</v>
      </c>
      <c r="H741" s="117" t="s">
        <v>40</v>
      </c>
      <c r="I741" s="117" t="str">
        <f>IF(X741="ADMITIDO","ADMITIDO",IF(X741="CANCELADA","CANCELADA",IF(H741="","",IFERROR(_xlfn.XLOOKUP(H741,Listas!I:I,Listas!J:J),"OUTROS"))))</f>
        <v>ADMITIDO</v>
      </c>
      <c r="J741" s="363" t="s">
        <v>53</v>
      </c>
      <c r="K741" s="240" t="s">
        <v>70</v>
      </c>
      <c r="L741" s="240" t="s">
        <v>747</v>
      </c>
      <c r="M741" s="240"/>
      <c r="N741" s="240" t="s">
        <v>63</v>
      </c>
      <c r="O741" s="119" t="s">
        <v>34</v>
      </c>
      <c r="P741" s="119" t="s">
        <v>57</v>
      </c>
      <c r="Q741" s="119" t="s">
        <v>561</v>
      </c>
      <c r="R741" s="234"/>
      <c r="S741" s="273"/>
      <c r="T741" s="234"/>
      <c r="U741" s="73" t="s">
        <v>76</v>
      </c>
      <c r="V741" s="216">
        <v>46182</v>
      </c>
      <c r="W741" s="118" t="s">
        <v>2148</v>
      </c>
      <c r="X741" s="119" t="s">
        <v>40</v>
      </c>
      <c r="Y741" s="120">
        <v>46184</v>
      </c>
      <c r="Z741" s="120">
        <v>46189</v>
      </c>
      <c r="AA741" s="244">
        <v>914430</v>
      </c>
      <c r="AB741" s="241"/>
      <c r="AC741" s="241"/>
      <c r="AD741" s="244">
        <v>0</v>
      </c>
    </row>
    <row r="742" spans="1:30" ht="15" customHeight="1">
      <c r="A742" s="402">
        <v>30604</v>
      </c>
      <c r="B742" s="406">
        <v>1</v>
      </c>
      <c r="C742" s="403">
        <v>46175</v>
      </c>
      <c r="D742" s="380">
        <f t="shared" ca="1" si="30"/>
        <v>52</v>
      </c>
      <c r="E742" s="381" t="str">
        <f t="shared" si="31"/>
        <v>CANCELADA</v>
      </c>
      <c r="F742" s="395" t="s">
        <v>42</v>
      </c>
      <c r="G742" s="420" t="s">
        <v>69</v>
      </c>
      <c r="H742" s="382" t="s">
        <v>52</v>
      </c>
      <c r="I742" s="382" t="str">
        <f>IF(X742="ADMITIDO","ADMITIDO",IF(X742="CANCELADA","CANCELADA",IF(H742="","",IFERROR(_xlfn.XLOOKUP(H742,Listas!I:I,Listas!J:J),"OUTROS"))))</f>
        <v>CANCELADA</v>
      </c>
      <c r="J742" s="415" t="s">
        <v>44</v>
      </c>
      <c r="K742" s="415" t="s">
        <v>70</v>
      </c>
      <c r="L742" s="415" t="s">
        <v>747</v>
      </c>
      <c r="M742" s="415"/>
      <c r="N742" s="415" t="s">
        <v>63</v>
      </c>
      <c r="O742" s="303" t="s">
        <v>34</v>
      </c>
      <c r="P742" s="303" t="s">
        <v>57</v>
      </c>
      <c r="Q742" s="303" t="s">
        <v>1834</v>
      </c>
      <c r="R742" s="418"/>
      <c r="S742" s="419"/>
      <c r="T742" s="418"/>
      <c r="U742" s="326"/>
      <c r="V742" s="313"/>
      <c r="W742" s="302"/>
      <c r="X742" s="303" t="s">
        <v>52</v>
      </c>
      <c r="Y742" s="304"/>
      <c r="Z742" s="304"/>
      <c r="AA742" s="314"/>
      <c r="AB742" s="346" t="s">
        <v>2149</v>
      </c>
      <c r="AC742" s="346" t="s">
        <v>2150</v>
      </c>
      <c r="AD742" s="314">
        <v>0</v>
      </c>
    </row>
    <row r="743" spans="1:30" ht="15" customHeight="1">
      <c r="A743" s="237">
        <v>30595</v>
      </c>
      <c r="B743" s="121">
        <v>1</v>
      </c>
      <c r="C743" s="238">
        <v>46175</v>
      </c>
      <c r="D743" s="105">
        <f t="shared" ca="1" si="30"/>
        <v>52</v>
      </c>
      <c r="E743" s="138" t="str">
        <f t="shared" si="31"/>
        <v>CANCELADA</v>
      </c>
      <c r="F743" s="230" t="s">
        <v>42</v>
      </c>
      <c r="G743" s="147" t="s">
        <v>663</v>
      </c>
      <c r="H743" s="117" t="s">
        <v>52</v>
      </c>
      <c r="I743" s="117" t="str">
        <f>IF(X743="ADMITIDO","ADMITIDO",IF(X743="CANCELADA","CANCELADA",IF(H743="","",IFERROR(_xlfn.XLOOKUP(H743,Listas!I:I,Listas!J:J),"OUTROS"))))</f>
        <v>CANCELADA</v>
      </c>
      <c r="J743" s="240" t="s">
        <v>44</v>
      </c>
      <c r="K743" s="240" t="s">
        <v>228</v>
      </c>
      <c r="L743" s="240" t="s">
        <v>807</v>
      </c>
      <c r="M743" s="240"/>
      <c r="N743" s="240" t="s">
        <v>88</v>
      </c>
      <c r="O743" s="119" t="s">
        <v>34</v>
      </c>
      <c r="P743" s="119" t="s">
        <v>2151</v>
      </c>
      <c r="Q743" s="119" t="s">
        <v>231</v>
      </c>
      <c r="R743" s="234"/>
      <c r="S743" s="273"/>
      <c r="T743" s="274"/>
      <c r="U743" s="73"/>
      <c r="V743" s="230"/>
      <c r="W743" s="118"/>
      <c r="X743" s="119"/>
      <c r="Y743" s="120"/>
      <c r="Z743" s="120"/>
      <c r="AA743" s="244"/>
      <c r="AB743" s="118" t="s">
        <v>2152</v>
      </c>
      <c r="AC743" s="241" t="s">
        <v>2040</v>
      </c>
      <c r="AD743" s="244">
        <v>2</v>
      </c>
    </row>
    <row r="744" spans="1:30" ht="15" customHeight="1">
      <c r="A744" s="396">
        <v>30590</v>
      </c>
      <c r="B744" s="405">
        <v>1</v>
      </c>
      <c r="C744" s="404">
        <v>46175</v>
      </c>
      <c r="D744" s="386">
        <f t="shared" ca="1" si="30"/>
        <v>52</v>
      </c>
      <c r="E744" s="170" t="str">
        <f t="shared" si="31"/>
        <v>ADMITIDO</v>
      </c>
      <c r="F744" s="397" t="s">
        <v>28</v>
      </c>
      <c r="G744" s="392" t="s">
        <v>145</v>
      </c>
      <c r="H744" s="139" t="s">
        <v>40</v>
      </c>
      <c r="I744" s="139" t="str">
        <f>IF(X744="ADMITIDO","ADMITIDO",IF(X744="CANCELADA","CANCELADA",IF(H744="","",IFERROR(_xlfn.XLOOKUP(H744,Listas!I:I,Listas!J:J),"OUTROS"))))</f>
        <v>ADMITIDO</v>
      </c>
      <c r="J744" s="427" t="s">
        <v>268</v>
      </c>
      <c r="K744" s="428" t="s">
        <v>318</v>
      </c>
      <c r="L744" s="428" t="s">
        <v>855</v>
      </c>
      <c r="M744" s="428"/>
      <c r="N744" s="428" t="s">
        <v>63</v>
      </c>
      <c r="O744" s="308" t="s">
        <v>56</v>
      </c>
      <c r="P744" s="308" t="s">
        <v>35</v>
      </c>
      <c r="Q744" s="308" t="s">
        <v>176</v>
      </c>
      <c r="R744" s="431"/>
      <c r="S744" s="432" t="s">
        <v>65</v>
      </c>
      <c r="T744" s="432" t="s">
        <v>2153</v>
      </c>
      <c r="U744" s="327" t="s">
        <v>109</v>
      </c>
      <c r="V744" s="339">
        <v>46182</v>
      </c>
      <c r="W744" s="310" t="s">
        <v>2154</v>
      </c>
      <c r="X744" s="308" t="s">
        <v>40</v>
      </c>
      <c r="Y744" s="309">
        <v>46189</v>
      </c>
      <c r="Z744" s="433">
        <v>46195</v>
      </c>
      <c r="AA744" s="316">
        <v>914446</v>
      </c>
      <c r="AB744" s="351"/>
      <c r="AC744" s="351"/>
      <c r="AD744" s="316">
        <v>0</v>
      </c>
    </row>
    <row r="745" spans="1:30" ht="15" customHeight="1">
      <c r="A745" s="237">
        <v>30591</v>
      </c>
      <c r="B745" s="121">
        <v>1</v>
      </c>
      <c r="C745" s="238">
        <v>46175</v>
      </c>
      <c r="D745" s="105">
        <f t="shared" ca="1" si="30"/>
        <v>52</v>
      </c>
      <c r="E745" s="138" t="str">
        <f t="shared" si="31"/>
        <v>ADMITIDO</v>
      </c>
      <c r="F745" s="230" t="s">
        <v>28</v>
      </c>
      <c r="G745" s="147" t="s">
        <v>60</v>
      </c>
      <c r="H745" s="117" t="s">
        <v>40</v>
      </c>
      <c r="I745" s="117" t="str">
        <f>IF(X745="ADMITIDO","ADMITIDO",IF(X745="CANCELADA","CANCELADA",IF(H745="","",IFERROR(_xlfn.XLOOKUP(H745,Listas!I:I,Listas!J:J),"OUTROS"))))</f>
        <v>ADMITIDO</v>
      </c>
      <c r="J745" s="363" t="s">
        <v>268</v>
      </c>
      <c r="K745" s="240" t="s">
        <v>318</v>
      </c>
      <c r="L745" s="240" t="s">
        <v>855</v>
      </c>
      <c r="M745" s="240"/>
      <c r="N745" s="240" t="s">
        <v>63</v>
      </c>
      <c r="O745" s="119" t="s">
        <v>56</v>
      </c>
      <c r="P745" s="119" t="s">
        <v>35</v>
      </c>
      <c r="Q745" s="119" t="s">
        <v>176</v>
      </c>
      <c r="R745" s="234"/>
      <c r="S745" s="273" t="s">
        <v>1533</v>
      </c>
      <c r="T745" s="273" t="s">
        <v>2155</v>
      </c>
      <c r="U745" s="73" t="s">
        <v>76</v>
      </c>
      <c r="V745" s="300">
        <v>46183</v>
      </c>
      <c r="W745" s="118" t="s">
        <v>2156</v>
      </c>
      <c r="X745" s="119" t="s">
        <v>40</v>
      </c>
      <c r="Y745" s="120">
        <v>46189</v>
      </c>
      <c r="Z745" s="301">
        <v>46195</v>
      </c>
      <c r="AA745" s="244">
        <v>914451</v>
      </c>
      <c r="AB745" s="241"/>
      <c r="AC745" s="241"/>
      <c r="AD745" s="244">
        <v>0</v>
      </c>
    </row>
    <row r="746" spans="1:30" ht="15" customHeight="1">
      <c r="A746" s="237">
        <v>30592</v>
      </c>
      <c r="B746" s="121">
        <v>1</v>
      </c>
      <c r="C746" s="238">
        <v>46175</v>
      </c>
      <c r="D746" s="105">
        <f ca="1">TODAY()-C746</f>
        <v>52</v>
      </c>
      <c r="E746" s="138" t="str">
        <f>IF(X746="ADMITIDO","ADMITIDO",IF(X746="CANCELADA","CANCELADA",IF(H746="","",IF(H746="ADMITIDO","ADMITIDO",IF(H746="CANCELADA","CANCELADA",IF(OR(H746="ANALISE CANCELAMENTO",H746="ANÁLISE CANCELAMENTO"),"EM ANÁLISE",IF(D746="","",IF(D746&lt;=7,"NO PRAZO",IF(D746&lt;=14,"ATENÇÃO","CRÍTICO")))))))))</f>
        <v>ADMITIDO</v>
      </c>
      <c r="F746" s="230" t="s">
        <v>42</v>
      </c>
      <c r="G746" s="147" t="s">
        <v>60</v>
      </c>
      <c r="H746" s="117" t="s">
        <v>40</v>
      </c>
      <c r="I746" s="117" t="str">
        <f>IF(X746="ADMITIDO","ADMITIDO",IF(X746="CANCELADA","CANCELADA",IF(H746="","",IFERROR(_xlfn.XLOOKUP(H746,Listas!I:I,Listas!J:J),"OUTROS"))))</f>
        <v>ADMITIDO</v>
      </c>
      <c r="J746" s="363" t="s">
        <v>116</v>
      </c>
      <c r="K746" s="240" t="s">
        <v>117</v>
      </c>
      <c r="L746" s="240" t="s">
        <v>117</v>
      </c>
      <c r="M746" s="240"/>
      <c r="N746" s="240" t="s">
        <v>63</v>
      </c>
      <c r="O746" s="119" t="s">
        <v>34</v>
      </c>
      <c r="P746" s="119" t="s">
        <v>48</v>
      </c>
      <c r="Q746" s="119" t="s">
        <v>120</v>
      </c>
      <c r="R746" s="234"/>
      <c r="S746" s="273" t="s">
        <v>1533</v>
      </c>
      <c r="T746" s="273" t="s">
        <v>2157</v>
      </c>
      <c r="U746" s="73" t="s">
        <v>132</v>
      </c>
      <c r="V746" s="216">
        <v>46188</v>
      </c>
      <c r="W746" s="305" t="s">
        <v>2158</v>
      </c>
      <c r="X746" s="306" t="s">
        <v>40</v>
      </c>
      <c r="Y746" s="307">
        <v>46190</v>
      </c>
      <c r="Z746" s="120">
        <v>46191</v>
      </c>
      <c r="AA746" s="244">
        <v>146118</v>
      </c>
      <c r="AB746" s="241"/>
      <c r="AC746" s="241"/>
      <c r="AD746" s="244">
        <v>0</v>
      </c>
    </row>
    <row r="747" spans="1:30" ht="15" customHeight="1">
      <c r="A747" s="237">
        <v>30586</v>
      </c>
      <c r="B747" s="121">
        <v>1</v>
      </c>
      <c r="C747" s="238">
        <v>46175</v>
      </c>
      <c r="D747" s="105">
        <f t="shared" ca="1" si="30"/>
        <v>52</v>
      </c>
      <c r="E747" s="138" t="str">
        <f t="shared" si="31"/>
        <v>ADMITIDO</v>
      </c>
      <c r="F747" s="230" t="s">
        <v>42</v>
      </c>
      <c r="G747" s="147" t="s">
        <v>60</v>
      </c>
      <c r="H747" s="117" t="s">
        <v>40</v>
      </c>
      <c r="I747" s="117" t="str">
        <f>IF(X747="ADMITIDO","ADMITIDO",IF(X747="CANCELADA","CANCELADA",IF(H747="","",IFERROR(_xlfn.XLOOKUP(H747,Listas!I:I,Listas!J:J),"OUTROS"))))</f>
        <v>ADMITIDO</v>
      </c>
      <c r="J747" s="363" t="s">
        <v>53</v>
      </c>
      <c r="K747" s="240" t="s">
        <v>61</v>
      </c>
      <c r="L747" s="240" t="s">
        <v>255</v>
      </c>
      <c r="M747" s="240"/>
      <c r="N747" s="240" t="s">
        <v>63</v>
      </c>
      <c r="O747" s="119" t="s">
        <v>34</v>
      </c>
      <c r="P747" s="119" t="s">
        <v>219</v>
      </c>
      <c r="Q747" s="119" t="s">
        <v>633</v>
      </c>
      <c r="R747" s="234"/>
      <c r="S747" s="273" t="s">
        <v>1533</v>
      </c>
      <c r="T747" s="273" t="s">
        <v>2159</v>
      </c>
      <c r="U747" s="73" t="s">
        <v>132</v>
      </c>
      <c r="V747" s="300">
        <v>46185</v>
      </c>
      <c r="W747" s="118" t="s">
        <v>2160</v>
      </c>
      <c r="X747" s="119" t="s">
        <v>40</v>
      </c>
      <c r="Y747" s="120">
        <v>46190</v>
      </c>
      <c r="Z747" s="301">
        <v>46191</v>
      </c>
      <c r="AA747" s="244">
        <v>914460</v>
      </c>
      <c r="AB747" s="241" t="s">
        <v>2161</v>
      </c>
      <c r="AC747" s="241"/>
      <c r="AD747" s="244">
        <v>1</v>
      </c>
    </row>
    <row r="748" spans="1:30" ht="15" customHeight="1">
      <c r="A748" s="402">
        <v>30587</v>
      </c>
      <c r="B748" s="406">
        <v>1</v>
      </c>
      <c r="C748" s="403">
        <v>46175</v>
      </c>
      <c r="D748" s="380">
        <f t="shared" ca="1" si="30"/>
        <v>52</v>
      </c>
      <c r="E748" s="381" t="str">
        <f t="shared" si="31"/>
        <v>CANCELADA</v>
      </c>
      <c r="F748" s="395" t="s">
        <v>42</v>
      </c>
      <c r="G748" s="390" t="s">
        <v>60</v>
      </c>
      <c r="H748" s="382" t="s">
        <v>52</v>
      </c>
      <c r="I748" s="382" t="str">
        <f>IF(X748="ADMITIDO","ADMITIDO",IF(X748="CANCELADA","CANCELADA",IF(H748="","",IFERROR(_xlfn.XLOOKUP(H748,Listas!I:I,Listas!J:J),"OUTROS"))))</f>
        <v>CANCELADA</v>
      </c>
      <c r="J748" s="240" t="s">
        <v>53</v>
      </c>
      <c r="K748" s="240" t="s">
        <v>61</v>
      </c>
      <c r="L748" s="240" t="s">
        <v>255</v>
      </c>
      <c r="M748" s="240"/>
      <c r="N748" s="240" t="s">
        <v>63</v>
      </c>
      <c r="O748" s="119" t="s">
        <v>34</v>
      </c>
      <c r="P748" s="119" t="s">
        <v>219</v>
      </c>
      <c r="Q748" s="119" t="s">
        <v>73</v>
      </c>
      <c r="R748" s="234"/>
      <c r="S748" s="273"/>
      <c r="T748" s="234"/>
      <c r="U748" s="73"/>
      <c r="V748" s="216"/>
      <c r="W748" s="310"/>
      <c r="X748" s="308"/>
      <c r="Y748" s="309"/>
      <c r="Z748" s="120"/>
      <c r="AA748" s="244"/>
      <c r="AB748" s="241" t="s">
        <v>2162</v>
      </c>
      <c r="AC748" s="241" t="s">
        <v>1942</v>
      </c>
      <c r="AD748" s="244">
        <v>0</v>
      </c>
    </row>
    <row r="749" spans="1:30" ht="15" customHeight="1">
      <c r="A749" s="237">
        <v>30582</v>
      </c>
      <c r="B749" s="121">
        <v>1</v>
      </c>
      <c r="C749" s="238">
        <v>46175</v>
      </c>
      <c r="D749" s="105">
        <f t="shared" ca="1" si="30"/>
        <v>52</v>
      </c>
      <c r="E749" s="138" t="str">
        <f t="shared" si="31"/>
        <v>ADMITIDO</v>
      </c>
      <c r="F749" s="230" t="s">
        <v>42</v>
      </c>
      <c r="G749" s="147" t="s">
        <v>552</v>
      </c>
      <c r="H749" s="117" t="s">
        <v>40</v>
      </c>
      <c r="I749" s="117" t="str">
        <f>IF(X749="ADMITIDO","ADMITIDO",IF(X749="CANCELADA","CANCELADA",IF(H749="","",IFERROR(_xlfn.XLOOKUP(H749,Listas!I:I,Listas!J:J),"OUTROS"))))</f>
        <v>ADMITIDO</v>
      </c>
      <c r="J749" s="363" t="s">
        <v>44</v>
      </c>
      <c r="K749" s="240" t="s">
        <v>553</v>
      </c>
      <c r="L749" s="240" t="s">
        <v>1875</v>
      </c>
      <c r="M749" s="240"/>
      <c r="N749" s="240" t="s">
        <v>1876</v>
      </c>
      <c r="O749" s="119" t="s">
        <v>34</v>
      </c>
      <c r="P749" s="119" t="s">
        <v>57</v>
      </c>
      <c r="Q749" s="119" t="s">
        <v>432</v>
      </c>
      <c r="R749" s="234"/>
      <c r="S749" s="273"/>
      <c r="T749" s="234"/>
      <c r="U749" s="73" t="s">
        <v>552</v>
      </c>
      <c r="V749" s="216">
        <v>46171</v>
      </c>
      <c r="W749" s="118" t="s">
        <v>2163</v>
      </c>
      <c r="X749" s="119" t="s">
        <v>40</v>
      </c>
      <c r="Y749" s="120">
        <v>46175</v>
      </c>
      <c r="Z749" s="120">
        <v>46176</v>
      </c>
      <c r="AA749" s="244">
        <v>914396</v>
      </c>
      <c r="AB749" s="241"/>
      <c r="AC749" s="241"/>
      <c r="AD749" s="244">
        <v>0</v>
      </c>
    </row>
    <row r="750" spans="1:30" ht="15" customHeight="1">
      <c r="A750" s="237">
        <v>30583</v>
      </c>
      <c r="B750" s="121">
        <v>1</v>
      </c>
      <c r="C750" s="238">
        <v>46175</v>
      </c>
      <c r="D750" s="105">
        <f t="shared" ca="1" si="30"/>
        <v>52</v>
      </c>
      <c r="E750" s="138" t="str">
        <f t="shared" si="31"/>
        <v>ADMITIDO</v>
      </c>
      <c r="F750" s="230" t="s">
        <v>28</v>
      </c>
      <c r="G750" s="147" t="s">
        <v>552</v>
      </c>
      <c r="H750" s="117" t="s">
        <v>40</v>
      </c>
      <c r="I750" s="117" t="str">
        <f>IF(X750="ADMITIDO","ADMITIDO",IF(X750="CANCELADA","CANCELADA",IF(H750="","",IFERROR(_xlfn.XLOOKUP(H750,Listas!I:I,Listas!J:J),"OUTROS"))))</f>
        <v>ADMITIDO</v>
      </c>
      <c r="J750" s="363" t="s">
        <v>737</v>
      </c>
      <c r="K750" s="240" t="s">
        <v>553</v>
      </c>
      <c r="L750" s="240" t="s">
        <v>947</v>
      </c>
      <c r="M750" s="240"/>
      <c r="N750" s="240" t="s">
        <v>948</v>
      </c>
      <c r="O750" s="119" t="s">
        <v>34</v>
      </c>
      <c r="P750" s="119" t="s">
        <v>35</v>
      </c>
      <c r="Q750" s="119" t="s">
        <v>36</v>
      </c>
      <c r="R750" s="234"/>
      <c r="S750" s="273"/>
      <c r="T750" s="234"/>
      <c r="U750" s="73" t="s">
        <v>552</v>
      </c>
      <c r="V750" s="216">
        <v>46170</v>
      </c>
      <c r="W750" s="118" t="s">
        <v>2164</v>
      </c>
      <c r="X750" s="119" t="s">
        <v>40</v>
      </c>
      <c r="Y750" s="120">
        <v>46176</v>
      </c>
      <c r="Z750" s="120">
        <v>46177</v>
      </c>
      <c r="AA750" s="244">
        <v>914398</v>
      </c>
      <c r="AB750" s="241"/>
      <c r="AC750" s="241"/>
      <c r="AD750" s="244">
        <v>0</v>
      </c>
    </row>
    <row r="751" spans="1:30" ht="15" customHeight="1">
      <c r="A751" s="402">
        <v>30597</v>
      </c>
      <c r="B751" s="406">
        <v>1</v>
      </c>
      <c r="C751" s="403">
        <v>46175</v>
      </c>
      <c r="D751" s="380">
        <f t="shared" ca="1" si="30"/>
        <v>52</v>
      </c>
      <c r="E751" s="407" t="str">
        <f t="shared" si="31"/>
        <v>CANCELADA</v>
      </c>
      <c r="F751" s="395" t="s">
        <v>28</v>
      </c>
      <c r="G751" s="390" t="s">
        <v>240</v>
      </c>
      <c r="H751" s="382" t="s">
        <v>52</v>
      </c>
      <c r="I751" s="382" t="str">
        <f>IF(X751="ADMITIDO","ADMITIDO",IF(X751="CANCELADA","CANCELADA",IF(H751="","",IFERROR(_xlfn.XLOOKUP(H751,Listas!I:I,Listas!J:J),"OUTROS"))))</f>
        <v>CANCELADA</v>
      </c>
      <c r="J751" s="240" t="s">
        <v>268</v>
      </c>
      <c r="K751" s="240" t="s">
        <v>423</v>
      </c>
      <c r="L751" s="240" t="s">
        <v>62</v>
      </c>
      <c r="M751" s="240"/>
      <c r="N751" s="240" t="s">
        <v>63</v>
      </c>
      <c r="O751" s="119" t="s">
        <v>34</v>
      </c>
      <c r="P751" s="119" t="s">
        <v>48</v>
      </c>
      <c r="Q751" s="119" t="s">
        <v>1118</v>
      </c>
      <c r="R751" s="234"/>
      <c r="S751" s="273"/>
      <c r="T751" s="234"/>
      <c r="U751" s="73"/>
      <c r="V751" s="216"/>
      <c r="W751" s="118"/>
      <c r="X751" s="119"/>
      <c r="Y751" s="120"/>
      <c r="Z751" s="120"/>
      <c r="AA751" s="244"/>
      <c r="AB751" s="241" t="s">
        <v>2165</v>
      </c>
      <c r="AC751" s="241" t="s">
        <v>1358</v>
      </c>
      <c r="AD751" s="244">
        <v>0</v>
      </c>
    </row>
    <row r="752" spans="1:30" ht="15" customHeight="1">
      <c r="A752" s="374">
        <v>30573</v>
      </c>
      <c r="B752" s="376">
        <v>1</v>
      </c>
      <c r="C752" s="375">
        <v>46175</v>
      </c>
      <c r="D752" s="367">
        <f t="shared" ca="1" si="30"/>
        <v>52</v>
      </c>
      <c r="E752" s="368" t="str">
        <f>IF(X752="ADMITIDO","ADMITIDO",IF(X752="CANCELADA","CANCELADA",IF(H752="","",IF(H752="ADMITIDO","ADMITIDO",IF(H752="CANCELADA","CANCELADA",IF(OR(H752="ANALISE CANCELAMENTO",H752="ANÁLISE CANCELAMENTO"),"EM ANÁLISE",IF(D752="","",IF(D752&lt;=7,"NO PRAZO",IF(D752&lt;=14,"ATENÇÃO","CRÍTICO")))))))))</f>
        <v>ADMITIDO</v>
      </c>
      <c r="F752" s="371" t="s">
        <v>42</v>
      </c>
      <c r="G752" s="369" t="s">
        <v>69</v>
      </c>
      <c r="H752" s="146" t="s">
        <v>40</v>
      </c>
      <c r="I752" s="146" t="str">
        <f>IF(X752="ADMITIDO","ADMITIDO",IF(X752="CANCELADA","CANCELADA",IF(H752="","",IFERROR(_xlfn.XLOOKUP(H752,Listas!I:I,Listas!J:J),"OUTROS"))))</f>
        <v>ADMITIDO</v>
      </c>
      <c r="J752" s="414" t="s">
        <v>44</v>
      </c>
      <c r="K752" s="415" t="s">
        <v>70</v>
      </c>
      <c r="L752" s="415" t="s">
        <v>128</v>
      </c>
      <c r="M752" s="415"/>
      <c r="N752" s="415" t="s">
        <v>63</v>
      </c>
      <c r="O752" s="303" t="s">
        <v>34</v>
      </c>
      <c r="P752" s="303" t="s">
        <v>57</v>
      </c>
      <c r="Q752" s="303" t="s">
        <v>98</v>
      </c>
      <c r="R752" s="418"/>
      <c r="S752" s="419"/>
      <c r="T752" s="418"/>
      <c r="U752" s="326" t="s">
        <v>76</v>
      </c>
      <c r="V752" s="313">
        <v>46170</v>
      </c>
      <c r="W752" s="302" t="s">
        <v>2166</v>
      </c>
      <c r="X752" s="303" t="s">
        <v>40</v>
      </c>
      <c r="Y752" s="304">
        <v>46176</v>
      </c>
      <c r="Z752" s="304">
        <v>46181</v>
      </c>
      <c r="AA752" s="314">
        <v>146047</v>
      </c>
      <c r="AB752" s="346" t="s">
        <v>2167</v>
      </c>
      <c r="AC752" s="346"/>
      <c r="AD752" s="314">
        <v>0</v>
      </c>
    </row>
    <row r="753" spans="1:30" ht="15" customHeight="1">
      <c r="A753" s="237">
        <v>30596</v>
      </c>
      <c r="B753" s="121">
        <v>1</v>
      </c>
      <c r="C753" s="238">
        <v>46176</v>
      </c>
      <c r="D753" s="105">
        <f t="shared" ca="1" si="30"/>
        <v>51</v>
      </c>
      <c r="E753" s="138" t="str">
        <f>IF(X753="ADMITIDO","ADMITIDO",IF(X753="CANCELADA","CANCELADA",IF(H753="","",IF(H753="ADMITIDO","ADMITIDO",IF(H753="CANCELADA","CANCELADA",IF(OR(H753="ANALISE CANCELAMENTO",H753="ANÁLISE CANCELAMENTO"),"EM ANÁLISE",IF(D753="","",IF(D753&lt;=7,"NO PRAZO",IF(D753&lt;=14,"ATENÇÃO","CRÍTICO")))))))))</f>
        <v>ADMITIDO</v>
      </c>
      <c r="F753" s="230" t="s">
        <v>42</v>
      </c>
      <c r="G753" s="147" t="s">
        <v>102</v>
      </c>
      <c r="H753" s="117" t="s">
        <v>40</v>
      </c>
      <c r="I753" s="117" t="str">
        <f>IF(X753="ADMITIDO","ADMITIDO",IF(X753="CANCELADA","CANCELADA",IF(H753="","",IFERROR(_xlfn.XLOOKUP(H753,Listas!I:I,Listas!J:J),"OUTROS"))))</f>
        <v>ADMITIDO</v>
      </c>
      <c r="J753" s="240" t="s">
        <v>44</v>
      </c>
      <c r="K753" s="240" t="s">
        <v>103</v>
      </c>
      <c r="L753" s="240" t="s">
        <v>2168</v>
      </c>
      <c r="M753" s="240"/>
      <c r="N753" s="240" t="s">
        <v>391</v>
      </c>
      <c r="O753" s="119" t="s">
        <v>34</v>
      </c>
      <c r="P753" s="119" t="s">
        <v>48</v>
      </c>
      <c r="Q753" s="119" t="s">
        <v>120</v>
      </c>
      <c r="R753" s="234" t="s">
        <v>2169</v>
      </c>
      <c r="S753" s="273" t="s">
        <v>2170</v>
      </c>
      <c r="T753" s="234" t="s">
        <v>2171</v>
      </c>
      <c r="U753" s="73" t="s">
        <v>67</v>
      </c>
      <c r="V753" s="216">
        <v>46204</v>
      </c>
      <c r="W753" s="118" t="s">
        <v>2172</v>
      </c>
      <c r="X753" s="119" t="s">
        <v>40</v>
      </c>
      <c r="Y753" s="120">
        <v>46206</v>
      </c>
      <c r="Z753" s="120">
        <v>46210</v>
      </c>
      <c r="AA753" s="244">
        <v>146183</v>
      </c>
      <c r="AB753" s="241" t="s">
        <v>2173</v>
      </c>
      <c r="AC753" s="241"/>
      <c r="AD753" s="244">
        <v>1</v>
      </c>
    </row>
    <row r="754" spans="1:30" ht="15" customHeight="1">
      <c r="A754" s="396">
        <v>30612</v>
      </c>
      <c r="B754" s="405">
        <v>1</v>
      </c>
      <c r="C754" s="404">
        <v>46176</v>
      </c>
      <c r="D754" s="386">
        <f t="shared" ca="1" si="30"/>
        <v>51</v>
      </c>
      <c r="E754" s="170" t="str">
        <f>IF(X754="ADMITIDO","ADMITIDO",IF(X754="CANCELADA","CANCELADA",IF(H754="","",IF(H754="ADMITIDO","ADMITIDO",IF(H754="CANCELADA","CANCELADA",IF(OR(H754="ANALISE CANCELAMENTO",H754="ANÁLISE CANCELAMENTO"),"EM ANÁLISE",IF(D754="","",IF(D754&lt;=7,"NO PRAZO",IF(D754&lt;=14,"ATENÇÃO","CRÍTICO")))))))))</f>
        <v>ADMITIDO</v>
      </c>
      <c r="F754" s="397" t="s">
        <v>171</v>
      </c>
      <c r="G754" s="392" t="s">
        <v>43</v>
      </c>
      <c r="H754" s="139" t="s">
        <v>40</v>
      </c>
      <c r="I754" s="139" t="str">
        <f>IF(X754="ADMITIDO","ADMITIDO",IF(X754="CANCELADA","CANCELADA",IF(H754="","",IFERROR(_xlfn.XLOOKUP(H754,Listas!I:I,Listas!J:J),"OUTROS"))))</f>
        <v>ADMITIDO</v>
      </c>
      <c r="J754" s="427" t="s">
        <v>172</v>
      </c>
      <c r="K754" s="428" t="s">
        <v>335</v>
      </c>
      <c r="L754" s="428" t="s">
        <v>788</v>
      </c>
      <c r="M754" s="428"/>
      <c r="N754" s="428" t="s">
        <v>337</v>
      </c>
      <c r="O754" s="308" t="s">
        <v>56</v>
      </c>
      <c r="P754" s="308" t="s">
        <v>35</v>
      </c>
      <c r="Q754" s="308" t="s">
        <v>176</v>
      </c>
      <c r="R754" s="431"/>
      <c r="S754" s="432" t="s">
        <v>1321</v>
      </c>
      <c r="T754" s="352"/>
      <c r="U754" s="327" t="s">
        <v>50</v>
      </c>
      <c r="V754" s="315">
        <v>46175</v>
      </c>
      <c r="W754" s="305" t="s">
        <v>2174</v>
      </c>
      <c r="X754" s="306" t="s">
        <v>40</v>
      </c>
      <c r="Y754" s="307">
        <v>46183</v>
      </c>
      <c r="Z754" s="309">
        <v>46183</v>
      </c>
      <c r="AA754" s="316">
        <v>83334</v>
      </c>
      <c r="AB754" s="351"/>
      <c r="AC754" s="351"/>
      <c r="AD754" s="316">
        <v>0</v>
      </c>
    </row>
    <row r="755" spans="1:30" ht="15" customHeight="1">
      <c r="A755" s="374">
        <v>30580</v>
      </c>
      <c r="B755" s="376">
        <v>1</v>
      </c>
      <c r="C755" s="375">
        <v>46176</v>
      </c>
      <c r="D755" s="367">
        <f t="shared" ca="1" si="30"/>
        <v>51</v>
      </c>
      <c r="E755" s="368" t="str">
        <f t="shared" ref="E755:E803" si="32">IF(X755="ADMITIDO","ADMITIDO",IF(X755="CANCELADA","CANCELADA",IF(H755="","",IF(H755="ADMITIDO","ADMITIDO",IF(H755="CANCELADA","CANCELADA",IF(OR(H755="ANALISE CANCELAMENTO",H755="ANÁLISE CANCELAMENTO"),"EM ANÁLISE",IF(D755="","",IF(D755&lt;=7,"NO PRAZO",IF(D755&lt;=14,"ATENÇÃO","CRÍTICO")))))))))</f>
        <v>ADMITIDO</v>
      </c>
      <c r="F755" s="371" t="s">
        <v>42</v>
      </c>
      <c r="G755" s="369" t="s">
        <v>60</v>
      </c>
      <c r="H755" s="146" t="s">
        <v>40</v>
      </c>
      <c r="I755" s="146" t="str">
        <f>IF(X755="ADMITIDO","ADMITIDO",IF(X755="CANCELADA","CANCELADA",IF(H755="","",IFERROR(_xlfn.XLOOKUP(H755,Listas!I:I,Listas!J:J),"OUTROS"))))</f>
        <v>ADMITIDO</v>
      </c>
      <c r="J755" s="414" t="s">
        <v>53</v>
      </c>
      <c r="K755" s="415" t="s">
        <v>61</v>
      </c>
      <c r="L755" s="415" t="s">
        <v>161</v>
      </c>
      <c r="M755" s="415"/>
      <c r="N755" s="415" t="s">
        <v>33</v>
      </c>
      <c r="O755" s="303" t="s">
        <v>34</v>
      </c>
      <c r="P755" s="303" t="s">
        <v>72</v>
      </c>
      <c r="Q755" s="303" t="s">
        <v>73</v>
      </c>
      <c r="R755" s="418"/>
      <c r="S755" s="419" t="s">
        <v>65</v>
      </c>
      <c r="T755" s="418" t="s">
        <v>2175</v>
      </c>
      <c r="U755" s="326" t="s">
        <v>132</v>
      </c>
      <c r="V755" s="448">
        <v>46185</v>
      </c>
      <c r="W755" s="302" t="s">
        <v>2176</v>
      </c>
      <c r="X755" s="303" t="s">
        <v>40</v>
      </c>
      <c r="Y755" s="304">
        <v>46190</v>
      </c>
      <c r="Z755" s="449">
        <v>46191</v>
      </c>
      <c r="AA755" s="314">
        <v>146117</v>
      </c>
      <c r="AB755" s="346"/>
      <c r="AC755" s="346"/>
      <c r="AD755" s="314">
        <v>0</v>
      </c>
    </row>
    <row r="756" spans="1:30" ht="15" customHeight="1">
      <c r="A756" s="237">
        <v>30581</v>
      </c>
      <c r="B756" s="121">
        <v>1</v>
      </c>
      <c r="C756" s="238">
        <v>46176</v>
      </c>
      <c r="D756" s="105">
        <f t="shared" ca="1" si="30"/>
        <v>51</v>
      </c>
      <c r="E756" s="138" t="str">
        <f t="shared" ca="1" si="32"/>
        <v>CRÍTICO</v>
      </c>
      <c r="F756" s="230" t="s">
        <v>42</v>
      </c>
      <c r="G756" s="147" t="s">
        <v>60</v>
      </c>
      <c r="H756" s="117" t="s">
        <v>91</v>
      </c>
      <c r="I756" s="117" t="str">
        <f>IF(X756="ADMITIDO","ADMITIDO",IF(X756="CANCELADA","CANCELADA",IF(H756="","",IFERROR(_xlfn.XLOOKUP(H756,Listas!I:I,Listas!J:J),"OUTROS"))))</f>
        <v>TRIAGEM</v>
      </c>
      <c r="J756" s="240" t="s">
        <v>53</v>
      </c>
      <c r="K756" s="240" t="s">
        <v>61</v>
      </c>
      <c r="L756" s="240" t="s">
        <v>161</v>
      </c>
      <c r="M756" s="240"/>
      <c r="N756" s="240" t="s">
        <v>33</v>
      </c>
      <c r="O756" s="119" t="s">
        <v>34</v>
      </c>
      <c r="P756" s="119" t="s">
        <v>72</v>
      </c>
      <c r="Q756" s="119" t="s">
        <v>73</v>
      </c>
      <c r="R756" s="234"/>
      <c r="S756" s="273"/>
      <c r="T756" s="234"/>
      <c r="U756" s="73"/>
      <c r="V756" s="216"/>
      <c r="W756" s="118"/>
      <c r="X756" s="119"/>
      <c r="Y756" s="120"/>
      <c r="Z756" s="120"/>
      <c r="AA756" s="244"/>
      <c r="AB756" s="241"/>
      <c r="AC756" s="241"/>
      <c r="AD756" s="244">
        <v>0</v>
      </c>
    </row>
    <row r="757" spans="1:30" ht="15" customHeight="1">
      <c r="A757" s="396">
        <v>30588</v>
      </c>
      <c r="B757" s="405">
        <v>1</v>
      </c>
      <c r="C757" s="404">
        <v>46176</v>
      </c>
      <c r="D757" s="386">
        <f t="shared" ca="1" si="30"/>
        <v>51</v>
      </c>
      <c r="E757" s="170" t="str">
        <f t="shared" si="32"/>
        <v>ADMITIDO</v>
      </c>
      <c r="F757" s="397" t="s">
        <v>42</v>
      </c>
      <c r="G757" s="392" t="s">
        <v>663</v>
      </c>
      <c r="H757" s="139" t="s">
        <v>40</v>
      </c>
      <c r="I757" s="139" t="str">
        <f>IF(X757="ADMITIDO","ADMITIDO",IF(X757="CANCELADA","CANCELADA",IF(H757="","",IFERROR(_xlfn.XLOOKUP(H757,Listas!I:I,Listas!J:J),"OUTROS"))))</f>
        <v>ADMITIDO</v>
      </c>
      <c r="J757" s="427" t="s">
        <v>53</v>
      </c>
      <c r="K757" s="428" t="s">
        <v>54</v>
      </c>
      <c r="L757" s="428" t="s">
        <v>164</v>
      </c>
      <c r="M757" s="428"/>
      <c r="N757" s="428" t="s">
        <v>88</v>
      </c>
      <c r="O757" s="308" t="s">
        <v>34</v>
      </c>
      <c r="P757" s="308" t="s">
        <v>35</v>
      </c>
      <c r="Q757" s="308" t="s">
        <v>2177</v>
      </c>
      <c r="R757" s="431"/>
      <c r="S757" s="432"/>
      <c r="T757" s="469" t="s">
        <v>2178</v>
      </c>
      <c r="U757" s="327" t="s">
        <v>38</v>
      </c>
      <c r="V757" s="315" t="s">
        <v>2128</v>
      </c>
      <c r="W757" s="470" t="s">
        <v>2179</v>
      </c>
      <c r="X757" s="471" t="s">
        <v>40</v>
      </c>
      <c r="Y757" s="309">
        <v>46197</v>
      </c>
      <c r="Z757" s="309">
        <v>46198</v>
      </c>
      <c r="AA757" s="316">
        <v>146140</v>
      </c>
      <c r="AB757" s="351"/>
      <c r="AC757" s="351"/>
      <c r="AD757" s="316">
        <v>0</v>
      </c>
    </row>
    <row r="758" spans="1:30" ht="15" customHeight="1">
      <c r="A758" s="237">
        <v>30606</v>
      </c>
      <c r="B758" s="121">
        <v>1</v>
      </c>
      <c r="C758" s="238">
        <v>46176</v>
      </c>
      <c r="D758" s="105">
        <f t="shared" ca="1" si="30"/>
        <v>51</v>
      </c>
      <c r="E758" s="138" t="str">
        <f t="shared" si="32"/>
        <v>ADMITIDO</v>
      </c>
      <c r="F758" s="230" t="s">
        <v>42</v>
      </c>
      <c r="G758" s="147" t="s">
        <v>29</v>
      </c>
      <c r="H758" s="117" t="s">
        <v>40</v>
      </c>
      <c r="I758" s="117" t="str">
        <f>IF(X758="ADMITIDO","ADMITIDO",IF(X758="CANCELADA","CANCELADA",IF(H758="","",IFERROR(_xlfn.XLOOKUP(H758,Listas!I:I,Listas!J:J),"OUTROS"))))</f>
        <v>ADMITIDO</v>
      </c>
      <c r="J758" s="363" t="s">
        <v>198</v>
      </c>
      <c r="K758" s="240" t="s">
        <v>54</v>
      </c>
      <c r="L758" s="240" t="s">
        <v>164</v>
      </c>
      <c r="M758" s="240"/>
      <c r="N758" s="240" t="s">
        <v>88</v>
      </c>
      <c r="O758" s="119" t="s">
        <v>34</v>
      </c>
      <c r="P758" s="119" t="s">
        <v>57</v>
      </c>
      <c r="Q758" s="119" t="s">
        <v>94</v>
      </c>
      <c r="R758" s="234"/>
      <c r="S758" s="273"/>
      <c r="T758" s="274" t="s">
        <v>2180</v>
      </c>
      <c r="U758" s="327" t="s">
        <v>38</v>
      </c>
      <c r="V758" s="315">
        <v>46148</v>
      </c>
      <c r="W758" s="305" t="s">
        <v>2181</v>
      </c>
      <c r="X758" s="303" t="s">
        <v>40</v>
      </c>
      <c r="Y758" s="304">
        <v>46183</v>
      </c>
      <c r="Z758" s="120">
        <v>46184</v>
      </c>
      <c r="AA758" s="244">
        <v>146074</v>
      </c>
      <c r="AB758" s="241"/>
      <c r="AC758" s="241"/>
      <c r="AD758" s="244">
        <v>0</v>
      </c>
    </row>
    <row r="759" spans="1:30" ht="15" customHeight="1">
      <c r="A759" s="237">
        <v>30598</v>
      </c>
      <c r="B759" s="121">
        <v>1</v>
      </c>
      <c r="C759" s="238">
        <v>46176</v>
      </c>
      <c r="D759" s="105">
        <f t="shared" ca="1" si="30"/>
        <v>51</v>
      </c>
      <c r="E759" s="138" t="str">
        <f t="shared" si="32"/>
        <v>ADMITIDO</v>
      </c>
      <c r="F759" s="230" t="s">
        <v>42</v>
      </c>
      <c r="G759" s="147" t="s">
        <v>29</v>
      </c>
      <c r="H759" s="117" t="s">
        <v>40</v>
      </c>
      <c r="I759" s="117" t="str">
        <f>IF(X759="ADMITIDO","ADMITIDO",IF(X759="CANCELADA","CANCELADA",IF(H759="","",IFERROR(_xlfn.XLOOKUP(H759,Listas!I:I,Listas!J:J),"OUTROS"))))</f>
        <v>ADMITIDO</v>
      </c>
      <c r="J759" s="363" t="s">
        <v>116</v>
      </c>
      <c r="K759" s="240" t="s">
        <v>54</v>
      </c>
      <c r="L759" s="240" t="s">
        <v>164</v>
      </c>
      <c r="M759" s="240"/>
      <c r="N759" s="240" t="s">
        <v>88</v>
      </c>
      <c r="O759" s="119" t="s">
        <v>34</v>
      </c>
      <c r="P759" s="119" t="s">
        <v>57</v>
      </c>
      <c r="Q759" s="119" t="s">
        <v>231</v>
      </c>
      <c r="R759" s="234"/>
      <c r="S759" s="273"/>
      <c r="T759" s="274" t="s">
        <v>2182</v>
      </c>
      <c r="U759" s="73" t="s">
        <v>38</v>
      </c>
      <c r="V759" s="300">
        <v>46190</v>
      </c>
      <c r="W759" s="118" t="s">
        <v>2183</v>
      </c>
      <c r="X759" s="119" t="s">
        <v>40</v>
      </c>
      <c r="Y759" s="120">
        <v>46195</v>
      </c>
      <c r="Z759" s="301">
        <v>46196</v>
      </c>
      <c r="AA759" s="244">
        <v>146135</v>
      </c>
      <c r="AB759" s="241" t="s">
        <v>2184</v>
      </c>
      <c r="AC759" s="241"/>
      <c r="AD759" s="244">
        <v>1</v>
      </c>
    </row>
    <row r="760" spans="1:30" ht="15" customHeight="1">
      <c r="A760" s="374">
        <v>30611</v>
      </c>
      <c r="B760" s="376">
        <v>1</v>
      </c>
      <c r="C760" s="375">
        <v>46176</v>
      </c>
      <c r="D760" s="367">
        <f t="shared" ca="1" si="30"/>
        <v>51</v>
      </c>
      <c r="E760" s="368" t="str">
        <f t="shared" si="32"/>
        <v>ADMITIDO</v>
      </c>
      <c r="F760" s="371" t="s">
        <v>42</v>
      </c>
      <c r="G760" s="369" t="s">
        <v>29</v>
      </c>
      <c r="H760" s="146" t="s">
        <v>40</v>
      </c>
      <c r="I760" s="146" t="str">
        <f>IF(X760="ADMITIDO","ADMITIDO",IF(X760="CANCELADA","CANCELADA",IF(H760="","",IFERROR(_xlfn.XLOOKUP(H760,Listas!I:I,Listas!J:J),"OUTROS"))))</f>
        <v>ADMITIDO</v>
      </c>
      <c r="J760" s="414" t="s">
        <v>116</v>
      </c>
      <c r="K760" s="415" t="s">
        <v>54</v>
      </c>
      <c r="L760" s="415" t="s">
        <v>164</v>
      </c>
      <c r="M760" s="415"/>
      <c r="N760" s="415" t="s">
        <v>88</v>
      </c>
      <c r="O760" s="303" t="s">
        <v>34</v>
      </c>
      <c r="P760" s="303" t="s">
        <v>57</v>
      </c>
      <c r="Q760" s="303" t="s">
        <v>98</v>
      </c>
      <c r="R760" s="418"/>
      <c r="S760" s="273"/>
      <c r="T760" s="234" t="s">
        <v>2185</v>
      </c>
      <c r="U760" s="73" t="s">
        <v>38</v>
      </c>
      <c r="V760" s="300">
        <v>46301</v>
      </c>
      <c r="W760" s="118" t="s">
        <v>2186</v>
      </c>
      <c r="X760" s="119" t="s">
        <v>40</v>
      </c>
      <c r="Y760" s="120">
        <v>46190</v>
      </c>
      <c r="Z760" s="301">
        <v>46191</v>
      </c>
      <c r="AA760" s="244">
        <v>146112</v>
      </c>
      <c r="AB760" s="241"/>
      <c r="AC760" s="241"/>
      <c r="AD760" s="244">
        <v>0</v>
      </c>
    </row>
    <row r="761" spans="1:30" ht="15" customHeight="1">
      <c r="A761" s="237">
        <v>30608</v>
      </c>
      <c r="B761" s="121">
        <v>1</v>
      </c>
      <c r="C761" s="238">
        <v>46176</v>
      </c>
      <c r="D761" s="105">
        <f t="shared" ca="1" si="30"/>
        <v>51</v>
      </c>
      <c r="E761" s="138" t="str">
        <f t="shared" si="32"/>
        <v>ADMITIDO</v>
      </c>
      <c r="F761" s="230" t="s">
        <v>171</v>
      </c>
      <c r="G761" s="147" t="s">
        <v>145</v>
      </c>
      <c r="H761" s="117" t="s">
        <v>40</v>
      </c>
      <c r="I761" s="117" t="str">
        <f>IF(X761="ADMITIDO","ADMITIDO",IF(X761="CANCELADA","CANCELADA",IF(H761="","",IFERROR(_xlfn.XLOOKUP(H761,Listas!I:I,Listas!J:J),"OUTROS"))))</f>
        <v>ADMITIDO</v>
      </c>
      <c r="J761" s="240" t="s">
        <v>514</v>
      </c>
      <c r="K761" s="240" t="s">
        <v>371</v>
      </c>
      <c r="L761" s="240" t="s">
        <v>515</v>
      </c>
      <c r="M761" s="240"/>
      <c r="N761" s="240" t="s">
        <v>63</v>
      </c>
      <c r="O761" s="119" t="s">
        <v>34</v>
      </c>
      <c r="P761" s="119" t="s">
        <v>35</v>
      </c>
      <c r="Q761" s="119" t="s">
        <v>36</v>
      </c>
      <c r="R761" s="234"/>
      <c r="S761" s="476" t="s">
        <v>2187</v>
      </c>
      <c r="T761" s="234" t="s">
        <v>2188</v>
      </c>
      <c r="U761" s="73" t="s">
        <v>76</v>
      </c>
      <c r="V761" s="216">
        <v>46181</v>
      </c>
      <c r="W761" s="305" t="s">
        <v>2189</v>
      </c>
      <c r="X761" s="306" t="s">
        <v>40</v>
      </c>
      <c r="Y761" s="307">
        <v>46182</v>
      </c>
      <c r="Z761" s="120">
        <v>46184</v>
      </c>
      <c r="AA761" s="244">
        <v>83339</v>
      </c>
      <c r="AB761" s="241"/>
      <c r="AC761" s="241"/>
      <c r="AD761" s="244">
        <v>0</v>
      </c>
    </row>
    <row r="762" spans="1:30" ht="15" customHeight="1">
      <c r="A762" s="237">
        <v>30609</v>
      </c>
      <c r="B762" s="121">
        <v>1</v>
      </c>
      <c r="C762" s="238">
        <v>46176</v>
      </c>
      <c r="D762" s="105">
        <f t="shared" ca="1" si="30"/>
        <v>51</v>
      </c>
      <c r="E762" s="138" t="str">
        <f t="shared" si="32"/>
        <v>ADMITIDO</v>
      </c>
      <c r="F762" s="230" t="s">
        <v>28</v>
      </c>
      <c r="G762" s="147" t="s">
        <v>102</v>
      </c>
      <c r="H762" s="117" t="s">
        <v>40</v>
      </c>
      <c r="I762" s="117" t="str">
        <f>IF(X762="ADMITIDO","ADMITIDO",IF(X762="CANCELADA","CANCELADA",IF(H762="","",IFERROR(_xlfn.XLOOKUP(H762,Listas!I:I,Listas!J:J),"OUTROS"))))</f>
        <v>ADMITIDO</v>
      </c>
      <c r="J762" s="240" t="s">
        <v>586</v>
      </c>
      <c r="K762" s="240" t="s">
        <v>371</v>
      </c>
      <c r="L762" s="240" t="s">
        <v>1239</v>
      </c>
      <c r="M762" s="240"/>
      <c r="N762" s="240" t="s">
        <v>63</v>
      </c>
      <c r="O762" s="119" t="s">
        <v>34</v>
      </c>
      <c r="P762" s="119" t="s">
        <v>35</v>
      </c>
      <c r="Q762" s="119" t="s">
        <v>36</v>
      </c>
      <c r="R762" s="234"/>
      <c r="S762" s="476" t="s">
        <v>1625</v>
      </c>
      <c r="T762" s="234" t="s">
        <v>2190</v>
      </c>
      <c r="U762" s="73" t="s">
        <v>109</v>
      </c>
      <c r="V762" s="300">
        <v>46185</v>
      </c>
      <c r="W762" s="118" t="s">
        <v>2191</v>
      </c>
      <c r="X762" s="119" t="s">
        <v>40</v>
      </c>
      <c r="Y762" s="120">
        <v>46189</v>
      </c>
      <c r="Z762" s="301">
        <v>46191</v>
      </c>
      <c r="AA762" s="244">
        <v>914447</v>
      </c>
      <c r="AB762" s="241"/>
      <c r="AC762" s="241"/>
      <c r="AD762" s="244">
        <v>0</v>
      </c>
    </row>
    <row r="763" spans="1:30" ht="15" customHeight="1">
      <c r="A763" s="402">
        <v>30610</v>
      </c>
      <c r="B763" s="406">
        <v>1</v>
      </c>
      <c r="C763" s="403">
        <v>46176</v>
      </c>
      <c r="D763" s="380">
        <f t="shared" ca="1" si="30"/>
        <v>51</v>
      </c>
      <c r="E763" s="381" t="str">
        <f t="shared" si="32"/>
        <v>ADMITIDO</v>
      </c>
      <c r="F763" s="395" t="s">
        <v>28</v>
      </c>
      <c r="G763" s="390" t="s">
        <v>102</v>
      </c>
      <c r="H763" s="382" t="s">
        <v>40</v>
      </c>
      <c r="I763" s="382" t="str">
        <f>IF(X763="ADMITIDO","ADMITIDO",IF(X763="CANCELADA","CANCELADA",IF(H763="","",IFERROR(_xlfn.XLOOKUP(H763,Listas!I:I,Listas!J:J),"OUTROS"))))</f>
        <v>ADMITIDO</v>
      </c>
      <c r="J763" s="464" t="s">
        <v>586</v>
      </c>
      <c r="K763" s="435" t="s">
        <v>1820</v>
      </c>
      <c r="L763" s="435" t="s">
        <v>1278</v>
      </c>
      <c r="M763" s="435"/>
      <c r="N763" s="435" t="s">
        <v>63</v>
      </c>
      <c r="O763" s="306" t="s">
        <v>34</v>
      </c>
      <c r="P763" s="306" t="s">
        <v>35</v>
      </c>
      <c r="Q763" s="306" t="s">
        <v>362</v>
      </c>
      <c r="R763" s="436" t="s">
        <v>2192</v>
      </c>
      <c r="S763" s="419" t="s">
        <v>1612</v>
      </c>
      <c r="T763" s="418"/>
      <c r="U763" s="326" t="s">
        <v>76</v>
      </c>
      <c r="V763" s="313">
        <v>46190</v>
      </c>
      <c r="W763" s="305" t="s">
        <v>2193</v>
      </c>
      <c r="X763" s="306" t="s">
        <v>40</v>
      </c>
      <c r="Y763" s="307">
        <v>46191</v>
      </c>
      <c r="Z763" s="304">
        <v>46192</v>
      </c>
      <c r="AA763" s="314">
        <v>914465</v>
      </c>
      <c r="AB763" s="346"/>
      <c r="AC763" s="346"/>
      <c r="AD763" s="314">
        <v>0</v>
      </c>
    </row>
    <row r="764" spans="1:30" ht="15" customHeight="1">
      <c r="A764" s="237">
        <v>30554</v>
      </c>
      <c r="B764" s="121">
        <v>1</v>
      </c>
      <c r="C764" s="238">
        <v>46176</v>
      </c>
      <c r="D764" s="105">
        <f t="shared" ca="1" si="30"/>
        <v>51</v>
      </c>
      <c r="E764" s="138" t="str">
        <f t="shared" si="32"/>
        <v>ADMITIDO</v>
      </c>
      <c r="F764" s="230" t="s">
        <v>42</v>
      </c>
      <c r="G764" s="147" t="s">
        <v>43</v>
      </c>
      <c r="H764" s="117" t="s">
        <v>40</v>
      </c>
      <c r="I764" s="117" t="str">
        <f>IF(X764="ADMITIDO","ADMITIDO",IF(X764="CANCELADA","CANCELADA",IF(H764="","",IFERROR(_xlfn.XLOOKUP(H764,Listas!I:I,Listas!J:J),"OUTROS"))))</f>
        <v>ADMITIDO</v>
      </c>
      <c r="J764" s="240" t="s">
        <v>346</v>
      </c>
      <c r="K764" s="240" t="s">
        <v>189</v>
      </c>
      <c r="L764" s="240" t="s">
        <v>924</v>
      </c>
      <c r="M764" s="240"/>
      <c r="N764" s="240" t="s">
        <v>925</v>
      </c>
      <c r="O764" s="119" t="s">
        <v>34</v>
      </c>
      <c r="P764" s="119" t="s">
        <v>57</v>
      </c>
      <c r="Q764" s="119" t="s">
        <v>2194</v>
      </c>
      <c r="R764" s="234"/>
      <c r="S764" s="273" t="s">
        <v>373</v>
      </c>
      <c r="T764" s="273">
        <v>11947738485</v>
      </c>
      <c r="U764" s="73" t="s">
        <v>50</v>
      </c>
      <c r="V764" s="216">
        <v>46195</v>
      </c>
      <c r="W764" s="118" t="s">
        <v>2195</v>
      </c>
      <c r="X764" s="119" t="s">
        <v>40</v>
      </c>
      <c r="Y764" s="120">
        <v>46213</v>
      </c>
      <c r="Z764" s="120">
        <v>46217</v>
      </c>
      <c r="AA764" s="244">
        <v>914606</v>
      </c>
      <c r="AB764" s="241" t="s">
        <v>2196</v>
      </c>
      <c r="AC764" s="241"/>
      <c r="AD764" s="244">
        <v>0</v>
      </c>
    </row>
    <row r="765" spans="1:30" ht="15" customHeight="1">
      <c r="A765" s="237">
        <v>30616</v>
      </c>
      <c r="B765" s="376">
        <v>1</v>
      </c>
      <c r="C765" s="375">
        <v>46178</v>
      </c>
      <c r="D765" s="367">
        <f t="shared" ca="1" si="30"/>
        <v>49</v>
      </c>
      <c r="E765" s="368" t="str">
        <f t="shared" si="32"/>
        <v>ADMITIDO</v>
      </c>
      <c r="F765" s="371" t="s">
        <v>42</v>
      </c>
      <c r="G765" s="369" t="s">
        <v>69</v>
      </c>
      <c r="H765" s="146" t="s">
        <v>40</v>
      </c>
      <c r="I765" s="117" t="str">
        <f>IF(X765="ADMITIDO","ADMITIDO",IF(X765="CANCELADA","CANCELADA",IF(H765="","",IFERROR(_xlfn.XLOOKUP(H765,Listas!I:I,Listas!J:J),"OUTROS"))))</f>
        <v>ADMITIDO</v>
      </c>
      <c r="J765" s="240" t="s">
        <v>53</v>
      </c>
      <c r="K765" s="240" t="s">
        <v>70</v>
      </c>
      <c r="L765" s="240" t="s">
        <v>343</v>
      </c>
      <c r="M765" s="240"/>
      <c r="N765" s="240" t="s">
        <v>63</v>
      </c>
      <c r="O765" s="119" t="s">
        <v>34</v>
      </c>
      <c r="P765" s="119" t="s">
        <v>219</v>
      </c>
      <c r="Q765" s="119" t="s">
        <v>238</v>
      </c>
      <c r="R765" s="234"/>
      <c r="S765" s="273"/>
      <c r="T765" s="234"/>
      <c r="U765" s="73" t="s">
        <v>67</v>
      </c>
      <c r="V765" s="216">
        <v>46197</v>
      </c>
      <c r="W765" s="118" t="s">
        <v>2197</v>
      </c>
      <c r="X765" s="119" t="s">
        <v>40</v>
      </c>
      <c r="Y765" s="120">
        <v>46204</v>
      </c>
      <c r="Z765" s="120">
        <v>46205</v>
      </c>
      <c r="AA765" s="244">
        <v>914555</v>
      </c>
      <c r="AB765" s="241"/>
      <c r="AC765" s="241"/>
      <c r="AD765" s="244">
        <v>0</v>
      </c>
    </row>
    <row r="766" spans="1:30" ht="15" customHeight="1">
      <c r="A766" s="579">
        <v>30615</v>
      </c>
      <c r="B766" s="121">
        <v>1</v>
      </c>
      <c r="C766" s="238">
        <v>46178</v>
      </c>
      <c r="D766" s="105">
        <f t="shared" ca="1" si="30"/>
        <v>49</v>
      </c>
      <c r="E766" s="138" t="str">
        <f t="shared" si="32"/>
        <v>ADMITIDO</v>
      </c>
      <c r="F766" s="230" t="s">
        <v>42</v>
      </c>
      <c r="G766" s="147" t="s">
        <v>29</v>
      </c>
      <c r="H766" s="117" t="s">
        <v>40</v>
      </c>
      <c r="I766" s="578" t="str">
        <f>IF(X766="ADMITIDO","ADMITIDO",IF(X766="CANCELADA","CANCELADA",IF(H766="","",IFERROR(_xlfn.XLOOKUP(H766,Listas!I:I,Listas!J:J),"OUTROS"))))</f>
        <v>ADMITIDO</v>
      </c>
      <c r="J766" s="464" t="s">
        <v>227</v>
      </c>
      <c r="K766" s="435" t="s">
        <v>228</v>
      </c>
      <c r="L766" s="435" t="s">
        <v>229</v>
      </c>
      <c r="M766" s="435"/>
      <c r="N766" s="435" t="s">
        <v>88</v>
      </c>
      <c r="O766" s="306" t="s">
        <v>34</v>
      </c>
      <c r="P766" s="306" t="s">
        <v>35</v>
      </c>
      <c r="Q766" s="306" t="s">
        <v>266</v>
      </c>
      <c r="R766" s="436" t="s">
        <v>2198</v>
      </c>
      <c r="S766" s="437"/>
      <c r="T766" s="436" t="s">
        <v>2199</v>
      </c>
      <c r="U766" s="189" t="s">
        <v>38</v>
      </c>
      <c r="V766" s="328" t="s">
        <v>2200</v>
      </c>
      <c r="W766" s="305" t="s">
        <v>2201</v>
      </c>
      <c r="X766" s="306" t="s">
        <v>40</v>
      </c>
      <c r="Y766" s="307">
        <v>46197</v>
      </c>
      <c r="Z766" s="307">
        <v>46198</v>
      </c>
      <c r="AA766" s="329">
        <v>146151</v>
      </c>
      <c r="AB766" s="439"/>
      <c r="AC766" s="439"/>
      <c r="AD766" s="329">
        <v>1</v>
      </c>
    </row>
    <row r="767" spans="1:30" ht="15" customHeight="1">
      <c r="A767" s="580">
        <v>30624</v>
      </c>
      <c r="B767" s="121">
        <v>1</v>
      </c>
      <c r="C767" s="238">
        <v>46178</v>
      </c>
      <c r="D767" s="105">
        <f t="shared" ca="1" si="30"/>
        <v>49</v>
      </c>
      <c r="E767" s="138" t="str">
        <f t="shared" si="32"/>
        <v>ADMITIDO</v>
      </c>
      <c r="F767" s="230" t="s">
        <v>42</v>
      </c>
      <c r="G767" s="147" t="s">
        <v>240</v>
      </c>
      <c r="H767" s="117" t="s">
        <v>40</v>
      </c>
      <c r="I767" s="576" t="str">
        <f>IF(X767="ADMITIDO","ADMITIDO",IF(X767="CANCELADA","CANCELADA",IF(H767="","",IFERROR(_xlfn.XLOOKUP(H767,Listas!I:I,Listas!J:J),"OUTROS"))))</f>
        <v>ADMITIDO</v>
      </c>
      <c r="J767" s="240" t="s">
        <v>53</v>
      </c>
      <c r="K767" s="240" t="s">
        <v>241</v>
      </c>
      <c r="L767" s="240" t="s">
        <v>996</v>
      </c>
      <c r="M767" s="240"/>
      <c r="N767" s="240" t="s">
        <v>63</v>
      </c>
      <c r="O767" s="119" t="s">
        <v>34</v>
      </c>
      <c r="P767" s="119" t="s">
        <v>35</v>
      </c>
      <c r="Q767" s="119" t="s">
        <v>36</v>
      </c>
      <c r="R767" s="234"/>
      <c r="S767" s="273" t="s">
        <v>1438</v>
      </c>
      <c r="T767" s="234"/>
      <c r="U767" s="73" t="s">
        <v>67</v>
      </c>
      <c r="V767" s="216">
        <v>46205</v>
      </c>
      <c r="W767" s="118" t="s">
        <v>2202</v>
      </c>
      <c r="X767" s="119" t="s">
        <v>40</v>
      </c>
      <c r="Y767" s="120">
        <v>46211</v>
      </c>
      <c r="Z767" s="120">
        <v>46216</v>
      </c>
      <c r="AA767" s="244">
        <v>146209</v>
      </c>
      <c r="AB767" s="241" t="s">
        <v>2203</v>
      </c>
      <c r="AC767" s="241"/>
      <c r="AD767" s="244">
        <v>3</v>
      </c>
    </row>
    <row r="768" spans="1:30" ht="15" customHeight="1">
      <c r="A768" s="581">
        <v>30623</v>
      </c>
      <c r="B768" s="121">
        <v>1</v>
      </c>
      <c r="C768" s="238">
        <v>46178</v>
      </c>
      <c r="D768" s="105">
        <f t="shared" ca="1" si="30"/>
        <v>49</v>
      </c>
      <c r="E768" s="138" t="str">
        <f t="shared" si="32"/>
        <v>ADMITIDO</v>
      </c>
      <c r="F768" s="230" t="s">
        <v>42</v>
      </c>
      <c r="G768" s="147" t="s">
        <v>60</v>
      </c>
      <c r="H768" s="117" t="s">
        <v>40</v>
      </c>
      <c r="I768" s="577" t="str">
        <f>IF(X768="ADMITIDO","ADMITIDO",IF(X768="CANCELADA","CANCELADA",IF(H768="","",IFERROR(_xlfn.XLOOKUP(H768,Listas!I:I,Listas!J:J),"OUTROS"))))</f>
        <v>ADMITIDO</v>
      </c>
      <c r="J768" s="427" t="s">
        <v>782</v>
      </c>
      <c r="K768" s="428" t="s">
        <v>61</v>
      </c>
      <c r="L768" s="428" t="s">
        <v>161</v>
      </c>
      <c r="M768" s="428"/>
      <c r="N768" s="428" t="s">
        <v>33</v>
      </c>
      <c r="O768" s="308" t="s">
        <v>34</v>
      </c>
      <c r="P768" s="308" t="s">
        <v>57</v>
      </c>
      <c r="Q768" s="308" t="s">
        <v>880</v>
      </c>
      <c r="R768" s="431"/>
      <c r="S768" s="432" t="s">
        <v>65</v>
      </c>
      <c r="T768" s="431" t="s">
        <v>2204</v>
      </c>
      <c r="U768" s="327" t="s">
        <v>109</v>
      </c>
      <c r="V768" s="315">
        <v>46182</v>
      </c>
      <c r="W768" s="310" t="s">
        <v>2205</v>
      </c>
      <c r="X768" s="308" t="s">
        <v>40</v>
      </c>
      <c r="Y768" s="309">
        <v>46185</v>
      </c>
      <c r="Z768" s="309">
        <v>46188</v>
      </c>
      <c r="AA768" s="316">
        <v>146090</v>
      </c>
      <c r="AB768" s="351"/>
      <c r="AC768" s="351"/>
      <c r="AD768" s="316">
        <v>0</v>
      </c>
    </row>
    <row r="769" spans="1:30" ht="15" customHeight="1">
      <c r="A769" s="580">
        <v>30621</v>
      </c>
      <c r="B769" s="121">
        <v>1</v>
      </c>
      <c r="C769" s="238">
        <v>46178</v>
      </c>
      <c r="D769" s="105">
        <f t="shared" ca="1" si="30"/>
        <v>49</v>
      </c>
      <c r="E769" s="138" t="str">
        <f t="shared" si="32"/>
        <v>ADMITIDO</v>
      </c>
      <c r="F769" s="230" t="s">
        <v>42</v>
      </c>
      <c r="G769" s="147" t="s">
        <v>663</v>
      </c>
      <c r="H769" s="117" t="s">
        <v>40</v>
      </c>
      <c r="I769" s="576" t="str">
        <f>IF(X769="ADMITIDO","ADMITIDO",IF(X769="CANCELADA","CANCELADA",IF(H769="","",IFERROR(_xlfn.XLOOKUP(H769,Listas!I:I,Listas!J:J),"OUTROS"))))</f>
        <v>ADMITIDO</v>
      </c>
      <c r="J769" s="363" t="s">
        <v>53</v>
      </c>
      <c r="K769" s="240" t="s">
        <v>54</v>
      </c>
      <c r="L769" s="240" t="s">
        <v>164</v>
      </c>
      <c r="M769" s="240"/>
      <c r="N769" s="240" t="s">
        <v>88</v>
      </c>
      <c r="O769" s="119" t="s">
        <v>34</v>
      </c>
      <c r="P769" s="119" t="s">
        <v>57</v>
      </c>
      <c r="Q769" s="119" t="s">
        <v>231</v>
      </c>
      <c r="R769" s="234"/>
      <c r="S769" s="273"/>
      <c r="T769" s="234" t="s">
        <v>2206</v>
      </c>
      <c r="U769" s="73" t="s">
        <v>38</v>
      </c>
      <c r="V769" s="216">
        <v>46196</v>
      </c>
      <c r="W769" s="118" t="s">
        <v>2207</v>
      </c>
      <c r="X769" s="119" t="s">
        <v>40</v>
      </c>
      <c r="Y769" s="120">
        <v>46199</v>
      </c>
      <c r="Z769" s="120">
        <v>46200</v>
      </c>
      <c r="AA769" s="244">
        <v>146157</v>
      </c>
      <c r="AB769" s="241" t="s">
        <v>2208</v>
      </c>
      <c r="AC769" s="241"/>
      <c r="AD769" s="244">
        <v>1</v>
      </c>
    </row>
    <row r="770" spans="1:30" ht="15" customHeight="1">
      <c r="A770" s="580">
        <v>30619</v>
      </c>
      <c r="B770" s="121">
        <v>1</v>
      </c>
      <c r="C770" s="238">
        <v>46178</v>
      </c>
      <c r="D770" s="105">
        <f t="shared" ca="1" si="30"/>
        <v>49</v>
      </c>
      <c r="E770" s="138" t="str">
        <f t="shared" si="32"/>
        <v>ADMITIDO</v>
      </c>
      <c r="F770" s="230" t="s">
        <v>28</v>
      </c>
      <c r="G770" s="147" t="s">
        <v>43</v>
      </c>
      <c r="H770" s="117" t="s">
        <v>40</v>
      </c>
      <c r="I770" s="576" t="str">
        <f>IF(X770="ADMITIDO","ADMITIDO",IF(X770="CANCELADA","CANCELADA",IF(H770="","",IFERROR(_xlfn.XLOOKUP(H770,Listas!I:I,Listas!J:J),"OUTROS"))))</f>
        <v>ADMITIDO</v>
      </c>
      <c r="J770" s="363" t="s">
        <v>268</v>
      </c>
      <c r="K770" s="240" t="s">
        <v>1808</v>
      </c>
      <c r="L770" s="240" t="s">
        <v>1275</v>
      </c>
      <c r="M770" s="240"/>
      <c r="N770" s="240" t="s">
        <v>378</v>
      </c>
      <c r="O770" s="119" t="s">
        <v>34</v>
      </c>
      <c r="P770" s="119" t="s">
        <v>35</v>
      </c>
      <c r="Q770" s="119" t="s">
        <v>287</v>
      </c>
      <c r="R770" s="234"/>
      <c r="S770" s="273" t="s">
        <v>2209</v>
      </c>
      <c r="T770" s="234">
        <v>11951986035</v>
      </c>
      <c r="U770" s="73" t="s">
        <v>50</v>
      </c>
      <c r="V770" s="216">
        <v>46175</v>
      </c>
      <c r="W770" s="118" t="s">
        <v>2210</v>
      </c>
      <c r="X770" s="119" t="s">
        <v>40</v>
      </c>
      <c r="Y770" s="120">
        <v>46183</v>
      </c>
      <c r="Z770" s="120">
        <v>46184</v>
      </c>
      <c r="AA770" s="244">
        <v>914409</v>
      </c>
      <c r="AB770" s="241"/>
      <c r="AC770" s="241"/>
      <c r="AD770" s="244">
        <v>0</v>
      </c>
    </row>
    <row r="771" spans="1:30" ht="15" customHeight="1">
      <c r="A771" s="580">
        <v>30618</v>
      </c>
      <c r="B771" s="121">
        <v>1</v>
      </c>
      <c r="C771" s="238">
        <v>46178</v>
      </c>
      <c r="D771" s="105">
        <f t="shared" ca="1" si="30"/>
        <v>49</v>
      </c>
      <c r="E771" s="138" t="str">
        <f t="shared" si="32"/>
        <v>ADMITIDO</v>
      </c>
      <c r="F771" s="230" t="s">
        <v>42</v>
      </c>
      <c r="G771" s="147" t="s">
        <v>29</v>
      </c>
      <c r="H771" s="117" t="s">
        <v>40</v>
      </c>
      <c r="I771" s="576" t="str">
        <f>IF(X771="ADMITIDO","ADMITIDO",IF(X771="CANCELADA","CANCELADA",IF(H771="","",IFERROR(_xlfn.XLOOKUP(H771,Listas!I:I,Listas!J:J),"OUTROS"))))</f>
        <v>ADMITIDO</v>
      </c>
      <c r="J771" s="363" t="s">
        <v>44</v>
      </c>
      <c r="K771" s="240" t="s">
        <v>228</v>
      </c>
      <c r="L771" s="240" t="s">
        <v>807</v>
      </c>
      <c r="M771" s="240"/>
      <c r="N771" s="240" t="s">
        <v>88</v>
      </c>
      <c r="O771" s="119" t="s">
        <v>34</v>
      </c>
      <c r="P771" s="119" t="s">
        <v>210</v>
      </c>
      <c r="Q771" s="119" t="s">
        <v>231</v>
      </c>
      <c r="R771" s="234"/>
      <c r="S771" s="273"/>
      <c r="T771" s="274" t="s">
        <v>2211</v>
      </c>
      <c r="U771" s="73" t="s">
        <v>38</v>
      </c>
      <c r="V771" s="216">
        <v>46301</v>
      </c>
      <c r="W771" s="118" t="s">
        <v>2212</v>
      </c>
      <c r="X771" s="119" t="s">
        <v>40</v>
      </c>
      <c r="Y771" s="120">
        <v>46188</v>
      </c>
      <c r="Z771" s="120">
        <v>46189</v>
      </c>
      <c r="AA771" s="317">
        <v>914440</v>
      </c>
      <c r="AB771" s="241"/>
      <c r="AC771" s="241"/>
      <c r="AD771" s="244">
        <v>0</v>
      </c>
    </row>
    <row r="772" spans="1:30" ht="15" customHeight="1">
      <c r="A772" s="582">
        <v>30620</v>
      </c>
      <c r="B772" s="121">
        <v>1</v>
      </c>
      <c r="C772" s="238">
        <v>46178</v>
      </c>
      <c r="D772" s="105">
        <f t="shared" ca="1" si="30"/>
        <v>49</v>
      </c>
      <c r="E772" s="138" t="str">
        <f t="shared" si="32"/>
        <v>ADMITIDO</v>
      </c>
      <c r="F772" s="230" t="s">
        <v>119</v>
      </c>
      <c r="G772" s="147" t="s">
        <v>821</v>
      </c>
      <c r="H772" s="117" t="s">
        <v>40</v>
      </c>
      <c r="I772" s="574" t="str">
        <f>IF(X772="ADMITIDO","ADMITIDO",IF(X772="CANCELADA","CANCELADA",IF(H772="","",IFERROR(_xlfn.XLOOKUP(H772,Listas!I:I,Listas!J:J),"OUTROS"))))</f>
        <v>ADMITIDO</v>
      </c>
      <c r="J772" s="414" t="s">
        <v>2213</v>
      </c>
      <c r="K772" s="415" t="s">
        <v>835</v>
      </c>
      <c r="L772" s="415" t="s">
        <v>2214</v>
      </c>
      <c r="M772" s="415"/>
      <c r="N772" s="415" t="s">
        <v>119</v>
      </c>
      <c r="O772" s="303" t="s">
        <v>34</v>
      </c>
      <c r="P772" s="303" t="s">
        <v>48</v>
      </c>
      <c r="Q772" s="303" t="s">
        <v>441</v>
      </c>
      <c r="R772" s="418"/>
      <c r="S772" s="419" t="s">
        <v>2215</v>
      </c>
      <c r="T772" s="418"/>
      <c r="U772" s="326" t="s">
        <v>132</v>
      </c>
      <c r="V772" s="313">
        <v>46181</v>
      </c>
      <c r="W772" s="302" t="s">
        <v>2216</v>
      </c>
      <c r="X772" s="303" t="s">
        <v>40</v>
      </c>
      <c r="Y772" s="304">
        <v>46184</v>
      </c>
      <c r="Z772" s="304">
        <v>46184</v>
      </c>
      <c r="AA772" s="314">
        <v>146079</v>
      </c>
      <c r="AB772" s="346"/>
      <c r="AC772" s="346"/>
      <c r="AD772" s="314">
        <v>0</v>
      </c>
    </row>
    <row r="773" spans="1:30" ht="15" customHeight="1">
      <c r="A773" s="237">
        <v>30627</v>
      </c>
      <c r="B773" s="405">
        <v>1</v>
      </c>
      <c r="C773" s="404">
        <v>46178</v>
      </c>
      <c r="D773" s="386">
        <f t="shared" ca="1" si="30"/>
        <v>49</v>
      </c>
      <c r="E773" s="170" t="str">
        <f t="shared" ca="1" si="32"/>
        <v>CRÍTICO</v>
      </c>
      <c r="F773" s="397" t="s">
        <v>28</v>
      </c>
      <c r="G773" s="392" t="s">
        <v>29</v>
      </c>
      <c r="H773" s="139" t="s">
        <v>181</v>
      </c>
      <c r="I773" s="117" t="str">
        <f>IF(X773="ADMITIDO","ADMITIDO",IF(X773="CANCELADA","CANCELADA",IF(H773="","",IFERROR(_xlfn.XLOOKUP(H773,Listas!I:I,Listas!J:J),"OUTROS"))))</f>
        <v>DOCUMENTAÇÃO</v>
      </c>
      <c r="J773" s="240" t="s">
        <v>146</v>
      </c>
      <c r="K773" s="240" t="s">
        <v>31</v>
      </c>
      <c r="L773" s="240" t="s">
        <v>2217</v>
      </c>
      <c r="M773" s="240"/>
      <c r="N773" s="240" t="s">
        <v>205</v>
      </c>
      <c r="O773" s="119" t="s">
        <v>34</v>
      </c>
      <c r="P773" s="119" t="s">
        <v>35</v>
      </c>
      <c r="Q773" s="119" t="s">
        <v>574</v>
      </c>
      <c r="R773" s="234" t="s">
        <v>2218</v>
      </c>
      <c r="S773" s="273"/>
      <c r="T773" s="234" t="s">
        <v>2219</v>
      </c>
      <c r="U773" s="73" t="s">
        <v>38</v>
      </c>
      <c r="V773" s="216" t="s">
        <v>2220</v>
      </c>
      <c r="W773" s="118" t="s">
        <v>2221</v>
      </c>
      <c r="X773" s="119" t="s">
        <v>810</v>
      </c>
      <c r="Y773" s="120"/>
      <c r="Z773" s="120"/>
      <c r="AA773" s="244"/>
      <c r="AB773" s="241" t="s">
        <v>2222</v>
      </c>
      <c r="AC773" s="241"/>
      <c r="AD773" s="244">
        <v>1</v>
      </c>
    </row>
    <row r="774" spans="1:30" ht="15" customHeight="1">
      <c r="A774" s="402">
        <v>30622</v>
      </c>
      <c r="B774" s="406">
        <v>1</v>
      </c>
      <c r="C774" s="403">
        <v>46178</v>
      </c>
      <c r="D774" s="380">
        <f t="shared" ca="1" si="30"/>
        <v>49</v>
      </c>
      <c r="E774" s="381" t="str">
        <f t="shared" si="32"/>
        <v>CANCELADA</v>
      </c>
      <c r="F774" s="395" t="s">
        <v>42</v>
      </c>
      <c r="G774" s="390" t="s">
        <v>69</v>
      </c>
      <c r="H774" s="382" t="s">
        <v>52</v>
      </c>
      <c r="I774" s="382" t="str">
        <f>IF(X774="ADMITIDO","ADMITIDO",IF(X774="CANCELADA","CANCELADA",IF(H774="","",IFERROR(_xlfn.XLOOKUP(H774,Listas!I:I,Listas!J:J),"OUTROS"))))</f>
        <v>CANCELADA</v>
      </c>
      <c r="J774" s="435" t="s">
        <v>53</v>
      </c>
      <c r="K774" s="435" t="s">
        <v>158</v>
      </c>
      <c r="L774" s="435" t="s">
        <v>1061</v>
      </c>
      <c r="M774" s="435"/>
      <c r="N774" s="435" t="s">
        <v>63</v>
      </c>
      <c r="O774" s="306" t="s">
        <v>34</v>
      </c>
      <c r="P774" s="306" t="s">
        <v>35</v>
      </c>
      <c r="Q774" s="306" t="s">
        <v>36</v>
      </c>
      <c r="R774" s="436"/>
      <c r="S774" s="437"/>
      <c r="T774" s="436"/>
      <c r="U774" s="189"/>
      <c r="V774" s="328"/>
      <c r="W774" s="305"/>
      <c r="X774" s="306"/>
      <c r="Y774" s="307"/>
      <c r="Z774" s="307"/>
      <c r="AA774" s="329"/>
      <c r="AB774" s="439" t="s">
        <v>2223</v>
      </c>
      <c r="AC774" s="439"/>
      <c r="AD774" s="329">
        <v>1</v>
      </c>
    </row>
    <row r="775" spans="1:30" ht="15" customHeight="1">
      <c r="A775" s="580">
        <v>30617</v>
      </c>
      <c r="B775" s="121">
        <v>1</v>
      </c>
      <c r="C775" s="238">
        <v>46178</v>
      </c>
      <c r="D775" s="105">
        <f t="shared" ca="1" si="30"/>
        <v>49</v>
      </c>
      <c r="E775" s="138" t="str">
        <f t="shared" si="32"/>
        <v>ADMITIDO</v>
      </c>
      <c r="F775" s="230" t="s">
        <v>42</v>
      </c>
      <c r="G775" s="147" t="s">
        <v>69</v>
      </c>
      <c r="H775" s="117" t="s">
        <v>40</v>
      </c>
      <c r="I775" s="576" t="str">
        <f>IF(X775="ADMITIDO","ADMITIDO",IF(X775="CANCELADA","CANCELADA",IF(H775="","",IFERROR(_xlfn.XLOOKUP(H775,Listas!I:I,Listas!J:J),"OUTROS"))))</f>
        <v>ADMITIDO</v>
      </c>
      <c r="J775" s="240" t="s">
        <v>44</v>
      </c>
      <c r="K775" s="240" t="s">
        <v>70</v>
      </c>
      <c r="L775" s="240" t="s">
        <v>639</v>
      </c>
      <c r="M775" s="240"/>
      <c r="N775" s="240" t="s">
        <v>63</v>
      </c>
      <c r="O775" s="119" t="s">
        <v>34</v>
      </c>
      <c r="P775" s="119" t="s">
        <v>57</v>
      </c>
      <c r="Q775" s="119" t="s">
        <v>2224</v>
      </c>
      <c r="R775" s="234"/>
      <c r="S775" s="273"/>
      <c r="T775" s="234"/>
      <c r="U775" s="73" t="s">
        <v>109</v>
      </c>
      <c r="V775" s="216">
        <v>46204</v>
      </c>
      <c r="W775" s="118" t="s">
        <v>2225</v>
      </c>
      <c r="X775" s="119" t="s">
        <v>40</v>
      </c>
      <c r="Y775" s="120">
        <v>46209</v>
      </c>
      <c r="Z775" s="120">
        <v>46210</v>
      </c>
      <c r="AA775" s="244">
        <v>146189</v>
      </c>
      <c r="AB775" s="241" t="s">
        <v>2226</v>
      </c>
      <c r="AC775" s="241"/>
      <c r="AD775" s="244">
        <v>1</v>
      </c>
    </row>
    <row r="776" spans="1:30" ht="15" customHeight="1">
      <c r="A776" s="581">
        <v>30613</v>
      </c>
      <c r="B776" s="121">
        <v>1</v>
      </c>
      <c r="C776" s="238">
        <v>46178</v>
      </c>
      <c r="D776" s="105">
        <f t="shared" ca="1" si="30"/>
        <v>49</v>
      </c>
      <c r="E776" s="138" t="str">
        <f t="shared" si="32"/>
        <v>ADMITIDO</v>
      </c>
      <c r="F776" s="230" t="s">
        <v>42</v>
      </c>
      <c r="G776" s="147" t="s">
        <v>102</v>
      </c>
      <c r="H776" s="117" t="s">
        <v>40</v>
      </c>
      <c r="I776" s="577" t="str">
        <f>IF(X776="ADMITIDO","ADMITIDO",IF(X776="CANCELADA","CANCELADA",IF(H776="","",IFERROR(_xlfn.XLOOKUP(H776,Listas!I:I,Listas!J:J),"OUTROS"))))</f>
        <v>ADMITIDO</v>
      </c>
      <c r="J776" s="427" t="s">
        <v>53</v>
      </c>
      <c r="K776" s="428" t="s">
        <v>103</v>
      </c>
      <c r="L776" s="428" t="s">
        <v>194</v>
      </c>
      <c r="M776" s="428"/>
      <c r="N776" s="428" t="s">
        <v>63</v>
      </c>
      <c r="O776" s="308" t="s">
        <v>34</v>
      </c>
      <c r="P776" s="308" t="s">
        <v>219</v>
      </c>
      <c r="Q776" s="308" t="s">
        <v>238</v>
      </c>
      <c r="R776" s="431"/>
      <c r="S776" s="432" t="s">
        <v>65</v>
      </c>
      <c r="T776" s="352" t="s">
        <v>2227</v>
      </c>
      <c r="U776" s="327" t="s">
        <v>109</v>
      </c>
      <c r="V776" s="315">
        <v>46182</v>
      </c>
      <c r="W776" s="310" t="s">
        <v>2228</v>
      </c>
      <c r="X776" s="308" t="s">
        <v>40</v>
      </c>
      <c r="Y776" s="309">
        <v>46188</v>
      </c>
      <c r="Z776" s="309">
        <v>46189</v>
      </c>
      <c r="AA776" s="316">
        <v>914431</v>
      </c>
      <c r="AB776" s="351"/>
      <c r="AC776" s="351"/>
      <c r="AD776" s="316">
        <v>0</v>
      </c>
    </row>
    <row r="777" spans="1:30" ht="15" customHeight="1">
      <c r="A777" s="582">
        <v>30614</v>
      </c>
      <c r="B777" s="121">
        <v>1</v>
      </c>
      <c r="C777" s="238">
        <v>46178</v>
      </c>
      <c r="D777" s="105">
        <f t="shared" ca="1" si="30"/>
        <v>49</v>
      </c>
      <c r="E777" s="138" t="str">
        <f t="shared" si="32"/>
        <v>ADMITIDO</v>
      </c>
      <c r="F777" s="230" t="s">
        <v>42</v>
      </c>
      <c r="G777" s="147" t="s">
        <v>102</v>
      </c>
      <c r="H777" s="117" t="s">
        <v>40</v>
      </c>
      <c r="I777" s="574" t="str">
        <f>IF(X777="ADMITIDO","ADMITIDO",IF(X777="CANCELADA","CANCELADA",IF(H777="","",IFERROR(_xlfn.XLOOKUP(H777,Listas!I:I,Listas!J:J),"OUTROS"))))</f>
        <v>ADMITIDO</v>
      </c>
      <c r="J777" s="414" t="s">
        <v>53</v>
      </c>
      <c r="K777" s="415" t="s">
        <v>103</v>
      </c>
      <c r="L777" s="415" t="s">
        <v>194</v>
      </c>
      <c r="M777" s="415"/>
      <c r="N777" s="415" t="s">
        <v>63</v>
      </c>
      <c r="O777" s="303" t="s">
        <v>34</v>
      </c>
      <c r="P777" s="303" t="s">
        <v>219</v>
      </c>
      <c r="Q777" s="303" t="s">
        <v>238</v>
      </c>
      <c r="R777" s="418"/>
      <c r="S777" s="419"/>
      <c r="T777" s="418"/>
      <c r="U777" s="326" t="s">
        <v>76</v>
      </c>
      <c r="V777" s="313">
        <v>46188</v>
      </c>
      <c r="W777" s="302" t="s">
        <v>2229</v>
      </c>
      <c r="X777" s="303" t="s">
        <v>40</v>
      </c>
      <c r="Y777" s="304">
        <v>46192</v>
      </c>
      <c r="Z777" s="304">
        <v>46195</v>
      </c>
      <c r="AA777" s="314">
        <v>914475</v>
      </c>
      <c r="AB777" s="346"/>
      <c r="AC777" s="346"/>
      <c r="AD777" s="314">
        <v>0</v>
      </c>
    </row>
    <row r="778" spans="1:30" ht="15" customHeight="1">
      <c r="A778" s="582">
        <v>30646</v>
      </c>
      <c r="B778" s="376">
        <v>1</v>
      </c>
      <c r="C778" s="375">
        <v>46181</v>
      </c>
      <c r="D778" s="367">
        <f t="shared" ca="1" si="30"/>
        <v>46</v>
      </c>
      <c r="E778" s="368" t="str">
        <f t="shared" si="32"/>
        <v>ADMITIDO</v>
      </c>
      <c r="F778" s="371" t="s">
        <v>42</v>
      </c>
      <c r="G778" s="369" t="s">
        <v>240</v>
      </c>
      <c r="H778" s="146" t="s">
        <v>40</v>
      </c>
      <c r="I778" s="574" t="str">
        <f>IF(X778="ADMITIDO","ADMITIDO",IF(X778="CANCELADA","CANCELADA",IF(H778="","",IFERROR(_xlfn.XLOOKUP(H778,Listas!I:I,Listas!J:J),"OUTROS"))))</f>
        <v>ADMITIDO</v>
      </c>
      <c r="J778" s="415" t="s">
        <v>53</v>
      </c>
      <c r="K778" s="415" t="s">
        <v>241</v>
      </c>
      <c r="L778" s="415" t="s">
        <v>407</v>
      </c>
      <c r="M778" s="415"/>
      <c r="N778" s="415" t="s">
        <v>243</v>
      </c>
      <c r="O778" s="303" t="s">
        <v>34</v>
      </c>
      <c r="P778" s="303" t="s">
        <v>48</v>
      </c>
      <c r="Q778" s="303" t="s">
        <v>49</v>
      </c>
      <c r="R778" s="234"/>
      <c r="S778" s="273" t="s">
        <v>1981</v>
      </c>
      <c r="T778" s="274"/>
      <c r="U778" s="73" t="s">
        <v>76</v>
      </c>
      <c r="V778" s="216">
        <v>46204</v>
      </c>
      <c r="W778" s="118" t="s">
        <v>2230</v>
      </c>
      <c r="X778" s="119" t="s">
        <v>40</v>
      </c>
      <c r="Y778" s="120">
        <v>46205</v>
      </c>
      <c r="Z778" s="120">
        <v>46209</v>
      </c>
      <c r="AA778" s="244">
        <v>146179</v>
      </c>
      <c r="AB778" s="241"/>
      <c r="AC778" s="241"/>
      <c r="AD778" s="244">
        <v>0</v>
      </c>
    </row>
    <row r="779" spans="1:30" ht="15" customHeight="1">
      <c r="A779" s="591">
        <v>30639</v>
      </c>
      <c r="B779" s="487">
        <v>1</v>
      </c>
      <c r="C779" s="488">
        <v>46181</v>
      </c>
      <c r="D779" s="489">
        <f t="shared" ca="1" si="30"/>
        <v>46</v>
      </c>
      <c r="E779" s="490" t="str">
        <f t="shared" si="32"/>
        <v>CANCELADA</v>
      </c>
      <c r="F779" s="491" t="s">
        <v>42</v>
      </c>
      <c r="G779" s="492" t="s">
        <v>43</v>
      </c>
      <c r="H779" s="493" t="s">
        <v>52</v>
      </c>
      <c r="I779" s="493" t="str">
        <f>IF(X779="ADMITIDO","ADMITIDO",IF(X779="CANCELADA","CANCELADA",IF(H779="","",IFERROR(_xlfn.XLOOKUP(H779,Listas!I:I,Listas!J:J),"OUTROS"))))</f>
        <v>CANCELADA</v>
      </c>
      <c r="J779" s="494" t="s">
        <v>53</v>
      </c>
      <c r="K779" s="494" t="s">
        <v>45</v>
      </c>
      <c r="L779" s="528" t="s">
        <v>2231</v>
      </c>
      <c r="M779" s="528"/>
      <c r="N779" s="528" t="s">
        <v>97</v>
      </c>
      <c r="O779" s="495" t="s">
        <v>34</v>
      </c>
      <c r="P779" s="495" t="s">
        <v>57</v>
      </c>
      <c r="Q779" s="495" t="s">
        <v>231</v>
      </c>
      <c r="R779" s="481" t="s">
        <v>2232</v>
      </c>
      <c r="S779" s="273" t="s">
        <v>1375</v>
      </c>
      <c r="T779" s="273">
        <v>11989794716</v>
      </c>
      <c r="U779" s="73" t="s">
        <v>50</v>
      </c>
      <c r="V779" s="216">
        <v>46223</v>
      </c>
      <c r="W779" s="118"/>
      <c r="X779" s="119"/>
      <c r="Y779" s="120"/>
      <c r="Z779" s="120"/>
      <c r="AA779" s="244"/>
      <c r="AB779" s="241" t="s">
        <v>2233</v>
      </c>
      <c r="AC779" s="241" t="s">
        <v>2234</v>
      </c>
      <c r="AD779" s="244">
        <v>3</v>
      </c>
    </row>
    <row r="780" spans="1:30" ht="15" customHeight="1">
      <c r="A780" s="581">
        <v>30631</v>
      </c>
      <c r="B780" s="405">
        <v>1</v>
      </c>
      <c r="C780" s="404">
        <v>46181</v>
      </c>
      <c r="D780" s="386">
        <f t="shared" ca="1" si="30"/>
        <v>46</v>
      </c>
      <c r="E780" s="170" t="str">
        <f t="shared" si="32"/>
        <v>ADMITIDO</v>
      </c>
      <c r="F780" s="397" t="s">
        <v>28</v>
      </c>
      <c r="G780" s="392" t="s">
        <v>145</v>
      </c>
      <c r="H780" s="139" t="s">
        <v>40</v>
      </c>
      <c r="I780" s="577" t="str">
        <f>IF(X780="ADMITIDO","ADMITIDO",IF(X780="CANCELADA","CANCELADA",IF(H780="","",IFERROR(_xlfn.XLOOKUP(H780,Listas!I:I,Listas!J:J),"OUTROS"))))</f>
        <v>ADMITIDO</v>
      </c>
      <c r="J780" s="428" t="s">
        <v>268</v>
      </c>
      <c r="K780" s="428" t="s">
        <v>371</v>
      </c>
      <c r="L780" s="428" t="s">
        <v>998</v>
      </c>
      <c r="M780" s="428"/>
      <c r="N780" s="428" t="s">
        <v>999</v>
      </c>
      <c r="O780" s="308" t="s">
        <v>34</v>
      </c>
      <c r="P780" s="308" t="s">
        <v>35</v>
      </c>
      <c r="Q780" s="308" t="s">
        <v>36</v>
      </c>
      <c r="R780" s="234"/>
      <c r="S780" s="477"/>
      <c r="T780" s="352"/>
      <c r="U780" s="327" t="s">
        <v>76</v>
      </c>
      <c r="V780" s="315">
        <v>46182</v>
      </c>
      <c r="W780" s="310" t="s">
        <v>2235</v>
      </c>
      <c r="X780" s="308" t="s">
        <v>40</v>
      </c>
      <c r="Y780" s="309">
        <v>46185</v>
      </c>
      <c r="Z780" s="309">
        <v>46196</v>
      </c>
      <c r="AA780" s="316">
        <v>914433</v>
      </c>
      <c r="AB780" s="351"/>
      <c r="AC780" s="351"/>
      <c r="AD780" s="316">
        <v>0</v>
      </c>
    </row>
    <row r="781" spans="1:30" ht="15" customHeight="1">
      <c r="A781" s="396">
        <v>30634</v>
      </c>
      <c r="B781" s="405">
        <v>1</v>
      </c>
      <c r="C781" s="404">
        <v>46181</v>
      </c>
      <c r="D781" s="386">
        <f t="shared" ca="1" si="30"/>
        <v>46</v>
      </c>
      <c r="E781" s="170" t="str">
        <f t="shared" si="32"/>
        <v>ADMITIDO</v>
      </c>
      <c r="F781" s="397" t="s">
        <v>42</v>
      </c>
      <c r="G781" s="392" t="s">
        <v>240</v>
      </c>
      <c r="H781" s="139" t="s">
        <v>40</v>
      </c>
      <c r="I781" s="139" t="str">
        <f>IF(X781="ADMITIDO","ADMITIDO",IF(X781="CANCELADA","CANCELADA",IF(H781="","",IFERROR(_xlfn.XLOOKUP(H781,Listas!I:I,Listas!J:J),"OUTROS"))))</f>
        <v>ADMITIDO</v>
      </c>
      <c r="J781" s="427" t="s">
        <v>44</v>
      </c>
      <c r="K781" s="428" t="s">
        <v>241</v>
      </c>
      <c r="L781" s="428" t="s">
        <v>307</v>
      </c>
      <c r="M781" s="428"/>
      <c r="N781" s="428" t="s">
        <v>243</v>
      </c>
      <c r="O781" s="308" t="s">
        <v>34</v>
      </c>
      <c r="P781" s="308" t="s">
        <v>57</v>
      </c>
      <c r="Q781" s="308" t="s">
        <v>308</v>
      </c>
      <c r="R781" s="431"/>
      <c r="S781" s="273" t="s">
        <v>65</v>
      </c>
      <c r="T781" s="274" t="s">
        <v>2236</v>
      </c>
      <c r="U781" s="73" t="s">
        <v>109</v>
      </c>
      <c r="V781" s="216">
        <v>46182</v>
      </c>
      <c r="W781" s="118" t="s">
        <v>2237</v>
      </c>
      <c r="X781" s="119" t="s">
        <v>40</v>
      </c>
      <c r="Y781" s="120">
        <v>46189</v>
      </c>
      <c r="Z781" s="120">
        <v>46191</v>
      </c>
      <c r="AA781" s="244">
        <v>146096</v>
      </c>
      <c r="AB781" s="241"/>
      <c r="AC781" s="241"/>
      <c r="AD781" s="244">
        <v>0</v>
      </c>
    </row>
    <row r="782" spans="1:30" ht="15" customHeight="1">
      <c r="A782" s="237">
        <v>30635</v>
      </c>
      <c r="B782" s="121">
        <v>1</v>
      </c>
      <c r="C782" s="238">
        <v>46181</v>
      </c>
      <c r="D782" s="105">
        <f t="shared" ca="1" si="30"/>
        <v>46</v>
      </c>
      <c r="E782" s="138" t="str">
        <f t="shared" si="32"/>
        <v>ADMITIDO</v>
      </c>
      <c r="F782" s="230" t="s">
        <v>42</v>
      </c>
      <c r="G782" s="147" t="s">
        <v>145</v>
      </c>
      <c r="H782" s="117" t="s">
        <v>40</v>
      </c>
      <c r="I782" s="117" t="str">
        <f>IF(X782="ADMITIDO","ADMITIDO",IF(X782="CANCELADA","CANCELADA",IF(H782="","",IFERROR(_xlfn.XLOOKUP(H782,Listas!I:I,Listas!J:J),"OUTROS"))))</f>
        <v>ADMITIDO</v>
      </c>
      <c r="J782" s="363" t="s">
        <v>182</v>
      </c>
      <c r="K782" s="240" t="s">
        <v>54</v>
      </c>
      <c r="L782" s="240" t="s">
        <v>183</v>
      </c>
      <c r="M782" s="240"/>
      <c r="N782" s="240" t="s">
        <v>184</v>
      </c>
      <c r="O782" s="119" t="s">
        <v>34</v>
      </c>
      <c r="P782" s="119" t="s">
        <v>185</v>
      </c>
      <c r="Q782" s="119" t="s">
        <v>36</v>
      </c>
      <c r="R782" s="234"/>
      <c r="S782" s="273"/>
      <c r="T782" s="274"/>
      <c r="U782" s="73" t="s">
        <v>38</v>
      </c>
      <c r="V782" s="216">
        <v>46175</v>
      </c>
      <c r="W782" s="118" t="s">
        <v>2238</v>
      </c>
      <c r="X782" s="119" t="s">
        <v>40</v>
      </c>
      <c r="Y782" s="120">
        <v>46183</v>
      </c>
      <c r="Z782" s="120">
        <v>46189</v>
      </c>
      <c r="AA782" s="244">
        <v>914422</v>
      </c>
      <c r="AB782" s="241"/>
      <c r="AC782" s="241"/>
      <c r="AD782" s="244">
        <v>0</v>
      </c>
    </row>
    <row r="783" spans="1:30" ht="15" customHeight="1">
      <c r="A783" s="402">
        <v>30643</v>
      </c>
      <c r="B783" s="406">
        <v>1</v>
      </c>
      <c r="C783" s="403">
        <v>46181</v>
      </c>
      <c r="D783" s="380">
        <f t="shared" ca="1" si="30"/>
        <v>46</v>
      </c>
      <c r="E783" s="381" t="str">
        <f t="shared" si="32"/>
        <v>CANCELADA</v>
      </c>
      <c r="F783" s="395" t="s">
        <v>28</v>
      </c>
      <c r="G783" s="390" t="s">
        <v>60</v>
      </c>
      <c r="H783" s="382" t="s">
        <v>52</v>
      </c>
      <c r="I783" s="382" t="str">
        <f>IF(X783="ADMITIDO","ADMITIDO",IF(X783="CANCELADA","CANCELADA",IF(H783="","",IFERROR(_xlfn.XLOOKUP(H783,Listas!I:I,Listas!J:J),"OUTROS"))))</f>
        <v>CANCELADA</v>
      </c>
      <c r="J783" s="415" t="s">
        <v>616</v>
      </c>
      <c r="K783" s="415" t="s">
        <v>986</v>
      </c>
      <c r="L783" s="415" t="s">
        <v>1097</v>
      </c>
      <c r="M783" s="415"/>
      <c r="N783" s="415" t="s">
        <v>63</v>
      </c>
      <c r="O783" s="303" t="s">
        <v>56</v>
      </c>
      <c r="P783" s="303" t="s">
        <v>35</v>
      </c>
      <c r="Q783" s="303" t="s">
        <v>176</v>
      </c>
      <c r="R783" s="418"/>
      <c r="S783" s="419"/>
      <c r="T783" s="345"/>
      <c r="U783" s="326"/>
      <c r="V783" s="313"/>
      <c r="W783" s="302"/>
      <c r="X783" s="303"/>
      <c r="Y783" s="304"/>
      <c r="Z783" s="304"/>
      <c r="AA783" s="314"/>
      <c r="AB783" s="346" t="s">
        <v>2239</v>
      </c>
      <c r="AC783" s="346" t="s">
        <v>2240</v>
      </c>
      <c r="AD783" s="314">
        <v>0</v>
      </c>
    </row>
    <row r="784" spans="1:30" ht="15" customHeight="1">
      <c r="A784" s="237">
        <v>30633</v>
      </c>
      <c r="B784" s="121">
        <v>1</v>
      </c>
      <c r="C784" s="238">
        <v>46181</v>
      </c>
      <c r="D784" s="105">
        <f t="shared" ca="1" si="30"/>
        <v>46</v>
      </c>
      <c r="E784" s="138" t="str">
        <f t="shared" si="32"/>
        <v>CANCELADA</v>
      </c>
      <c r="F784" s="230" t="s">
        <v>42</v>
      </c>
      <c r="G784" s="147" t="s">
        <v>240</v>
      </c>
      <c r="H784" s="117" t="s">
        <v>52</v>
      </c>
      <c r="I784" s="117" t="str">
        <f>IF(X784="ADMITIDO","ADMITIDO",IF(X784="CANCELADA","CANCELADA",IF(H784="","",IFERROR(_xlfn.XLOOKUP(H784,Listas!I:I,Listas!J:J),"OUTROS"))))</f>
        <v>CANCELADA</v>
      </c>
      <c r="J784" s="240" t="s">
        <v>44</v>
      </c>
      <c r="K784" s="240" t="s">
        <v>241</v>
      </c>
      <c r="L784" s="240" t="s">
        <v>351</v>
      </c>
      <c r="M784" s="240"/>
      <c r="N784" s="240" t="s">
        <v>63</v>
      </c>
      <c r="O784" s="119" t="s">
        <v>34</v>
      </c>
      <c r="P784" s="119" t="s">
        <v>57</v>
      </c>
      <c r="Q784" s="119" t="s">
        <v>470</v>
      </c>
      <c r="R784" s="234"/>
      <c r="S784" s="273" t="s">
        <v>65</v>
      </c>
      <c r="T784" s="274"/>
      <c r="U784" s="73" t="s">
        <v>76</v>
      </c>
      <c r="V784" s="216">
        <v>46203</v>
      </c>
      <c r="W784" s="118" t="s">
        <v>2241</v>
      </c>
      <c r="X784" s="119" t="s">
        <v>284</v>
      </c>
      <c r="Y784" s="120"/>
      <c r="Z784" s="120"/>
      <c r="AA784" s="244"/>
      <c r="AB784" s="241"/>
      <c r="AC784" s="241"/>
      <c r="AD784" s="244">
        <v>0</v>
      </c>
    </row>
    <row r="785" spans="1:30" s="275" customFormat="1" ht="15" customHeight="1">
      <c r="A785" s="396">
        <v>30625</v>
      </c>
      <c r="B785" s="405">
        <v>1</v>
      </c>
      <c r="C785" s="404">
        <v>46181</v>
      </c>
      <c r="D785" s="386">
        <f t="shared" ca="1" si="30"/>
        <v>46</v>
      </c>
      <c r="E785" s="170" t="str">
        <f t="shared" si="32"/>
        <v>ADMITIDO</v>
      </c>
      <c r="F785" s="397" t="s">
        <v>42</v>
      </c>
      <c r="G785" s="392" t="s">
        <v>240</v>
      </c>
      <c r="H785" s="139" t="s">
        <v>40</v>
      </c>
      <c r="I785" s="139" t="str">
        <f>IF(X785="ADMITIDO","ADMITIDO",IF(X785="CANCELADA","CANCELADA",IF(H785="","",IFERROR(_xlfn.XLOOKUP(H785,Listas!I:I,Listas!J:J),"OUTROS"))))</f>
        <v>ADMITIDO</v>
      </c>
      <c r="J785" s="427" t="s">
        <v>44</v>
      </c>
      <c r="K785" s="428" t="s">
        <v>241</v>
      </c>
      <c r="L785" s="428" t="s">
        <v>1970</v>
      </c>
      <c r="M785" s="428"/>
      <c r="N785" s="428" t="s">
        <v>63</v>
      </c>
      <c r="O785" s="308" t="s">
        <v>56</v>
      </c>
      <c r="P785" s="308" t="s">
        <v>35</v>
      </c>
      <c r="Q785" s="308" t="s">
        <v>176</v>
      </c>
      <c r="R785" s="431"/>
      <c r="S785" s="432" t="s">
        <v>65</v>
      </c>
      <c r="T785" s="469" t="s">
        <v>2242</v>
      </c>
      <c r="U785" s="327" t="s">
        <v>109</v>
      </c>
      <c r="V785" s="315">
        <v>46192</v>
      </c>
      <c r="W785" s="310" t="s">
        <v>2243</v>
      </c>
      <c r="X785" s="308" t="s">
        <v>40</v>
      </c>
      <c r="Y785" s="309">
        <v>46202</v>
      </c>
      <c r="Z785" s="309">
        <v>46204</v>
      </c>
      <c r="AA785" s="316">
        <v>914540</v>
      </c>
      <c r="AB785" s="472" t="s">
        <v>2244</v>
      </c>
      <c r="AC785" s="351" t="s">
        <v>2245</v>
      </c>
      <c r="AD785" s="316">
        <v>4</v>
      </c>
    </row>
    <row r="786" spans="1:30" ht="15" customHeight="1">
      <c r="A786" s="374">
        <v>30626</v>
      </c>
      <c r="B786" s="376">
        <v>1</v>
      </c>
      <c r="C786" s="375">
        <v>46181</v>
      </c>
      <c r="D786" s="367">
        <f t="shared" ca="1" si="30"/>
        <v>46</v>
      </c>
      <c r="E786" s="368" t="str">
        <f t="shared" si="32"/>
        <v>ADMITIDO</v>
      </c>
      <c r="F786" s="371" t="s">
        <v>42</v>
      </c>
      <c r="G786" s="369" t="s">
        <v>240</v>
      </c>
      <c r="H786" s="146" t="s">
        <v>40</v>
      </c>
      <c r="I786" s="146" t="str">
        <f>IF(X786="ADMITIDO","ADMITIDO",IF(X786="CANCELADA","CANCELADA",IF(H786="","",IFERROR(_xlfn.XLOOKUP(H786,Listas!I:I,Listas!J:J),"OUTROS"))))</f>
        <v>ADMITIDO</v>
      </c>
      <c r="J786" s="414" t="s">
        <v>44</v>
      </c>
      <c r="K786" s="415" t="s">
        <v>241</v>
      </c>
      <c r="L786" s="415" t="s">
        <v>1970</v>
      </c>
      <c r="M786" s="415"/>
      <c r="N786" s="415" t="s">
        <v>63</v>
      </c>
      <c r="O786" s="303" t="s">
        <v>56</v>
      </c>
      <c r="P786" s="303" t="s">
        <v>35</v>
      </c>
      <c r="Q786" s="303" t="s">
        <v>176</v>
      </c>
      <c r="R786" s="418"/>
      <c r="S786" s="419" t="s">
        <v>373</v>
      </c>
      <c r="T786" s="345" t="s">
        <v>2246</v>
      </c>
      <c r="U786" s="189" t="s">
        <v>109</v>
      </c>
      <c r="V786" s="328">
        <v>46191</v>
      </c>
      <c r="W786" s="305" t="s">
        <v>2247</v>
      </c>
      <c r="X786" s="306" t="s">
        <v>40</v>
      </c>
      <c r="Y786" s="307">
        <v>46195</v>
      </c>
      <c r="Z786" s="307">
        <v>46197</v>
      </c>
      <c r="AA786" s="329">
        <v>914497</v>
      </c>
      <c r="AB786" s="346" t="s">
        <v>2248</v>
      </c>
      <c r="AC786" s="346"/>
      <c r="AD786" s="314">
        <v>3</v>
      </c>
    </row>
    <row r="787" spans="1:30" ht="15" customHeight="1">
      <c r="A787" s="237">
        <v>30650</v>
      </c>
      <c r="B787" s="121">
        <v>1</v>
      </c>
      <c r="C787" s="238">
        <v>46181</v>
      </c>
      <c r="D787" s="105">
        <f t="shared" ca="1" si="30"/>
        <v>46</v>
      </c>
      <c r="E787" s="138" t="str">
        <f t="shared" si="32"/>
        <v>ADMITIDO</v>
      </c>
      <c r="F787" s="230" t="s">
        <v>42</v>
      </c>
      <c r="G787" s="147" t="s">
        <v>102</v>
      </c>
      <c r="H787" s="146" t="s">
        <v>40</v>
      </c>
      <c r="I787" s="117" t="str">
        <f>IF(X787="ADMITIDO","ADMITIDO",IF(X787="CANCELADA","CANCELADA",IF(H787="","",IFERROR(_xlfn.XLOOKUP(H787,Listas!I:I,Listas!J:J),"OUTROS"))))</f>
        <v>ADMITIDO</v>
      </c>
      <c r="J787" s="240" t="s">
        <v>53</v>
      </c>
      <c r="K787" s="240" t="s">
        <v>103</v>
      </c>
      <c r="L787" s="240" t="s">
        <v>2249</v>
      </c>
      <c r="M787" s="240"/>
      <c r="N787" s="240" t="s">
        <v>2250</v>
      </c>
      <c r="O787" s="119" t="s">
        <v>34</v>
      </c>
      <c r="P787" s="119" t="s">
        <v>48</v>
      </c>
      <c r="Q787" s="119" t="s">
        <v>414</v>
      </c>
      <c r="R787" s="234" t="s">
        <v>2251</v>
      </c>
      <c r="S787" s="273"/>
      <c r="T787" s="274"/>
      <c r="U787" s="73" t="s">
        <v>76</v>
      </c>
      <c r="V787" s="216">
        <v>46210</v>
      </c>
      <c r="W787" s="118" t="s">
        <v>2252</v>
      </c>
      <c r="X787" s="119" t="s">
        <v>40</v>
      </c>
      <c r="Y787" s="120">
        <v>46213</v>
      </c>
      <c r="Z787" s="120">
        <v>46216</v>
      </c>
      <c r="AA787" s="244">
        <v>146213</v>
      </c>
      <c r="AB787" s="118" t="s">
        <v>2253</v>
      </c>
      <c r="AC787" s="241"/>
      <c r="AD787" s="244">
        <v>1</v>
      </c>
    </row>
    <row r="788" spans="1:30" ht="15" customHeight="1">
      <c r="A788" s="402">
        <v>30652</v>
      </c>
      <c r="B788" s="406">
        <v>1</v>
      </c>
      <c r="C788" s="403">
        <v>46181</v>
      </c>
      <c r="D788" s="380">
        <f t="shared" ca="1" si="30"/>
        <v>46</v>
      </c>
      <c r="E788" s="381" t="str">
        <f t="shared" si="32"/>
        <v>CANCELADA</v>
      </c>
      <c r="F788" s="395" t="s">
        <v>42</v>
      </c>
      <c r="G788" s="390" t="s">
        <v>29</v>
      </c>
      <c r="H788" s="382" t="s">
        <v>52</v>
      </c>
      <c r="I788" s="382" t="str">
        <f>IF(X788="ADMITIDO","ADMITIDO",IF(X788="CANCELADA","CANCELADA",IF(H788="","",IFERROR(_xlfn.XLOOKUP(H788,Listas!I:I,Listas!J:J),"OUTROS"))))</f>
        <v>CANCELADA</v>
      </c>
      <c r="J788" s="428" t="s">
        <v>44</v>
      </c>
      <c r="K788" s="428" t="s">
        <v>228</v>
      </c>
      <c r="L788" s="428" t="s">
        <v>807</v>
      </c>
      <c r="M788" s="428"/>
      <c r="N788" s="428" t="s">
        <v>88</v>
      </c>
      <c r="O788" s="308" t="s">
        <v>34</v>
      </c>
      <c r="P788" s="308" t="s">
        <v>210</v>
      </c>
      <c r="Q788" s="308" t="s">
        <v>231</v>
      </c>
      <c r="R788" s="431"/>
      <c r="S788" s="432"/>
      <c r="T788" s="352"/>
      <c r="U788" s="327"/>
      <c r="V788" s="315"/>
      <c r="W788" s="310"/>
      <c r="X788" s="308"/>
      <c r="Y788" s="309"/>
      <c r="Z788" s="309"/>
      <c r="AA788" s="316"/>
      <c r="AB788" s="351" t="s">
        <v>2254</v>
      </c>
      <c r="AC788" s="351" t="s">
        <v>1705</v>
      </c>
      <c r="AD788" s="316">
        <v>0</v>
      </c>
    </row>
    <row r="789" spans="1:30" ht="15" customHeight="1">
      <c r="A789" s="374">
        <v>30649</v>
      </c>
      <c r="B789" s="376">
        <v>1</v>
      </c>
      <c r="C789" s="375">
        <v>46181</v>
      </c>
      <c r="D789" s="367">
        <f t="shared" ca="1" si="30"/>
        <v>46</v>
      </c>
      <c r="E789" s="368" t="str">
        <f t="shared" si="32"/>
        <v>ADMITIDO</v>
      </c>
      <c r="F789" s="371" t="s">
        <v>28</v>
      </c>
      <c r="G789" s="369" t="s">
        <v>240</v>
      </c>
      <c r="H789" s="146" t="s">
        <v>40</v>
      </c>
      <c r="I789" s="146" t="str">
        <f>IF(X789="ADMITIDO","ADMITIDO",IF(X789="CANCELADA","CANCELADA",IF(H789="","",IFERROR(_xlfn.XLOOKUP(H789,Listas!I:I,Listas!J:J),"OUTROS"))))</f>
        <v>ADMITIDO</v>
      </c>
      <c r="J789" s="414" t="s">
        <v>683</v>
      </c>
      <c r="K789" s="415" t="s">
        <v>423</v>
      </c>
      <c r="L789" s="415" t="s">
        <v>684</v>
      </c>
      <c r="M789" s="415"/>
      <c r="N789" s="415" t="s">
        <v>63</v>
      </c>
      <c r="O789" s="303" t="s">
        <v>34</v>
      </c>
      <c r="P789" s="303" t="s">
        <v>35</v>
      </c>
      <c r="Q789" s="303" t="s">
        <v>36</v>
      </c>
      <c r="R789" s="418"/>
      <c r="S789" s="419" t="s">
        <v>2255</v>
      </c>
      <c r="T789" s="345" t="s">
        <v>2256</v>
      </c>
      <c r="U789" s="326" t="s">
        <v>109</v>
      </c>
      <c r="V789" s="313">
        <v>46190</v>
      </c>
      <c r="W789" s="302" t="s">
        <v>2257</v>
      </c>
      <c r="X789" s="303" t="s">
        <v>40</v>
      </c>
      <c r="Y789" s="304">
        <v>46192</v>
      </c>
      <c r="Z789" s="304">
        <v>46197</v>
      </c>
      <c r="AA789" s="314">
        <v>914478</v>
      </c>
      <c r="AB789" s="346"/>
      <c r="AC789" s="346"/>
      <c r="AD789" s="314">
        <v>0</v>
      </c>
    </row>
    <row r="790" spans="1:30" ht="15" customHeight="1">
      <c r="A790" s="237">
        <v>30628</v>
      </c>
      <c r="B790" s="121">
        <v>1</v>
      </c>
      <c r="C790" s="238">
        <v>46181</v>
      </c>
      <c r="D790" s="105">
        <f t="shared" ref="D790:D803" ca="1" si="33">TODAY()-C790</f>
        <v>46</v>
      </c>
      <c r="E790" s="138" t="str">
        <f t="shared" si="32"/>
        <v>ADMITIDO</v>
      </c>
      <c r="F790" s="230" t="s">
        <v>28</v>
      </c>
      <c r="G790" s="147" t="s">
        <v>60</v>
      </c>
      <c r="H790" s="146" t="s">
        <v>40</v>
      </c>
      <c r="I790" s="117" t="str">
        <f>IF(X790="ADMITIDO","ADMITIDO",IF(X790="CANCELADA","CANCELADA",IF(H790="","",IFERROR(_xlfn.XLOOKUP(H790,Listas!I:I,Listas!J:J),"OUTROS"))))</f>
        <v>ADMITIDO</v>
      </c>
      <c r="J790" s="240" t="s">
        <v>683</v>
      </c>
      <c r="K790" s="240" t="s">
        <v>986</v>
      </c>
      <c r="L790" s="240" t="s">
        <v>684</v>
      </c>
      <c r="M790" s="240"/>
      <c r="N790" s="240" t="s">
        <v>63</v>
      </c>
      <c r="O790" s="119" t="s">
        <v>56</v>
      </c>
      <c r="P790" s="119" t="s">
        <v>35</v>
      </c>
      <c r="Q790" s="119" t="s">
        <v>176</v>
      </c>
      <c r="R790" s="234" t="s">
        <v>2258</v>
      </c>
      <c r="S790" s="273" t="s">
        <v>1533</v>
      </c>
      <c r="T790" s="274" t="s">
        <v>2259</v>
      </c>
      <c r="U790" s="73" t="s">
        <v>67</v>
      </c>
      <c r="V790" s="216">
        <v>46204</v>
      </c>
      <c r="W790" s="118" t="s">
        <v>2260</v>
      </c>
      <c r="X790" s="119" t="s">
        <v>40</v>
      </c>
      <c r="Y790" s="120">
        <v>46209</v>
      </c>
      <c r="Z790" s="120">
        <v>46211</v>
      </c>
      <c r="AA790" s="244">
        <v>914584</v>
      </c>
      <c r="AB790" s="241"/>
      <c r="AC790" s="241"/>
      <c r="AD790" s="244">
        <v>0</v>
      </c>
    </row>
    <row r="791" spans="1:30" ht="15" customHeight="1">
      <c r="A791" s="402">
        <v>30648</v>
      </c>
      <c r="B791" s="406">
        <v>1</v>
      </c>
      <c r="C791" s="403">
        <v>46181</v>
      </c>
      <c r="D791" s="380">
        <f t="shared" ca="1" si="33"/>
        <v>46</v>
      </c>
      <c r="E791" s="381" t="str">
        <f t="shared" si="32"/>
        <v>CANCELADA</v>
      </c>
      <c r="F791" s="395" t="s">
        <v>28</v>
      </c>
      <c r="G791" s="390" t="s">
        <v>663</v>
      </c>
      <c r="H791" s="382" t="s">
        <v>52</v>
      </c>
      <c r="I791" s="382" t="str">
        <f>IF(X791="ADMITIDO","ADMITIDO",IF(X791="CANCELADA","CANCELADA",IF(H791="","",IFERROR(_xlfn.XLOOKUP(H791,Listas!I:I,Listas!J:J),"OUTROS"))))</f>
        <v>CANCELADA</v>
      </c>
      <c r="J791" s="428" t="s">
        <v>609</v>
      </c>
      <c r="K791" s="428" t="s">
        <v>31</v>
      </c>
      <c r="L791" s="428" t="s">
        <v>92</v>
      </c>
      <c r="M791" s="428"/>
      <c r="N791" s="428" t="s">
        <v>93</v>
      </c>
      <c r="O791" s="308" t="s">
        <v>34</v>
      </c>
      <c r="P791" s="308" t="s">
        <v>35</v>
      </c>
      <c r="Q791" s="308" t="s">
        <v>36</v>
      </c>
      <c r="R791" s="431"/>
      <c r="S791" s="432"/>
      <c r="T791" s="352"/>
      <c r="U791" s="327"/>
      <c r="V791" s="315"/>
      <c r="W791" s="310"/>
      <c r="X791" s="308"/>
      <c r="Y791" s="309"/>
      <c r="Z791" s="309"/>
      <c r="AA791" s="316"/>
      <c r="AB791" s="351" t="s">
        <v>2261</v>
      </c>
      <c r="AC791" s="351" t="s">
        <v>2240</v>
      </c>
      <c r="AD791" s="316">
        <v>0</v>
      </c>
    </row>
    <row r="792" spans="1:30" ht="15" customHeight="1">
      <c r="A792" s="237">
        <v>30642</v>
      </c>
      <c r="B792" s="121">
        <v>1</v>
      </c>
      <c r="C792" s="238">
        <v>46181</v>
      </c>
      <c r="D792" s="105">
        <f t="shared" ca="1" si="33"/>
        <v>46</v>
      </c>
      <c r="E792" s="138" t="str">
        <f t="shared" si="32"/>
        <v>ADMITIDO</v>
      </c>
      <c r="F792" s="230" t="s">
        <v>28</v>
      </c>
      <c r="G792" s="147" t="s">
        <v>102</v>
      </c>
      <c r="H792" s="117" t="s">
        <v>40</v>
      </c>
      <c r="I792" s="117" t="str">
        <f>IF(X792="ADMITIDO","ADMITIDO",IF(X792="CANCELADA","CANCELADA",IF(H792="","",IFERROR(_xlfn.XLOOKUP(H792,Listas!I:I,Listas!J:J),"OUTROS"))))</f>
        <v>ADMITIDO</v>
      </c>
      <c r="J792" s="363" t="s">
        <v>616</v>
      </c>
      <c r="K792" s="240" t="s">
        <v>1820</v>
      </c>
      <c r="L792" s="240" t="s">
        <v>112</v>
      </c>
      <c r="M792" s="240"/>
      <c r="N792" s="240" t="s">
        <v>63</v>
      </c>
      <c r="O792" s="119" t="s">
        <v>34</v>
      </c>
      <c r="P792" s="119" t="s">
        <v>35</v>
      </c>
      <c r="Q792" s="119" t="s">
        <v>36</v>
      </c>
      <c r="R792" s="234"/>
      <c r="S792" s="273"/>
      <c r="T792" s="274"/>
      <c r="U792" s="73" t="s">
        <v>132</v>
      </c>
      <c r="V792" s="216">
        <v>46197</v>
      </c>
      <c r="W792" s="118" t="s">
        <v>2262</v>
      </c>
      <c r="X792" s="119" t="s">
        <v>40</v>
      </c>
      <c r="Y792" s="120">
        <v>46199</v>
      </c>
      <c r="Z792" s="120">
        <v>46202</v>
      </c>
      <c r="AA792" s="244">
        <v>914539</v>
      </c>
      <c r="AB792" s="241"/>
      <c r="AC792" s="241"/>
      <c r="AD792" s="244">
        <v>0</v>
      </c>
    </row>
    <row r="793" spans="1:30" ht="15" customHeight="1">
      <c r="A793" s="374">
        <v>30629</v>
      </c>
      <c r="B793" s="376">
        <v>1</v>
      </c>
      <c r="C793" s="375">
        <v>46181</v>
      </c>
      <c r="D793" s="367">
        <f t="shared" ca="1" si="33"/>
        <v>46</v>
      </c>
      <c r="E793" s="368" t="str">
        <f t="shared" si="32"/>
        <v>ADMITIDO</v>
      </c>
      <c r="F793" s="371" t="s">
        <v>28</v>
      </c>
      <c r="G793" s="369" t="s">
        <v>60</v>
      </c>
      <c r="H793" s="146" t="s">
        <v>40</v>
      </c>
      <c r="I793" s="146" t="str">
        <f>IF(X793="ADMITIDO","ADMITIDO",IF(X793="CANCELADA","CANCELADA",IF(H793="","",IFERROR(_xlfn.XLOOKUP(H793,Listas!I:I,Listas!J:J),"OUTROS"))))</f>
        <v>ADMITIDO</v>
      </c>
      <c r="J793" s="414" t="s">
        <v>624</v>
      </c>
      <c r="K793" s="415" t="s">
        <v>986</v>
      </c>
      <c r="L793" s="415" t="s">
        <v>618</v>
      </c>
      <c r="M793" s="415"/>
      <c r="N793" s="415" t="s">
        <v>63</v>
      </c>
      <c r="O793" s="303" t="s">
        <v>56</v>
      </c>
      <c r="P793" s="303" t="s">
        <v>35</v>
      </c>
      <c r="Q793" s="303" t="s">
        <v>176</v>
      </c>
      <c r="R793" s="418"/>
      <c r="S793" s="419"/>
      <c r="T793" s="418"/>
      <c r="U793" s="326" t="s">
        <v>132</v>
      </c>
      <c r="V793" s="313">
        <v>46183</v>
      </c>
      <c r="W793" s="302" t="s">
        <v>2263</v>
      </c>
      <c r="X793" s="303" t="s">
        <v>40</v>
      </c>
      <c r="Y793" s="304">
        <v>46184</v>
      </c>
      <c r="Z793" s="304">
        <v>46188</v>
      </c>
      <c r="AA793" s="314">
        <v>914428</v>
      </c>
      <c r="AB793" s="346"/>
      <c r="AC793" s="346"/>
      <c r="AD793" s="314">
        <v>0</v>
      </c>
    </row>
    <row r="794" spans="1:30" ht="15" customHeight="1">
      <c r="A794" s="237">
        <v>30640</v>
      </c>
      <c r="B794" s="121">
        <v>1</v>
      </c>
      <c r="C794" s="238">
        <v>46181</v>
      </c>
      <c r="D794" s="105">
        <f t="shared" ca="1" si="33"/>
        <v>46</v>
      </c>
      <c r="E794" s="138" t="str">
        <f t="shared" si="32"/>
        <v>ADMITIDO</v>
      </c>
      <c r="F794" s="230" t="s">
        <v>42</v>
      </c>
      <c r="G794" s="147" t="s">
        <v>102</v>
      </c>
      <c r="H794" s="146" t="s">
        <v>40</v>
      </c>
      <c r="I794" s="117" t="str">
        <f>IF(X794="ADMITIDO","ADMITIDO",IF(X794="CANCELADA","CANCELADA",IF(H794="","",IFERROR(_xlfn.XLOOKUP(H794,Listas!I:I,Listas!J:J),"OUTROS"))))</f>
        <v>ADMITIDO</v>
      </c>
      <c r="J794" s="240" t="s">
        <v>44</v>
      </c>
      <c r="K794" s="240" t="s">
        <v>103</v>
      </c>
      <c r="L794" s="240" t="s">
        <v>2023</v>
      </c>
      <c r="M794" s="240"/>
      <c r="N794" s="240" t="s">
        <v>274</v>
      </c>
      <c r="O794" s="119" t="s">
        <v>34</v>
      </c>
      <c r="P794" s="119" t="s">
        <v>48</v>
      </c>
      <c r="Q794" s="119" t="s">
        <v>275</v>
      </c>
      <c r="R794" s="273"/>
      <c r="S794" s="273" t="s">
        <v>1533</v>
      </c>
      <c r="T794" s="274">
        <v>30640</v>
      </c>
      <c r="U794" s="73" t="s">
        <v>109</v>
      </c>
      <c r="V794" s="216">
        <v>46219</v>
      </c>
      <c r="W794" s="118" t="s">
        <v>2264</v>
      </c>
      <c r="X794" s="119" t="s">
        <v>40</v>
      </c>
      <c r="Y794" s="120">
        <v>46224</v>
      </c>
      <c r="Z794" s="120">
        <v>46227</v>
      </c>
      <c r="AA794" s="244">
        <v>146266</v>
      </c>
      <c r="AB794" s="241"/>
      <c r="AC794" s="241"/>
      <c r="AD794" s="244">
        <v>0</v>
      </c>
    </row>
    <row r="795" spans="1:30" ht="15" customHeight="1">
      <c r="A795" s="237">
        <v>30641</v>
      </c>
      <c r="B795" s="121">
        <v>1</v>
      </c>
      <c r="C795" s="238">
        <v>46181</v>
      </c>
      <c r="D795" s="105">
        <f t="shared" ca="1" si="33"/>
        <v>46</v>
      </c>
      <c r="E795" s="138" t="str">
        <f t="shared" ca="1" si="32"/>
        <v>CRÍTICO</v>
      </c>
      <c r="F795" s="230" t="s">
        <v>42</v>
      </c>
      <c r="G795" s="147" t="s">
        <v>102</v>
      </c>
      <c r="H795" s="117" t="s">
        <v>259</v>
      </c>
      <c r="I795" s="117" t="str">
        <f>IF(X795="ADMITIDO","ADMITIDO",IF(X795="CANCELADA","CANCELADA",IF(H795="","",IFERROR(_xlfn.XLOOKUP(H795,Listas!I:I,Listas!J:J),"OUTROS"))))</f>
        <v>TRIAGEM</v>
      </c>
      <c r="J795" s="240" t="s">
        <v>53</v>
      </c>
      <c r="K795" s="240" t="s">
        <v>103</v>
      </c>
      <c r="L795" s="240" t="s">
        <v>523</v>
      </c>
      <c r="M795" s="240"/>
      <c r="N795" s="240" t="s">
        <v>274</v>
      </c>
      <c r="O795" s="119" t="s">
        <v>34</v>
      </c>
      <c r="P795" s="119" t="s">
        <v>48</v>
      </c>
      <c r="Q795" s="119" t="s">
        <v>275</v>
      </c>
      <c r="R795" s="273"/>
      <c r="S795" s="273"/>
      <c r="T795" s="274"/>
      <c r="U795" s="73"/>
      <c r="V795" s="216"/>
      <c r="W795" s="118"/>
      <c r="X795" s="119"/>
      <c r="Y795" s="120"/>
      <c r="Z795" s="120"/>
      <c r="AA795" s="244"/>
      <c r="AB795" s="241" t="s">
        <v>2265</v>
      </c>
      <c r="AC795" s="241"/>
      <c r="AD795" s="244">
        <v>1</v>
      </c>
    </row>
    <row r="796" spans="1:30" ht="15" customHeight="1">
      <c r="A796" s="396">
        <v>30644</v>
      </c>
      <c r="B796" s="405">
        <v>1</v>
      </c>
      <c r="C796" s="404">
        <v>46181</v>
      </c>
      <c r="D796" s="386">
        <f t="shared" ca="1" si="33"/>
        <v>46</v>
      </c>
      <c r="E796" s="170" t="str">
        <f t="shared" si="32"/>
        <v>ADMITIDO</v>
      </c>
      <c r="F796" s="397" t="s">
        <v>42</v>
      </c>
      <c r="G796" s="392" t="s">
        <v>102</v>
      </c>
      <c r="H796" s="139" t="s">
        <v>40</v>
      </c>
      <c r="I796" s="139" t="str">
        <f>IF(X796="ADMITIDO","ADMITIDO",IF(X796="CANCELADA","CANCELADA",IF(H796="","",IFERROR(_xlfn.XLOOKUP(H796,Listas!I:I,Listas!J:J),"OUTROS"))))</f>
        <v>ADMITIDO</v>
      </c>
      <c r="J796" s="427" t="s">
        <v>53</v>
      </c>
      <c r="K796" s="428" t="s">
        <v>103</v>
      </c>
      <c r="L796" s="428" t="s">
        <v>488</v>
      </c>
      <c r="M796" s="428"/>
      <c r="N796" s="428" t="s">
        <v>63</v>
      </c>
      <c r="O796" s="308" t="s">
        <v>34</v>
      </c>
      <c r="P796" s="308" t="s">
        <v>210</v>
      </c>
      <c r="Q796" s="308" t="s">
        <v>1170</v>
      </c>
      <c r="R796" s="431" t="s">
        <v>2266</v>
      </c>
      <c r="S796" s="432"/>
      <c r="T796" s="352"/>
      <c r="U796" s="327" t="s">
        <v>132</v>
      </c>
      <c r="V796" s="315">
        <v>46184</v>
      </c>
      <c r="W796" s="310" t="s">
        <v>2267</v>
      </c>
      <c r="X796" s="308" t="s">
        <v>40</v>
      </c>
      <c r="Y796" s="309">
        <v>46185</v>
      </c>
      <c r="Z796" s="309">
        <v>46189</v>
      </c>
      <c r="AA796" s="316">
        <v>146093</v>
      </c>
      <c r="AB796" s="351"/>
      <c r="AC796" s="351"/>
      <c r="AD796" s="316">
        <v>0</v>
      </c>
    </row>
    <row r="797" spans="1:30" ht="15" customHeight="1">
      <c r="A797" s="402">
        <v>30651</v>
      </c>
      <c r="B797" s="406">
        <v>1</v>
      </c>
      <c r="C797" s="403">
        <v>46181</v>
      </c>
      <c r="D797" s="380">
        <f t="shared" ca="1" si="33"/>
        <v>46</v>
      </c>
      <c r="E797" s="381" t="str">
        <f t="shared" ca="1" si="32"/>
        <v>CRÍTICO</v>
      </c>
      <c r="F797" s="395" t="s">
        <v>42</v>
      </c>
      <c r="G797" s="390" t="s">
        <v>102</v>
      </c>
      <c r="H797" s="382" t="s">
        <v>91</v>
      </c>
      <c r="I797" s="382" t="str">
        <f>IF(X797="ADMITIDO","ADMITIDO",IF(X797="CANCELADA","CANCELADA",IF(H797="","",IFERROR(_xlfn.XLOOKUP(H797,Listas!I:I,Listas!J:J),"OUTROS"))))</f>
        <v>TRIAGEM</v>
      </c>
      <c r="J797" s="415" t="s">
        <v>44</v>
      </c>
      <c r="K797" s="415" t="s">
        <v>103</v>
      </c>
      <c r="L797" s="415" t="s">
        <v>488</v>
      </c>
      <c r="M797" s="415"/>
      <c r="N797" s="415" t="s">
        <v>63</v>
      </c>
      <c r="O797" s="303" t="s">
        <v>34</v>
      </c>
      <c r="P797" s="303" t="s">
        <v>210</v>
      </c>
      <c r="Q797" s="303" t="s">
        <v>1170</v>
      </c>
      <c r="R797" s="419"/>
      <c r="S797" s="419"/>
      <c r="T797" s="345"/>
      <c r="U797" s="326" t="s">
        <v>109</v>
      </c>
      <c r="V797" s="313">
        <v>46225</v>
      </c>
      <c r="W797" s="302" t="s">
        <v>2268</v>
      </c>
      <c r="X797" s="303" t="s">
        <v>188</v>
      </c>
      <c r="Y797" s="304">
        <v>46227</v>
      </c>
      <c r="Z797" s="304">
        <v>46231</v>
      </c>
      <c r="AA797" s="314">
        <v>146285</v>
      </c>
      <c r="AB797" s="346"/>
      <c r="AC797" s="346"/>
      <c r="AD797" s="314">
        <v>0</v>
      </c>
    </row>
    <row r="798" spans="1:30" ht="15" customHeight="1">
      <c r="A798" s="237">
        <v>30638</v>
      </c>
      <c r="B798" s="121">
        <v>1</v>
      </c>
      <c r="C798" s="238">
        <v>46181</v>
      </c>
      <c r="D798" s="105">
        <f t="shared" ca="1" si="33"/>
        <v>46</v>
      </c>
      <c r="E798" s="138" t="str">
        <f t="shared" ca="1" si="32"/>
        <v>CRÍTICO</v>
      </c>
      <c r="F798" s="230" t="s">
        <v>119</v>
      </c>
      <c r="G798" s="147" t="s">
        <v>821</v>
      </c>
      <c r="H798" s="117" t="s">
        <v>1137</v>
      </c>
      <c r="I798" s="117" t="str">
        <f>IF(X798="ADMITIDO","ADMITIDO",IF(X798="CANCELADA","CANCELADA",IF(H798="","",IFERROR(_xlfn.XLOOKUP(H798,Listas!I:I,Listas!J:J),"OUTROS"))))</f>
        <v>ENTREVISTA CLIENTE</v>
      </c>
      <c r="J798" s="240" t="s">
        <v>968</v>
      </c>
      <c r="K798" s="240" t="s">
        <v>824</v>
      </c>
      <c r="L798" s="240" t="s">
        <v>860</v>
      </c>
      <c r="M798" s="240"/>
      <c r="N798" s="240" t="s">
        <v>119</v>
      </c>
      <c r="O798" s="119" t="s">
        <v>34</v>
      </c>
      <c r="P798" s="119" t="s">
        <v>48</v>
      </c>
      <c r="Q798" s="119" t="s">
        <v>441</v>
      </c>
      <c r="R798" s="234" t="s">
        <v>2269</v>
      </c>
      <c r="S798" s="273"/>
      <c r="T798" s="274"/>
      <c r="U798" s="73"/>
      <c r="V798" s="216"/>
      <c r="W798" s="118"/>
      <c r="X798" s="119"/>
      <c r="Y798" s="120"/>
      <c r="Z798" s="120"/>
      <c r="AA798" s="244"/>
      <c r="AB798" s="241"/>
      <c r="AC798" s="241"/>
      <c r="AD798" s="244">
        <v>0</v>
      </c>
    </row>
    <row r="799" spans="1:30" ht="15" customHeight="1">
      <c r="A799" s="396">
        <v>30636</v>
      </c>
      <c r="B799" s="405">
        <v>1</v>
      </c>
      <c r="C799" s="404">
        <v>46181</v>
      </c>
      <c r="D799" s="386">
        <f t="shared" ca="1" si="33"/>
        <v>46</v>
      </c>
      <c r="E799" s="170" t="str">
        <f t="shared" si="32"/>
        <v>ADMITIDO</v>
      </c>
      <c r="F799" s="397" t="s">
        <v>28</v>
      </c>
      <c r="G799" s="392" t="s">
        <v>145</v>
      </c>
      <c r="H799" s="139" t="s">
        <v>40</v>
      </c>
      <c r="I799" s="139" t="str">
        <f>IF(X799="ADMITIDO","ADMITIDO",IF(X799="CANCELADA","CANCELADA",IF(H799="","",IFERROR(_xlfn.XLOOKUP(H799,Listas!I:I,Listas!J:J),"OUTROS"))))</f>
        <v>ADMITIDO</v>
      </c>
      <c r="J799" s="427" t="s">
        <v>146</v>
      </c>
      <c r="K799" s="428" t="s">
        <v>614</v>
      </c>
      <c r="L799" s="428" t="s">
        <v>2270</v>
      </c>
      <c r="M799" s="428"/>
      <c r="N799" s="428" t="s">
        <v>2092</v>
      </c>
      <c r="O799" s="308" t="s">
        <v>56</v>
      </c>
      <c r="P799" s="308" t="s">
        <v>35</v>
      </c>
      <c r="Q799" s="308" t="s">
        <v>176</v>
      </c>
      <c r="R799" s="431"/>
      <c r="S799" s="432"/>
      <c r="T799" s="352" t="s">
        <v>2271</v>
      </c>
      <c r="U799" s="327" t="s">
        <v>38</v>
      </c>
      <c r="V799" s="315">
        <v>46332</v>
      </c>
      <c r="W799" s="310" t="s">
        <v>2272</v>
      </c>
      <c r="X799" s="308" t="s">
        <v>40</v>
      </c>
      <c r="Y799" s="309">
        <v>46190</v>
      </c>
      <c r="Z799" s="309">
        <v>46191</v>
      </c>
      <c r="AA799" s="316">
        <v>914452</v>
      </c>
      <c r="AB799" s="351"/>
      <c r="AC799" s="351"/>
      <c r="AD799" s="316">
        <v>0</v>
      </c>
    </row>
    <row r="800" spans="1:30" ht="15" customHeight="1">
      <c r="A800" s="402">
        <v>30637</v>
      </c>
      <c r="B800" s="406">
        <v>1</v>
      </c>
      <c r="C800" s="403">
        <v>46181</v>
      </c>
      <c r="D800" s="380">
        <f t="shared" ca="1" si="33"/>
        <v>46</v>
      </c>
      <c r="E800" s="381" t="str">
        <f t="shared" si="32"/>
        <v>CANCELADA</v>
      </c>
      <c r="F800" s="395" t="s">
        <v>28</v>
      </c>
      <c r="G800" s="390" t="s">
        <v>663</v>
      </c>
      <c r="H800" s="382" t="s">
        <v>52</v>
      </c>
      <c r="I800" s="382" t="str">
        <f>IF(X800="ADMITIDO","ADMITIDO",IF(X800="CANCELADA","CANCELADA",IF(H800="","",IFERROR(_xlfn.XLOOKUP(H800,Listas!I:I,Listas!J:J),"OUTROS"))))</f>
        <v>CANCELADA</v>
      </c>
      <c r="J800" s="240" t="s">
        <v>146</v>
      </c>
      <c r="K800" s="240" t="s">
        <v>614</v>
      </c>
      <c r="L800" s="240" t="s">
        <v>2270</v>
      </c>
      <c r="M800" s="240"/>
      <c r="N800" s="240" t="s">
        <v>2092</v>
      </c>
      <c r="O800" s="119" t="s">
        <v>56</v>
      </c>
      <c r="P800" s="119" t="s">
        <v>35</v>
      </c>
      <c r="Q800" s="119" t="s">
        <v>176</v>
      </c>
      <c r="R800" s="234"/>
      <c r="S800" s="273"/>
      <c r="T800" s="274"/>
      <c r="U800" s="73"/>
      <c r="V800" s="216"/>
      <c r="W800" s="118"/>
      <c r="X800" s="119" t="s">
        <v>52</v>
      </c>
      <c r="Y800" s="120"/>
      <c r="Z800" s="120"/>
      <c r="AA800" s="244"/>
      <c r="AB800" s="241" t="s">
        <v>2273</v>
      </c>
      <c r="AC800" s="241" t="s">
        <v>2150</v>
      </c>
      <c r="AD800" s="244">
        <v>0</v>
      </c>
    </row>
    <row r="801" spans="1:30" ht="15" customHeight="1">
      <c r="A801" s="237">
        <v>30630</v>
      </c>
      <c r="B801" s="121">
        <v>1</v>
      </c>
      <c r="C801" s="238">
        <v>46181</v>
      </c>
      <c r="D801" s="105">
        <f t="shared" ca="1" si="33"/>
        <v>46</v>
      </c>
      <c r="E801" s="138" t="str">
        <f t="shared" si="32"/>
        <v>ADMITIDO</v>
      </c>
      <c r="F801" s="230" t="s">
        <v>42</v>
      </c>
      <c r="G801" s="147" t="s">
        <v>240</v>
      </c>
      <c r="H801" s="117" t="s">
        <v>40</v>
      </c>
      <c r="I801" s="117" t="str">
        <f>IF(X801="ADMITIDO","ADMITIDO",IF(X801="CANCELADA","CANCELADA",IF(H801="","",IFERROR(_xlfn.XLOOKUP(H801,Listas!I:I,Listas!J:J),"OUTROS"))))</f>
        <v>ADMITIDO</v>
      </c>
      <c r="J801" s="363" t="s">
        <v>53</v>
      </c>
      <c r="K801" s="240" t="s">
        <v>241</v>
      </c>
      <c r="L801" s="240" t="s">
        <v>494</v>
      </c>
      <c r="M801" s="240"/>
      <c r="N801" s="240" t="s">
        <v>175</v>
      </c>
      <c r="O801" s="119" t="s">
        <v>34</v>
      </c>
      <c r="P801" s="119" t="s">
        <v>35</v>
      </c>
      <c r="Q801" s="119" t="s">
        <v>36</v>
      </c>
      <c r="R801" s="234">
        <v>0</v>
      </c>
      <c r="S801" s="273" t="s">
        <v>65</v>
      </c>
      <c r="T801" s="234" t="s">
        <v>2274</v>
      </c>
      <c r="U801" s="73" t="s">
        <v>76</v>
      </c>
      <c r="V801" s="216">
        <v>46189</v>
      </c>
      <c r="W801" s="118" t="s">
        <v>2275</v>
      </c>
      <c r="X801" s="119" t="s">
        <v>40</v>
      </c>
      <c r="Y801" s="120">
        <v>46191</v>
      </c>
      <c r="Z801" s="120">
        <v>46195</v>
      </c>
      <c r="AA801" s="244">
        <v>914464</v>
      </c>
      <c r="AB801" s="241"/>
      <c r="AC801" s="241"/>
      <c r="AD801" s="244">
        <v>0</v>
      </c>
    </row>
    <row r="802" spans="1:30" ht="15" customHeight="1">
      <c r="A802" s="402">
        <v>30645</v>
      </c>
      <c r="B802" s="406">
        <v>1</v>
      </c>
      <c r="C802" s="403">
        <v>46181</v>
      </c>
      <c r="D802" s="380">
        <f t="shared" ca="1" si="33"/>
        <v>46</v>
      </c>
      <c r="E802" s="381" t="str">
        <f t="shared" si="32"/>
        <v>CANCELADA</v>
      </c>
      <c r="F802" s="395" t="s">
        <v>42</v>
      </c>
      <c r="G802" s="390" t="s">
        <v>102</v>
      </c>
      <c r="H802" s="382" t="s">
        <v>52</v>
      </c>
      <c r="I802" s="382" t="str">
        <f>IF(X802="ADMITIDO","ADMITIDO",IF(X802="CANCELADA","CANCELADA",IF(H802="","",IFERROR(_xlfn.XLOOKUP(H802,Listas!I:I,Listas!J:J),"OUTROS"))))</f>
        <v>CANCELADA</v>
      </c>
      <c r="J802" s="240" t="s">
        <v>193</v>
      </c>
      <c r="K802" s="240" t="s">
        <v>103</v>
      </c>
      <c r="L802" s="240" t="s">
        <v>194</v>
      </c>
      <c r="M802" s="240"/>
      <c r="N802" s="240" t="s">
        <v>63</v>
      </c>
      <c r="O802" s="119" t="s">
        <v>34</v>
      </c>
      <c r="P802" s="119" t="s">
        <v>57</v>
      </c>
      <c r="Q802" s="119" t="s">
        <v>151</v>
      </c>
      <c r="R802" s="234"/>
      <c r="S802" s="273"/>
      <c r="T802" s="274"/>
      <c r="U802" s="73"/>
      <c r="V802" s="216"/>
      <c r="W802" s="118"/>
      <c r="X802" s="119"/>
      <c r="Y802" s="120"/>
      <c r="Z802" s="120"/>
      <c r="AA802" s="244"/>
      <c r="AB802" s="241"/>
      <c r="AC802" s="241" t="s">
        <v>2276</v>
      </c>
      <c r="AD802" s="244">
        <v>0</v>
      </c>
    </row>
    <row r="803" spans="1:30" ht="15" customHeight="1">
      <c r="A803" s="237">
        <v>30647</v>
      </c>
      <c r="B803" s="121">
        <v>1</v>
      </c>
      <c r="C803" s="238">
        <v>46181</v>
      </c>
      <c r="D803" s="105">
        <f t="shared" ca="1" si="33"/>
        <v>46</v>
      </c>
      <c r="E803" s="138" t="str">
        <f t="shared" si="32"/>
        <v>ADMITIDO</v>
      </c>
      <c r="F803" s="230" t="s">
        <v>28</v>
      </c>
      <c r="G803" s="147" t="s">
        <v>29</v>
      </c>
      <c r="H803" s="117" t="s">
        <v>40</v>
      </c>
      <c r="I803" s="117" t="str">
        <f>IF(X803="ADMITIDO","ADMITIDO",IF(X803="CANCELADA","CANCELADA",IF(H803="","",IFERROR(_xlfn.XLOOKUP(H803,Listas!I:I,Listas!J:J),"OUTROS"))))</f>
        <v>ADMITIDO</v>
      </c>
      <c r="J803" s="363" t="s">
        <v>586</v>
      </c>
      <c r="K803" s="240" t="s">
        <v>614</v>
      </c>
      <c r="L803" s="240" t="s">
        <v>741</v>
      </c>
      <c r="M803" s="240"/>
      <c r="N803" s="240" t="s">
        <v>88</v>
      </c>
      <c r="O803" s="119" t="s">
        <v>56</v>
      </c>
      <c r="P803" s="119" t="s">
        <v>35</v>
      </c>
      <c r="Q803" s="119" t="s">
        <v>357</v>
      </c>
      <c r="R803" s="234"/>
      <c r="S803" s="273"/>
      <c r="T803" s="274" t="s">
        <v>2277</v>
      </c>
      <c r="U803" s="73" t="s">
        <v>38</v>
      </c>
      <c r="V803" s="216">
        <v>46197</v>
      </c>
      <c r="W803" s="118" t="s">
        <v>2278</v>
      </c>
      <c r="X803" s="119" t="s">
        <v>40</v>
      </c>
      <c r="Y803" s="120">
        <v>46199</v>
      </c>
      <c r="Z803" s="120">
        <v>46200</v>
      </c>
      <c r="AA803" s="244">
        <v>94532</v>
      </c>
      <c r="AB803" s="241"/>
      <c r="AC803" s="241"/>
      <c r="AD803" s="244">
        <v>0</v>
      </c>
    </row>
    <row r="804" spans="1:30" ht="15" customHeight="1">
      <c r="A804" s="237">
        <v>30673</v>
      </c>
      <c r="B804" s="121">
        <v>1</v>
      </c>
      <c r="C804" s="238">
        <v>46182</v>
      </c>
      <c r="D804" s="367">
        <f t="shared" ref="D804:D823" ca="1" si="34">TODAY()-C804</f>
        <v>45</v>
      </c>
      <c r="E804" s="368" t="str">
        <f t="shared" ref="E804:E823" si="35">IF(X804="ADMITIDO","ADMITIDO",IF(X804="CANCELADA","CANCELADA",IF(H804="","",IF(H804="ADMITIDO","ADMITIDO",IF(H804="CANCELADA","CANCELADA",IF(OR(H804="ANALISE CANCELAMENTO",H804="ANÁLISE CANCELAMENTO"),"EM ANÁLISE",IF(D804="","",IF(D804&lt;=7,"NO PRAZO",IF(D804&lt;=14,"ATENÇÃO","CRÍTICO")))))))))</f>
        <v>ADMITIDO</v>
      </c>
      <c r="F804" s="371" t="s">
        <v>28</v>
      </c>
      <c r="G804" s="369" t="s">
        <v>43</v>
      </c>
      <c r="H804" s="146" t="s">
        <v>40</v>
      </c>
      <c r="I804" s="117" t="str">
        <f>IF(X804="ADMITIDO","ADMITIDO",IF(X804="CANCELADA","CANCELADA",IF(H804="","",IFERROR(_xlfn.XLOOKUP(H804,Listas!I:I,Listas!J:J),"OUTROS"))))</f>
        <v>ADMITIDO</v>
      </c>
      <c r="J804" s="363" t="s">
        <v>53</v>
      </c>
      <c r="K804" s="240" t="s">
        <v>189</v>
      </c>
      <c r="L804" s="240" t="s">
        <v>869</v>
      </c>
      <c r="M804" s="240"/>
      <c r="N804" s="240" t="s">
        <v>337</v>
      </c>
      <c r="O804" s="119" t="s">
        <v>34</v>
      </c>
      <c r="P804" s="119" t="s">
        <v>48</v>
      </c>
      <c r="Q804" s="119" t="s">
        <v>541</v>
      </c>
      <c r="R804" s="234"/>
      <c r="S804" s="273" t="s">
        <v>1934</v>
      </c>
      <c r="T804" s="274">
        <v>15991439733</v>
      </c>
      <c r="U804" s="326" t="s">
        <v>67</v>
      </c>
      <c r="V804" s="313">
        <v>46183</v>
      </c>
      <c r="W804" s="302" t="s">
        <v>2279</v>
      </c>
      <c r="X804" s="119" t="s">
        <v>40</v>
      </c>
      <c r="Y804" s="120">
        <v>46191</v>
      </c>
      <c r="Z804" s="120">
        <v>46191</v>
      </c>
      <c r="AA804" s="244">
        <v>914449</v>
      </c>
      <c r="AB804" s="241" t="s">
        <v>2280</v>
      </c>
      <c r="AC804" s="241"/>
      <c r="AD804" s="244">
        <v>0</v>
      </c>
    </row>
    <row r="805" spans="1:30" ht="15" customHeight="1">
      <c r="A805" s="374">
        <v>30668</v>
      </c>
      <c r="B805" s="376">
        <v>1</v>
      </c>
      <c r="C805" s="596">
        <v>46182</v>
      </c>
      <c r="D805" s="105">
        <f t="shared" ca="1" si="34"/>
        <v>45</v>
      </c>
      <c r="E805" s="138" t="str">
        <f t="shared" si="35"/>
        <v>ADMITIDO</v>
      </c>
      <c r="F805" s="230" t="s">
        <v>42</v>
      </c>
      <c r="G805" s="147" t="s">
        <v>43</v>
      </c>
      <c r="H805" s="117" t="s">
        <v>40</v>
      </c>
      <c r="I805" s="574" t="str">
        <f>IF(X805="ADMITIDO","ADMITIDO",IF(X805="CANCELADA","CANCELADA",IF(H805="","",IFERROR(_xlfn.XLOOKUP(H805,Listas!I:I,Listas!J:J),"OUTROS"))))</f>
        <v>ADMITIDO</v>
      </c>
      <c r="J805" s="414" t="s">
        <v>53</v>
      </c>
      <c r="K805" s="415" t="s">
        <v>45</v>
      </c>
      <c r="L805" t="s">
        <v>2281</v>
      </c>
      <c r="M805"/>
      <c r="N805" s="415" t="s">
        <v>378</v>
      </c>
      <c r="O805" s="303" t="s">
        <v>34</v>
      </c>
      <c r="P805" s="303" t="s">
        <v>35</v>
      </c>
      <c r="Q805" s="303" t="s">
        <v>362</v>
      </c>
      <c r="R805" s="418" t="s">
        <v>2282</v>
      </c>
      <c r="S805" s="318" t="s">
        <v>1629</v>
      </c>
      <c r="T805" s="347">
        <v>11946009463</v>
      </c>
      <c r="U805" s="326" t="s">
        <v>67</v>
      </c>
      <c r="V805" s="448">
        <v>46190</v>
      </c>
      <c r="W805" s="594" t="s">
        <v>2283</v>
      </c>
      <c r="X805" s="333" t="s">
        <v>40</v>
      </c>
      <c r="Y805" s="304">
        <v>46197</v>
      </c>
      <c r="Z805" s="304">
        <v>46197</v>
      </c>
      <c r="AA805" s="314">
        <v>146129</v>
      </c>
      <c r="AB805" s="346"/>
      <c r="AC805" s="346"/>
      <c r="AD805" s="314">
        <v>1</v>
      </c>
    </row>
    <row r="806" spans="1:30" ht="15" customHeight="1">
      <c r="A806" s="237">
        <v>30669</v>
      </c>
      <c r="B806" s="121">
        <v>1</v>
      </c>
      <c r="C806" s="588">
        <v>46182</v>
      </c>
      <c r="D806" s="105">
        <f t="shared" ca="1" si="34"/>
        <v>45</v>
      </c>
      <c r="E806" s="138" t="str">
        <f t="shared" si="35"/>
        <v>ADMITIDO</v>
      </c>
      <c r="F806" s="230" t="s">
        <v>42</v>
      </c>
      <c r="G806" s="147" t="s">
        <v>43</v>
      </c>
      <c r="H806" s="117" t="s">
        <v>40</v>
      </c>
      <c r="I806" s="576" t="str">
        <f>IF(X806="ADMITIDO","ADMITIDO",IF(X806="CANCELADA","CANCELADA",IF(H806="","",IFERROR(_xlfn.XLOOKUP(H806,Listas!I:I,Listas!J:J),"OUTROS"))))</f>
        <v>ADMITIDO</v>
      </c>
      <c r="J806" s="240" t="s">
        <v>53</v>
      </c>
      <c r="K806" s="240" t="s">
        <v>45</v>
      </c>
      <c r="L806" s="240" t="s">
        <v>2284</v>
      </c>
      <c r="M806" s="240"/>
      <c r="N806" s="240" t="s">
        <v>378</v>
      </c>
      <c r="O806" s="119" t="s">
        <v>34</v>
      </c>
      <c r="P806" s="119" t="s">
        <v>35</v>
      </c>
      <c r="Q806" s="119" t="s">
        <v>36</v>
      </c>
      <c r="R806" s="234" t="s">
        <v>2285</v>
      </c>
      <c r="S806" s="273" t="s">
        <v>2286</v>
      </c>
      <c r="T806" s="273">
        <v>11976569249</v>
      </c>
      <c r="U806" s="73" t="s">
        <v>50</v>
      </c>
      <c r="V806" s="300">
        <v>46210</v>
      </c>
      <c r="W806" s="528" t="s">
        <v>2287</v>
      </c>
      <c r="X806" s="334" t="s">
        <v>40</v>
      </c>
      <c r="Y806" s="120">
        <v>46218</v>
      </c>
      <c r="Z806" s="120">
        <v>46219</v>
      </c>
      <c r="AA806" s="550">
        <v>146236</v>
      </c>
      <c r="AB806" s="118" t="s">
        <v>2288</v>
      </c>
      <c r="AC806" s="241"/>
      <c r="AD806" s="244">
        <v>1</v>
      </c>
    </row>
    <row r="807" spans="1:30" ht="15" customHeight="1">
      <c r="A807" s="237">
        <v>30670</v>
      </c>
      <c r="B807" s="121">
        <v>1</v>
      </c>
      <c r="C807" s="588">
        <v>46182</v>
      </c>
      <c r="D807" s="105">
        <f t="shared" ca="1" si="34"/>
        <v>45</v>
      </c>
      <c r="E807" s="138" t="str">
        <f t="shared" ca="1" si="35"/>
        <v>CRÍTICO</v>
      </c>
      <c r="F807" s="230" t="s">
        <v>42</v>
      </c>
      <c r="G807" s="147" t="s">
        <v>43</v>
      </c>
      <c r="H807" s="117" t="s">
        <v>279</v>
      </c>
      <c r="I807" s="576" t="str">
        <f>IF(X807="ADMITIDO","ADMITIDO",IF(X807="CANCELADA","CANCELADA",IF(H807="","",IFERROR(_xlfn.XLOOKUP(H807,Listas!I:I,Listas!J:J),"OUTROS"))))</f>
        <v>DOCUMENTAÇÃO</v>
      </c>
      <c r="J807" s="240" t="s">
        <v>53</v>
      </c>
      <c r="K807" s="240" t="s">
        <v>45</v>
      </c>
      <c r="L807" s="475" t="s">
        <v>2281</v>
      </c>
      <c r="M807" s="475"/>
      <c r="N807" s="240" t="s">
        <v>378</v>
      </c>
      <c r="O807" s="119" t="s">
        <v>56</v>
      </c>
      <c r="P807" s="119" t="s">
        <v>35</v>
      </c>
      <c r="Q807" s="119" t="s">
        <v>176</v>
      </c>
      <c r="R807" s="234" t="s">
        <v>2289</v>
      </c>
      <c r="S807" s="273" t="s">
        <v>1375</v>
      </c>
      <c r="T807" s="273">
        <v>11915115236</v>
      </c>
      <c r="U807" s="73" t="s">
        <v>50</v>
      </c>
      <c r="V807" s="216">
        <v>46225</v>
      </c>
      <c r="W807" s="310" t="s">
        <v>2290</v>
      </c>
      <c r="X807" s="119" t="s">
        <v>284</v>
      </c>
      <c r="Y807" s="120"/>
      <c r="Z807" s="120"/>
      <c r="AA807" s="244"/>
      <c r="AB807" s="241" t="s">
        <v>2291</v>
      </c>
      <c r="AC807" s="241"/>
      <c r="AD807" s="244">
        <v>5</v>
      </c>
    </row>
    <row r="808" spans="1:30" ht="15" customHeight="1">
      <c r="A808" s="402">
        <v>30656</v>
      </c>
      <c r="B808" s="406">
        <v>1</v>
      </c>
      <c r="C808" s="403">
        <v>46182</v>
      </c>
      <c r="D808" s="380">
        <f t="shared" ca="1" si="34"/>
        <v>45</v>
      </c>
      <c r="E808" s="381" t="str">
        <f t="shared" si="35"/>
        <v>CANCELADA</v>
      </c>
      <c r="F808" s="395" t="s">
        <v>28</v>
      </c>
      <c r="G808" s="390" t="s">
        <v>29</v>
      </c>
      <c r="H808" s="382" t="s">
        <v>52</v>
      </c>
      <c r="I808" s="382" t="str">
        <f>IF(X808="ADMITIDO","ADMITIDO",IF(X808="CANCELADA","CANCELADA",IF(H808="","",IFERROR(_xlfn.XLOOKUP(H808,Listas!I:I,Listas!J:J),"OUTROS"))))</f>
        <v>CANCELADA</v>
      </c>
      <c r="J808" s="428" t="s">
        <v>227</v>
      </c>
      <c r="K808" s="428" t="s">
        <v>228</v>
      </c>
      <c r="L808" s="428" t="s">
        <v>229</v>
      </c>
      <c r="M808" s="428"/>
      <c r="N808" s="428" t="s">
        <v>88</v>
      </c>
      <c r="O808" s="308" t="s">
        <v>34</v>
      </c>
      <c r="P808" s="308" t="s">
        <v>35</v>
      </c>
      <c r="Q808" s="308" t="s">
        <v>266</v>
      </c>
      <c r="R808" s="431"/>
      <c r="S808" s="432"/>
      <c r="T808" s="352"/>
      <c r="U808" s="327"/>
      <c r="V808" s="315"/>
      <c r="W808" s="310"/>
      <c r="X808" s="308"/>
      <c r="Y808" s="309"/>
      <c r="Z808" s="309"/>
      <c r="AA808" s="316"/>
      <c r="AB808" s="351" t="s">
        <v>2292</v>
      </c>
      <c r="AC808" s="351" t="s">
        <v>1959</v>
      </c>
      <c r="AD808" s="316">
        <v>0</v>
      </c>
    </row>
    <row r="809" spans="1:30" ht="15" customHeight="1">
      <c r="A809" s="374">
        <v>30667</v>
      </c>
      <c r="B809" s="376">
        <v>1</v>
      </c>
      <c r="C809" s="375">
        <v>46182</v>
      </c>
      <c r="D809" s="367">
        <f t="shared" ca="1" si="34"/>
        <v>45</v>
      </c>
      <c r="E809" s="368" t="str">
        <f t="shared" si="35"/>
        <v>ADMITIDO</v>
      </c>
      <c r="F809" s="371" t="s">
        <v>28</v>
      </c>
      <c r="G809" s="369" t="s">
        <v>60</v>
      </c>
      <c r="H809" s="146" t="s">
        <v>40</v>
      </c>
      <c r="I809" s="146" t="str">
        <f>IF(X809="ADMITIDO","ADMITIDO",IF(X809="CANCELADA","CANCELADA",IF(H809="","",IFERROR(_xlfn.XLOOKUP(H809,Listas!I:I,Listas!J:J),"OUTROS"))))</f>
        <v>ADMITIDO</v>
      </c>
      <c r="J809" s="414" t="s">
        <v>586</v>
      </c>
      <c r="K809" s="415" t="s">
        <v>986</v>
      </c>
      <c r="L809" s="415" t="s">
        <v>996</v>
      </c>
      <c r="M809" s="415"/>
      <c r="N809" s="415" t="s">
        <v>63</v>
      </c>
      <c r="O809" s="303" t="s">
        <v>56</v>
      </c>
      <c r="P809" s="303" t="s">
        <v>35</v>
      </c>
      <c r="Q809" s="303" t="s">
        <v>176</v>
      </c>
      <c r="R809" s="418"/>
      <c r="S809" s="419" t="s">
        <v>1533</v>
      </c>
      <c r="T809" s="418" t="s">
        <v>2293</v>
      </c>
      <c r="U809" s="326" t="s">
        <v>109</v>
      </c>
      <c r="V809" s="313">
        <v>46188</v>
      </c>
      <c r="W809" s="302" t="s">
        <v>2294</v>
      </c>
      <c r="X809" s="303" t="s">
        <v>40</v>
      </c>
      <c r="Y809" s="304">
        <v>46190</v>
      </c>
      <c r="Z809" s="304">
        <v>46192</v>
      </c>
      <c r="AA809" s="314">
        <v>914457</v>
      </c>
      <c r="AB809" s="346"/>
      <c r="AC809" s="346"/>
      <c r="AD809" s="314">
        <v>0</v>
      </c>
    </row>
    <row r="810" spans="1:30" ht="15" customHeight="1">
      <c r="A810" s="237">
        <v>30671</v>
      </c>
      <c r="B810" s="121">
        <v>1</v>
      </c>
      <c r="C810" s="238">
        <v>46182</v>
      </c>
      <c r="D810" s="105">
        <f t="shared" ca="1" si="34"/>
        <v>45</v>
      </c>
      <c r="E810" s="138" t="str">
        <f t="shared" ca="1" si="35"/>
        <v>CRÍTICO</v>
      </c>
      <c r="F810" s="230" t="s">
        <v>42</v>
      </c>
      <c r="G810" s="147" t="s">
        <v>102</v>
      </c>
      <c r="H810" s="117" t="s">
        <v>279</v>
      </c>
      <c r="I810" s="117" t="str">
        <f>IF(X810="ADMITIDO","ADMITIDO",IF(X810="CANCELADA","CANCELADA",IF(H810="","",IFERROR(_xlfn.XLOOKUP(H810,Listas!I:I,Listas!J:J),"OUTROS"))))</f>
        <v>DOCUMENTAÇÃO</v>
      </c>
      <c r="J810" s="240" t="s">
        <v>53</v>
      </c>
      <c r="K810" s="240" t="s">
        <v>103</v>
      </c>
      <c r="L810" s="240" t="s">
        <v>961</v>
      </c>
      <c r="M810" s="240"/>
      <c r="N810" s="240" t="s">
        <v>63</v>
      </c>
      <c r="O810" s="119" t="s">
        <v>34</v>
      </c>
      <c r="P810" s="119" t="s">
        <v>219</v>
      </c>
      <c r="Q810" s="119" t="s">
        <v>962</v>
      </c>
      <c r="R810" s="273" t="s">
        <v>2295</v>
      </c>
      <c r="S810" s="273" t="s">
        <v>2296</v>
      </c>
      <c r="T810" s="274"/>
      <c r="U810" s="73" t="s">
        <v>76</v>
      </c>
      <c r="V810" s="216">
        <v>46223</v>
      </c>
      <c r="W810" s="118" t="s">
        <v>2297</v>
      </c>
      <c r="X810" s="119" t="s">
        <v>284</v>
      </c>
      <c r="Y810" s="120"/>
      <c r="Z810" s="120"/>
      <c r="AA810" s="244"/>
      <c r="AB810" s="241" t="s">
        <v>2298</v>
      </c>
      <c r="AC810" s="241"/>
      <c r="AD810" s="244">
        <v>1</v>
      </c>
    </row>
    <row r="811" spans="1:30" ht="15" customHeight="1">
      <c r="A811" s="396">
        <v>30658</v>
      </c>
      <c r="B811" s="405">
        <v>1</v>
      </c>
      <c r="C811" s="404">
        <v>46182</v>
      </c>
      <c r="D811" s="386">
        <f t="shared" ca="1" si="34"/>
        <v>45</v>
      </c>
      <c r="E811" s="170" t="str">
        <f t="shared" si="35"/>
        <v>ADMITIDO</v>
      </c>
      <c r="F811" s="397" t="s">
        <v>28</v>
      </c>
      <c r="G811" s="392" t="s">
        <v>145</v>
      </c>
      <c r="H811" s="139" t="s">
        <v>40</v>
      </c>
      <c r="I811" s="139" t="str">
        <f>IF(X811="ADMITIDO","ADMITIDO",IF(X811="CANCELADA","CANCELADA",IF(H811="","",IFERROR(_xlfn.XLOOKUP(H811,Listas!I:I,Listas!J:J),"OUTROS"))))</f>
        <v>ADMITIDO</v>
      </c>
      <c r="J811" s="427" t="s">
        <v>53</v>
      </c>
      <c r="K811" s="428" t="s">
        <v>54</v>
      </c>
      <c r="L811" s="428" t="s">
        <v>164</v>
      </c>
      <c r="M811" s="428"/>
      <c r="N811" s="428" t="s">
        <v>88</v>
      </c>
      <c r="O811" s="308" t="s">
        <v>34</v>
      </c>
      <c r="P811" s="308" t="s">
        <v>57</v>
      </c>
      <c r="Q811" s="308" t="s">
        <v>231</v>
      </c>
      <c r="R811" s="431"/>
      <c r="S811" s="432"/>
      <c r="T811" s="352" t="s">
        <v>2299</v>
      </c>
      <c r="U811" s="327" t="s">
        <v>38</v>
      </c>
      <c r="V811" s="315">
        <v>46332</v>
      </c>
      <c r="W811" s="310" t="s">
        <v>2300</v>
      </c>
      <c r="X811" s="308" t="s">
        <v>40</v>
      </c>
      <c r="Y811" s="309">
        <v>46190</v>
      </c>
      <c r="Z811" s="309">
        <v>46191</v>
      </c>
      <c r="AA811" s="316">
        <v>146104</v>
      </c>
      <c r="AB811" s="351"/>
      <c r="AC811" s="351"/>
      <c r="AD811" s="316">
        <v>0</v>
      </c>
    </row>
    <row r="812" spans="1:30" ht="15" customHeight="1">
      <c r="A812" s="237">
        <v>30659</v>
      </c>
      <c r="B812" s="121">
        <v>1</v>
      </c>
      <c r="C812" s="238">
        <v>46182</v>
      </c>
      <c r="D812" s="105">
        <f t="shared" ca="1" si="34"/>
        <v>45</v>
      </c>
      <c r="E812" s="138" t="str">
        <f t="shared" si="35"/>
        <v>ADMITIDO</v>
      </c>
      <c r="F812" s="230" t="s">
        <v>28</v>
      </c>
      <c r="G812" s="147" t="s">
        <v>663</v>
      </c>
      <c r="H812" s="117" t="s">
        <v>40</v>
      </c>
      <c r="I812" s="117" t="str">
        <f>IF(X812="ADMITIDO","ADMITIDO",IF(X812="CANCELADA","CANCELADA",IF(H812="","",IFERROR(_xlfn.XLOOKUP(H812,Listas!I:I,Listas!J:J),"OUTROS"))))</f>
        <v>ADMITIDO</v>
      </c>
      <c r="J812" s="363" t="s">
        <v>53</v>
      </c>
      <c r="K812" s="240" t="s">
        <v>54</v>
      </c>
      <c r="L812" s="240" t="s">
        <v>164</v>
      </c>
      <c r="M812" s="240"/>
      <c r="N812" s="240" t="s">
        <v>88</v>
      </c>
      <c r="O812" s="119" t="s">
        <v>34</v>
      </c>
      <c r="P812" s="119" t="s">
        <v>57</v>
      </c>
      <c r="Q812" s="119" t="s">
        <v>94</v>
      </c>
      <c r="R812" s="234"/>
      <c r="S812" s="273"/>
      <c r="T812" s="274" t="s">
        <v>2301</v>
      </c>
      <c r="U812" s="73" t="s">
        <v>38</v>
      </c>
      <c r="V812" s="216">
        <v>46189</v>
      </c>
      <c r="W812" s="251" t="s">
        <v>2302</v>
      </c>
      <c r="X812" s="119" t="s">
        <v>40</v>
      </c>
      <c r="Y812" s="120">
        <v>46195</v>
      </c>
      <c r="Z812" s="120">
        <v>46196</v>
      </c>
      <c r="AA812" s="244">
        <v>146132</v>
      </c>
      <c r="AB812" s="241"/>
      <c r="AC812" s="241"/>
      <c r="AD812" s="244">
        <v>0</v>
      </c>
    </row>
    <row r="813" spans="1:30" ht="15" customHeight="1">
      <c r="A813" s="237">
        <v>30660</v>
      </c>
      <c r="B813" s="121">
        <v>1</v>
      </c>
      <c r="C813" s="238">
        <v>46182</v>
      </c>
      <c r="D813" s="105">
        <f t="shared" ca="1" si="34"/>
        <v>45</v>
      </c>
      <c r="E813" s="138" t="str">
        <f t="shared" si="35"/>
        <v>ADMITIDO</v>
      </c>
      <c r="F813" s="230" t="s">
        <v>28</v>
      </c>
      <c r="G813" s="147" t="s">
        <v>145</v>
      </c>
      <c r="H813" s="117" t="s">
        <v>40</v>
      </c>
      <c r="I813" s="117" t="str">
        <f>IF(X813="ADMITIDO","ADMITIDO",IF(X813="CANCELADA","CANCELADA",IF(H813="","",IFERROR(_xlfn.XLOOKUP(H813,Listas!I:I,Listas!J:J),"OUTROS"))))</f>
        <v>ADMITIDO</v>
      </c>
      <c r="J813" s="363" t="s">
        <v>53</v>
      </c>
      <c r="K813" s="240" t="s">
        <v>54</v>
      </c>
      <c r="L813" s="240" t="s">
        <v>164</v>
      </c>
      <c r="M813" s="240"/>
      <c r="N813" s="240" t="s">
        <v>88</v>
      </c>
      <c r="O813" s="119" t="s">
        <v>34</v>
      </c>
      <c r="P813" s="119" t="s">
        <v>57</v>
      </c>
      <c r="Q813" s="119" t="s">
        <v>231</v>
      </c>
      <c r="R813" s="234"/>
      <c r="S813" s="273"/>
      <c r="T813" s="274" t="s">
        <v>2303</v>
      </c>
      <c r="U813" s="73" t="s">
        <v>38</v>
      </c>
      <c r="V813" s="216">
        <v>46332</v>
      </c>
      <c r="W813" s="118" t="s">
        <v>2304</v>
      </c>
      <c r="X813" s="119" t="s">
        <v>40</v>
      </c>
      <c r="Y813" s="120">
        <v>46188</v>
      </c>
      <c r="Z813" s="120">
        <v>46189</v>
      </c>
      <c r="AA813" s="244">
        <v>146099</v>
      </c>
      <c r="AB813" s="241"/>
      <c r="AC813" s="241"/>
      <c r="AD813" s="244">
        <v>0</v>
      </c>
    </row>
    <row r="814" spans="1:30" ht="15" customHeight="1">
      <c r="A814" s="237">
        <v>30661</v>
      </c>
      <c r="B814" s="121">
        <v>1</v>
      </c>
      <c r="C814" s="238">
        <v>46182</v>
      </c>
      <c r="D814" s="105">
        <f t="shared" ca="1" si="34"/>
        <v>45</v>
      </c>
      <c r="E814" s="138" t="str">
        <f t="shared" si="35"/>
        <v>ADMITIDO</v>
      </c>
      <c r="F814" s="230" t="s">
        <v>28</v>
      </c>
      <c r="G814" s="147" t="s">
        <v>29</v>
      </c>
      <c r="H814" s="117" t="s">
        <v>40</v>
      </c>
      <c r="I814" s="117" t="str">
        <f>IF(X814="ADMITIDO","ADMITIDO",IF(X814="CANCELADA","CANCELADA",IF(H814="","",IFERROR(_xlfn.XLOOKUP(H814,Listas!I:I,Listas!J:J),"OUTROS"))))</f>
        <v>ADMITIDO</v>
      </c>
      <c r="J814" s="363" t="s">
        <v>53</v>
      </c>
      <c r="K814" s="240" t="s">
        <v>54</v>
      </c>
      <c r="L814" s="240" t="s">
        <v>164</v>
      </c>
      <c r="M814" s="240"/>
      <c r="N814" s="240" t="s">
        <v>88</v>
      </c>
      <c r="O814" s="119" t="s">
        <v>34</v>
      </c>
      <c r="P814" s="119" t="s">
        <v>57</v>
      </c>
      <c r="Q814" s="119" t="s">
        <v>231</v>
      </c>
      <c r="R814" s="234"/>
      <c r="S814" s="273"/>
      <c r="T814" s="274" t="s">
        <v>2305</v>
      </c>
      <c r="U814" s="73" t="s">
        <v>38</v>
      </c>
      <c r="V814" s="216">
        <v>46332</v>
      </c>
      <c r="W814" s="118" t="s">
        <v>2306</v>
      </c>
      <c r="X814" s="119" t="s">
        <v>40</v>
      </c>
      <c r="Y814" s="120">
        <v>46188</v>
      </c>
      <c r="Z814" s="120">
        <v>46189</v>
      </c>
      <c r="AA814" s="244">
        <v>146097</v>
      </c>
      <c r="AB814" s="241"/>
      <c r="AC814" s="241"/>
      <c r="AD814" s="244">
        <v>0</v>
      </c>
    </row>
    <row r="815" spans="1:30" ht="15" customHeight="1">
      <c r="A815" s="237">
        <v>30662</v>
      </c>
      <c r="B815" s="121">
        <v>1</v>
      </c>
      <c r="C815" s="238">
        <v>46182</v>
      </c>
      <c r="D815" s="105">
        <f t="shared" ca="1" si="34"/>
        <v>45</v>
      </c>
      <c r="E815" s="138" t="str">
        <f t="shared" si="35"/>
        <v>ADMITIDO</v>
      </c>
      <c r="F815" s="230" t="s">
        <v>28</v>
      </c>
      <c r="G815" s="147" t="s">
        <v>663</v>
      </c>
      <c r="H815" s="117" t="s">
        <v>40</v>
      </c>
      <c r="I815" s="117" t="str">
        <f>IF(X815="ADMITIDO","ADMITIDO",IF(X815="CANCELADA","CANCELADA",IF(H815="","",IFERROR(_xlfn.XLOOKUP(H815,Listas!I:I,Listas!J:J),"OUTROS"))))</f>
        <v>ADMITIDO</v>
      </c>
      <c r="J815" s="363" t="s">
        <v>53</v>
      </c>
      <c r="K815" s="240" t="s">
        <v>54</v>
      </c>
      <c r="L815" s="240" t="s">
        <v>164</v>
      </c>
      <c r="M815" s="240"/>
      <c r="N815" s="240" t="s">
        <v>88</v>
      </c>
      <c r="O815" s="119" t="s">
        <v>34</v>
      </c>
      <c r="P815" s="119" t="s">
        <v>57</v>
      </c>
      <c r="Q815" s="119" t="s">
        <v>231</v>
      </c>
      <c r="R815" s="234"/>
      <c r="S815" s="273"/>
      <c r="T815" s="274" t="s">
        <v>2307</v>
      </c>
      <c r="U815" s="326" t="s">
        <v>38</v>
      </c>
      <c r="V815" s="313">
        <v>46188</v>
      </c>
      <c r="W815" s="251" t="s">
        <v>2308</v>
      </c>
      <c r="X815" s="119" t="s">
        <v>40</v>
      </c>
      <c r="Y815" s="120">
        <v>46192</v>
      </c>
      <c r="Z815" s="120">
        <v>46193</v>
      </c>
      <c r="AA815" s="244">
        <v>146125</v>
      </c>
      <c r="AB815" s="241"/>
      <c r="AC815" s="241"/>
      <c r="AD815" s="244">
        <v>0</v>
      </c>
    </row>
    <row r="816" spans="1:30" ht="15" customHeight="1">
      <c r="A816" s="237">
        <v>30664</v>
      </c>
      <c r="B816" s="121">
        <v>1</v>
      </c>
      <c r="C816" s="238">
        <v>46182</v>
      </c>
      <c r="D816" s="105">
        <f t="shared" ca="1" si="34"/>
        <v>45</v>
      </c>
      <c r="E816" s="138" t="str">
        <f t="shared" si="35"/>
        <v>ADMITIDO</v>
      </c>
      <c r="F816" s="230" t="s">
        <v>28</v>
      </c>
      <c r="G816" s="147" t="s">
        <v>29</v>
      </c>
      <c r="H816" s="117" t="s">
        <v>40</v>
      </c>
      <c r="I816" s="117" t="str">
        <f>IF(X816="ADMITIDO","ADMITIDO",IF(X816="CANCELADA","CANCELADA",IF(H816="","",IFERROR(_xlfn.XLOOKUP(H816,Listas!I:I,Listas!J:J),"OUTROS"))))</f>
        <v>ADMITIDO</v>
      </c>
      <c r="J816" s="363" t="s">
        <v>182</v>
      </c>
      <c r="K816" s="240" t="s">
        <v>54</v>
      </c>
      <c r="L816" s="240" t="s">
        <v>183</v>
      </c>
      <c r="M816" s="240"/>
      <c r="N816" s="240" t="s">
        <v>184</v>
      </c>
      <c r="O816" s="119" t="s">
        <v>56</v>
      </c>
      <c r="P816" s="119" t="s">
        <v>185</v>
      </c>
      <c r="Q816" s="119" t="s">
        <v>176</v>
      </c>
      <c r="R816" s="234"/>
      <c r="S816" s="273"/>
      <c r="T816" s="332" t="s">
        <v>2309</v>
      </c>
      <c r="U816" s="73" t="s">
        <v>38</v>
      </c>
      <c r="V816" s="216">
        <v>46362</v>
      </c>
      <c r="W816" s="118" t="s">
        <v>2310</v>
      </c>
      <c r="X816" s="334" t="s">
        <v>40</v>
      </c>
      <c r="Y816" s="120">
        <v>46197</v>
      </c>
      <c r="Z816" s="120">
        <v>46203</v>
      </c>
      <c r="AA816" s="244">
        <v>914501</v>
      </c>
      <c r="AB816" s="241"/>
      <c r="AC816" s="241"/>
      <c r="AD816" s="244">
        <v>0</v>
      </c>
    </row>
    <row r="817" spans="1:30" ht="15" customHeight="1">
      <c r="A817" s="374">
        <v>30666</v>
      </c>
      <c r="B817" s="376">
        <v>1</v>
      </c>
      <c r="C817" s="375">
        <v>46182</v>
      </c>
      <c r="D817" s="367">
        <f t="shared" ca="1" si="34"/>
        <v>45</v>
      </c>
      <c r="E817" s="368" t="str">
        <f t="shared" si="35"/>
        <v>ADMITIDO</v>
      </c>
      <c r="F817" s="371" t="s">
        <v>28</v>
      </c>
      <c r="G817" s="369" t="s">
        <v>240</v>
      </c>
      <c r="H817" s="146" t="s">
        <v>40</v>
      </c>
      <c r="I817" s="146" t="str">
        <f>IF(X817="ADMITIDO","ADMITIDO",IF(X817="CANCELADA","CANCELADA",IF(H817="","",IFERROR(_xlfn.XLOOKUP(H817,Listas!I:I,Listas!J:J),"OUTROS"))))</f>
        <v>ADMITIDO</v>
      </c>
      <c r="J817" s="414" t="s">
        <v>268</v>
      </c>
      <c r="K817" s="415" t="s">
        <v>423</v>
      </c>
      <c r="L817" s="415" t="s">
        <v>424</v>
      </c>
      <c r="M817" s="415"/>
      <c r="N817" s="415" t="s">
        <v>243</v>
      </c>
      <c r="O817" s="303" t="s">
        <v>34</v>
      </c>
      <c r="P817" s="303" t="s">
        <v>703</v>
      </c>
      <c r="Q817" s="303" t="s">
        <v>362</v>
      </c>
      <c r="R817" s="418"/>
      <c r="S817" s="419" t="s">
        <v>1229</v>
      </c>
      <c r="T817" s="345"/>
      <c r="U817" s="189" t="s">
        <v>109</v>
      </c>
      <c r="V817" s="328">
        <v>46182</v>
      </c>
      <c r="W817" s="305" t="s">
        <v>2311</v>
      </c>
      <c r="X817" s="303" t="s">
        <v>40</v>
      </c>
      <c r="Y817" s="304">
        <v>46185</v>
      </c>
      <c r="Z817" s="304">
        <v>46188</v>
      </c>
      <c r="AA817" s="314">
        <v>914436</v>
      </c>
      <c r="AB817" s="346"/>
      <c r="AC817" s="346"/>
      <c r="AD817" s="314">
        <v>0</v>
      </c>
    </row>
    <row r="818" spans="1:30" ht="15" customHeight="1">
      <c r="A818" s="237">
        <v>30654</v>
      </c>
      <c r="B818" s="121">
        <v>1</v>
      </c>
      <c r="C818" s="238">
        <v>46182</v>
      </c>
      <c r="D818" s="105">
        <f t="shared" ca="1" si="34"/>
        <v>45</v>
      </c>
      <c r="E818" s="138" t="str">
        <f t="shared" si="35"/>
        <v>ADMITIDO</v>
      </c>
      <c r="F818" s="230" t="s">
        <v>28</v>
      </c>
      <c r="G818" s="147" t="s">
        <v>29</v>
      </c>
      <c r="H818" s="117" t="s">
        <v>40</v>
      </c>
      <c r="I818" s="117" t="str">
        <f>IF(X818="ADMITIDO","ADMITIDO",IF(X818="CANCELADA","CANCELADA",IF(H818="","",IFERROR(_xlfn.XLOOKUP(H818,Listas!I:I,Listas!J:J),"OUTROS"))))</f>
        <v>ADMITIDO</v>
      </c>
      <c r="J818" s="240" t="s">
        <v>53</v>
      </c>
      <c r="K818" s="240" t="s">
        <v>228</v>
      </c>
      <c r="L818" s="240" t="s">
        <v>807</v>
      </c>
      <c r="M818" s="240"/>
      <c r="N818" s="240" t="s">
        <v>88</v>
      </c>
      <c r="O818" s="119" t="s">
        <v>34</v>
      </c>
      <c r="P818" s="119" t="s">
        <v>210</v>
      </c>
      <c r="Q818" s="119" t="s">
        <v>1170</v>
      </c>
      <c r="R818" s="234"/>
      <c r="S818" s="273"/>
      <c r="T818" s="274" t="s">
        <v>2312</v>
      </c>
      <c r="U818" s="117" t="s">
        <v>38</v>
      </c>
      <c r="V818" s="216">
        <v>46199</v>
      </c>
      <c r="W818" s="125" t="s">
        <v>2313</v>
      </c>
      <c r="X818" s="119" t="s">
        <v>40</v>
      </c>
      <c r="Y818" s="120">
        <v>46209</v>
      </c>
      <c r="Z818" s="120">
        <v>46216</v>
      </c>
      <c r="AA818" s="244">
        <v>914560</v>
      </c>
      <c r="AB818" s="241" t="s">
        <v>2314</v>
      </c>
      <c r="AC818" s="241"/>
      <c r="AD818" s="244">
        <v>2</v>
      </c>
    </row>
    <row r="819" spans="1:30" ht="15" customHeight="1">
      <c r="A819" s="402">
        <v>30657</v>
      </c>
      <c r="B819" s="406">
        <v>1</v>
      </c>
      <c r="C819" s="403">
        <v>46182</v>
      </c>
      <c r="D819" s="380">
        <f t="shared" ca="1" si="34"/>
        <v>45</v>
      </c>
      <c r="E819" s="381" t="str">
        <f t="shared" si="35"/>
        <v>CANCELADA</v>
      </c>
      <c r="F819" s="395" t="s">
        <v>28</v>
      </c>
      <c r="G819" s="390" t="s">
        <v>43</v>
      </c>
      <c r="H819" s="382" t="s">
        <v>52</v>
      </c>
      <c r="I819" s="382" t="str">
        <f>IF(X819="ADMITIDO","ADMITIDO",IF(X819="CANCELADA","CANCELADA",IF(H819="","",IFERROR(_xlfn.XLOOKUP(H819,Listas!I:I,Listas!J:J),"OUTROS"))))</f>
        <v>CANCELADA</v>
      </c>
      <c r="J819" s="428" t="s">
        <v>53</v>
      </c>
      <c r="K819" s="428" t="s">
        <v>45</v>
      </c>
      <c r="L819" t="s">
        <v>2315</v>
      </c>
      <c r="M819"/>
      <c r="N819" s="428" t="s">
        <v>243</v>
      </c>
      <c r="O819" s="308" t="s">
        <v>34</v>
      </c>
      <c r="P819" s="308" t="s">
        <v>57</v>
      </c>
      <c r="Q819" s="308" t="s">
        <v>2316</v>
      </c>
      <c r="R819" s="431" t="s">
        <v>2317</v>
      </c>
      <c r="S819" s="432"/>
      <c r="T819" s="352"/>
      <c r="U819" s="327"/>
      <c r="V819" s="315"/>
      <c r="W819" s="310"/>
      <c r="X819" s="308"/>
      <c r="Y819" s="309"/>
      <c r="Z819" s="309"/>
      <c r="AA819" s="316"/>
      <c r="AB819" s="351" t="s">
        <v>2318</v>
      </c>
      <c r="AC819" s="351" t="s">
        <v>2066</v>
      </c>
      <c r="AD819" s="316">
        <v>1</v>
      </c>
    </row>
    <row r="820" spans="1:30" ht="15" customHeight="1">
      <c r="A820" s="237">
        <v>30665</v>
      </c>
      <c r="B820" s="121">
        <v>1</v>
      </c>
      <c r="C820" s="238">
        <v>46182</v>
      </c>
      <c r="D820" s="105">
        <f t="shared" ca="1" si="34"/>
        <v>45</v>
      </c>
      <c r="E820" s="138" t="str">
        <f t="shared" si="35"/>
        <v>ADMITIDO</v>
      </c>
      <c r="F820" s="230" t="s">
        <v>28</v>
      </c>
      <c r="G820" s="147" t="s">
        <v>29</v>
      </c>
      <c r="H820" s="117" t="s">
        <v>40</v>
      </c>
      <c r="I820" s="117" t="str">
        <f>IF(X820="ADMITIDO","ADMITIDO",IF(X820="CANCELADA","CANCELADA",IF(H820="","",IFERROR(_xlfn.XLOOKUP(H820,Listas!I:I,Listas!J:J),"OUTROS"))))</f>
        <v>ADMITIDO</v>
      </c>
      <c r="J820" s="363" t="s">
        <v>172</v>
      </c>
      <c r="K820" s="240" t="s">
        <v>31</v>
      </c>
      <c r="L820" s="240" t="s">
        <v>1018</v>
      </c>
      <c r="M820" s="240"/>
      <c r="N820" s="240" t="s">
        <v>205</v>
      </c>
      <c r="O820" s="119" t="s">
        <v>34</v>
      </c>
      <c r="P820" s="119" t="s">
        <v>35</v>
      </c>
      <c r="Q820" s="119" t="s">
        <v>36</v>
      </c>
      <c r="R820" s="234"/>
      <c r="S820" s="273"/>
      <c r="T820" s="274" t="s">
        <v>2319</v>
      </c>
      <c r="U820" s="73" t="s">
        <v>38</v>
      </c>
      <c r="V820" s="216">
        <v>46332</v>
      </c>
      <c r="W820" s="118" t="s">
        <v>2320</v>
      </c>
      <c r="X820" s="119" t="s">
        <v>40</v>
      </c>
      <c r="Y820" s="120">
        <v>46190</v>
      </c>
      <c r="Z820" s="120">
        <v>46191</v>
      </c>
      <c r="AA820" s="244">
        <v>83346</v>
      </c>
      <c r="AB820" s="241"/>
      <c r="AC820" s="241"/>
      <c r="AD820" s="244">
        <v>0</v>
      </c>
    </row>
    <row r="821" spans="1:30" ht="15" customHeight="1">
      <c r="A821" s="237">
        <v>30674</v>
      </c>
      <c r="B821" s="121">
        <v>1</v>
      </c>
      <c r="C821" s="238">
        <v>46182</v>
      </c>
      <c r="D821" s="105">
        <f t="shared" ca="1" si="34"/>
        <v>45</v>
      </c>
      <c r="E821" s="138" t="str">
        <f t="shared" si="35"/>
        <v>ADMITIDO</v>
      </c>
      <c r="F821" s="230" t="s">
        <v>28</v>
      </c>
      <c r="G821" s="147" t="s">
        <v>43</v>
      </c>
      <c r="H821" s="117" t="s">
        <v>40</v>
      </c>
      <c r="I821" s="117" t="str">
        <f>IF(X821="ADMITIDO","ADMITIDO",IF(X821="CANCELADA","CANCELADA",IF(H821="","",IFERROR(_xlfn.XLOOKUP(H821,Listas!I:I,Listas!J:J),"OUTROS"))))</f>
        <v>ADMITIDO</v>
      </c>
      <c r="J821" s="363" t="s">
        <v>1049</v>
      </c>
      <c r="K821" s="240" t="s">
        <v>189</v>
      </c>
      <c r="L821" s="240" t="s">
        <v>208</v>
      </c>
      <c r="M821" s="240"/>
      <c r="N821" s="240" t="s">
        <v>209</v>
      </c>
      <c r="O821" s="119" t="s">
        <v>34</v>
      </c>
      <c r="P821" s="119" t="s">
        <v>48</v>
      </c>
      <c r="Q821" s="119" t="s">
        <v>1032</v>
      </c>
      <c r="R821" s="234"/>
      <c r="S821" s="273" t="s">
        <v>1430</v>
      </c>
      <c r="T821" s="274">
        <v>15997856395</v>
      </c>
      <c r="U821" s="73" t="s">
        <v>67</v>
      </c>
      <c r="V821" s="216">
        <v>46183</v>
      </c>
      <c r="W821" s="118" t="s">
        <v>2321</v>
      </c>
      <c r="X821" s="119" t="s">
        <v>40</v>
      </c>
      <c r="Y821" s="120">
        <v>46198</v>
      </c>
      <c r="Z821" s="120">
        <v>46198</v>
      </c>
      <c r="AA821" s="244">
        <v>146147</v>
      </c>
      <c r="AB821" s="241" t="s">
        <v>2322</v>
      </c>
      <c r="AC821" s="241"/>
      <c r="AD821" s="244">
        <v>0</v>
      </c>
    </row>
    <row r="822" spans="1:30" ht="15" customHeight="1">
      <c r="A822" s="237">
        <v>30655</v>
      </c>
      <c r="B822" s="121">
        <v>1</v>
      </c>
      <c r="C822" s="238">
        <v>46182</v>
      </c>
      <c r="D822" s="105">
        <f t="shared" ca="1" si="34"/>
        <v>45</v>
      </c>
      <c r="E822" s="138" t="str">
        <f t="shared" si="35"/>
        <v>ADMITIDO</v>
      </c>
      <c r="F822" s="230" t="s">
        <v>28</v>
      </c>
      <c r="G822" s="147" t="s">
        <v>43</v>
      </c>
      <c r="H822" s="117" t="s">
        <v>40</v>
      </c>
      <c r="I822" s="117" t="str">
        <f>IF(X822="ADMITIDO","ADMITIDO",IF(X822="CANCELADA","CANCELADA",IF(H822="","",IFERROR(_xlfn.XLOOKUP(H822,Listas!I:I,Listas!J:J),"OUTROS"))))</f>
        <v>ADMITIDO</v>
      </c>
      <c r="J822" t="s">
        <v>2323</v>
      </c>
      <c r="K822" s="240" t="s">
        <v>45</v>
      </c>
      <c r="L822" s="240" t="s">
        <v>1270</v>
      </c>
      <c r="M822" s="240"/>
      <c r="N822" s="240" t="s">
        <v>97</v>
      </c>
      <c r="O822" s="119" t="s">
        <v>34</v>
      </c>
      <c r="P822" s="119" t="s">
        <v>57</v>
      </c>
      <c r="Q822" s="119" t="s">
        <v>1271</v>
      </c>
      <c r="R822" s="234"/>
      <c r="S822" s="318" t="s">
        <v>1934</v>
      </c>
      <c r="T822" s="274">
        <v>11963554748</v>
      </c>
      <c r="U822" s="73" t="s">
        <v>50</v>
      </c>
      <c r="V822" s="216">
        <v>46184</v>
      </c>
      <c r="W822" s="1" t="s">
        <v>2324</v>
      </c>
      <c r="X822" s="119" t="s">
        <v>40</v>
      </c>
      <c r="Y822" s="120">
        <v>46190</v>
      </c>
      <c r="Z822" s="120">
        <v>46191</v>
      </c>
      <c r="AA822" s="244">
        <v>146098</v>
      </c>
      <c r="AB822" s="241"/>
      <c r="AC822" s="241"/>
      <c r="AD822" s="244">
        <v>0</v>
      </c>
    </row>
    <row r="823" spans="1:30" ht="15" customHeight="1">
      <c r="A823" s="374">
        <v>30663</v>
      </c>
      <c r="B823" s="376">
        <v>1</v>
      </c>
      <c r="C823" s="375">
        <v>46182</v>
      </c>
      <c r="D823" s="367">
        <f t="shared" ca="1" si="34"/>
        <v>45</v>
      </c>
      <c r="E823" s="368" t="str">
        <f t="shared" si="35"/>
        <v>ADMITIDO</v>
      </c>
      <c r="F823" s="371" t="s">
        <v>28</v>
      </c>
      <c r="G823" s="369" t="s">
        <v>29</v>
      </c>
      <c r="H823" s="146" t="s">
        <v>40</v>
      </c>
      <c r="I823" s="146" t="str">
        <f>IF(X823="ADMITIDO","ADMITIDO",IF(X823="CANCELADA","CANCELADA",IF(H823="","",IFERROR(_xlfn.XLOOKUP(H823,Listas!I:I,Listas!J:J),"OUTROS"))))</f>
        <v>ADMITIDO</v>
      </c>
      <c r="J823" s="414" t="s">
        <v>586</v>
      </c>
      <c r="K823" s="415" t="s">
        <v>614</v>
      </c>
      <c r="L823" s="415" t="s">
        <v>741</v>
      </c>
      <c r="M823" s="415"/>
      <c r="N823" s="415" t="s">
        <v>88</v>
      </c>
      <c r="O823" s="303" t="s">
        <v>56</v>
      </c>
      <c r="P823" s="303" t="s">
        <v>35</v>
      </c>
      <c r="Q823" s="303" t="s">
        <v>357</v>
      </c>
      <c r="R823" s="418"/>
      <c r="S823" s="419"/>
      <c r="T823" s="418" t="s">
        <v>2325</v>
      </c>
      <c r="U823" s="326" t="s">
        <v>38</v>
      </c>
      <c r="V823" s="313" t="s">
        <v>2326</v>
      </c>
      <c r="W823" s="302" t="s">
        <v>2327</v>
      </c>
      <c r="X823" s="303" t="s">
        <v>40</v>
      </c>
      <c r="Y823" s="304">
        <v>46199</v>
      </c>
      <c r="Z823" s="304">
        <v>46200</v>
      </c>
      <c r="AA823" s="314">
        <v>914536</v>
      </c>
      <c r="AB823" s="346"/>
      <c r="AC823" s="346"/>
      <c r="AD823" s="314">
        <v>0</v>
      </c>
    </row>
    <row r="824" spans="1:30" ht="15" customHeight="1">
      <c r="A824" s="237">
        <v>30700</v>
      </c>
      <c r="B824" s="121">
        <v>1</v>
      </c>
      <c r="C824" s="238">
        <v>46183</v>
      </c>
      <c r="D824" s="105">
        <f t="shared" ref="D824:D855" ca="1" si="36">TODAY()-C824</f>
        <v>44</v>
      </c>
      <c r="E824" s="138" t="str">
        <f t="shared" ref="E824:E855" si="37">IF(X824="ADMITIDO","ADMITIDO",IF(X824="CANCELADA","CANCELADA",IF(H824="","",IF(H824="ADMITIDO","ADMITIDO",IF(H824="CANCELADA","CANCELADA",IF(OR(H824="ANALISE CANCELAMENTO",H824="ANÁLISE CANCELAMENTO"),"EM ANÁLISE",IF(D824="","",IF(D824&lt;=7,"NO PRAZO",IF(D824&lt;=14,"ATENÇÃO","CRÍTICO")))))))))</f>
        <v>ADMITIDO</v>
      </c>
      <c r="F824" s="230" t="s">
        <v>42</v>
      </c>
      <c r="G824" s="147" t="s">
        <v>69</v>
      </c>
      <c r="H824" s="117" t="s">
        <v>40</v>
      </c>
      <c r="I824" s="117" t="str">
        <f>IF(X824="ADMITIDO","ADMITIDO",IF(X824="CANCELADA","CANCELADA",IF(H824="","",IFERROR(_xlfn.XLOOKUP(H824,Listas!I:I,Listas!J:J),"OUTROS"))))</f>
        <v>ADMITIDO</v>
      </c>
      <c r="J824" s="240" t="s">
        <v>461</v>
      </c>
      <c r="K824" s="240" t="s">
        <v>70</v>
      </c>
      <c r="L824" s="240" t="s">
        <v>343</v>
      </c>
      <c r="M824" s="240"/>
      <c r="N824" s="240" t="s">
        <v>63</v>
      </c>
      <c r="O824" s="119" t="s">
        <v>34</v>
      </c>
      <c r="P824" s="119" t="s">
        <v>219</v>
      </c>
      <c r="Q824" s="119" t="s">
        <v>462</v>
      </c>
      <c r="R824" s="234"/>
      <c r="S824" s="273"/>
      <c r="T824" s="274"/>
      <c r="U824" s="73" t="s">
        <v>76</v>
      </c>
      <c r="V824" s="216">
        <v>46192</v>
      </c>
      <c r="W824" s="118" t="s">
        <v>2328</v>
      </c>
      <c r="X824" s="119" t="s">
        <v>40</v>
      </c>
      <c r="Y824" s="120">
        <v>46203</v>
      </c>
      <c r="Z824" s="120">
        <v>46204</v>
      </c>
      <c r="AA824" s="244">
        <v>914535</v>
      </c>
      <c r="AB824" s="241"/>
      <c r="AC824" s="241"/>
      <c r="AD824" s="244">
        <v>0</v>
      </c>
    </row>
    <row r="825" spans="1:30" ht="15" customHeight="1">
      <c r="A825" s="396">
        <v>30685</v>
      </c>
      <c r="B825" s="405">
        <v>1</v>
      </c>
      <c r="C825" s="404">
        <v>46183</v>
      </c>
      <c r="D825" s="386">
        <f t="shared" ca="1" si="36"/>
        <v>44</v>
      </c>
      <c r="E825" s="170" t="str">
        <f t="shared" si="37"/>
        <v>ADMITIDO</v>
      </c>
      <c r="F825" s="397" t="s">
        <v>42</v>
      </c>
      <c r="G825" s="392" t="s">
        <v>60</v>
      </c>
      <c r="H825" s="139" t="s">
        <v>40</v>
      </c>
      <c r="I825" s="139" t="str">
        <f>IF(X825="ADMITIDO","ADMITIDO",IF(X825="CANCELADA","CANCELADA",IF(H825="","",IFERROR(_xlfn.XLOOKUP(H825,Listas!I:I,Listas!J:J),"OUTROS"))))</f>
        <v>ADMITIDO</v>
      </c>
      <c r="J825" s="427" t="s">
        <v>53</v>
      </c>
      <c r="K825" s="428" t="s">
        <v>61</v>
      </c>
      <c r="L825" s="428" t="s">
        <v>556</v>
      </c>
      <c r="M825" s="428"/>
      <c r="N825" s="428" t="s">
        <v>63</v>
      </c>
      <c r="O825" s="308" t="s">
        <v>34</v>
      </c>
      <c r="P825" s="308" t="s">
        <v>72</v>
      </c>
      <c r="Q825" s="308" t="s">
        <v>238</v>
      </c>
      <c r="R825" s="431"/>
      <c r="S825" s="432" t="s">
        <v>1533</v>
      </c>
      <c r="T825" s="352" t="s">
        <v>2329</v>
      </c>
      <c r="U825" s="327" t="s">
        <v>76</v>
      </c>
      <c r="V825" s="315">
        <v>46185</v>
      </c>
      <c r="W825" s="310" t="s">
        <v>2330</v>
      </c>
      <c r="X825" s="308" t="s">
        <v>40</v>
      </c>
      <c r="Y825" s="309">
        <v>46190</v>
      </c>
      <c r="Z825" s="309">
        <v>46191</v>
      </c>
      <c r="AA825" s="316">
        <v>146105</v>
      </c>
      <c r="AB825" s="351"/>
      <c r="AC825" s="351"/>
      <c r="AD825" s="316">
        <v>0</v>
      </c>
    </row>
    <row r="826" spans="1:30" ht="15" customHeight="1">
      <c r="A826" s="374">
        <v>30706</v>
      </c>
      <c r="B826" s="376">
        <v>1</v>
      </c>
      <c r="C826" s="375">
        <v>46183</v>
      </c>
      <c r="D826" s="367">
        <f t="shared" ca="1" si="36"/>
        <v>44</v>
      </c>
      <c r="E826" s="368" t="str">
        <f t="shared" si="37"/>
        <v>ADMITIDO</v>
      </c>
      <c r="F826" s="371" t="s">
        <v>28</v>
      </c>
      <c r="G826" s="369" t="s">
        <v>43</v>
      </c>
      <c r="H826" s="146" t="s">
        <v>40</v>
      </c>
      <c r="I826" s="146" t="str">
        <f>IF(X826="ADMITIDO","ADMITIDO",IF(X826="CANCELADA","CANCELADA",IF(H826="","",IFERROR(_xlfn.XLOOKUP(H826,Listas!I:I,Listas!J:J),"OUTROS"))))</f>
        <v>ADMITIDO</v>
      </c>
      <c r="J826" s="414" t="s">
        <v>557</v>
      </c>
      <c r="K826" s="415" t="s">
        <v>1808</v>
      </c>
      <c r="L826" s="415" t="s">
        <v>2331</v>
      </c>
      <c r="M826" s="415"/>
      <c r="N826" s="415" t="s">
        <v>559</v>
      </c>
      <c r="O826" s="303" t="s">
        <v>34</v>
      </c>
      <c r="P826" s="303" t="s">
        <v>35</v>
      </c>
      <c r="Q826" s="303" t="s">
        <v>287</v>
      </c>
      <c r="R826" s="418"/>
      <c r="S826" s="419" t="s">
        <v>2332</v>
      </c>
      <c r="T826" s="345">
        <v>11958901119</v>
      </c>
      <c r="U826" s="326" t="s">
        <v>50</v>
      </c>
      <c r="V826" s="313">
        <v>46183</v>
      </c>
      <c r="W826" s="302" t="s">
        <v>2333</v>
      </c>
      <c r="X826" s="303" t="s">
        <v>40</v>
      </c>
      <c r="Y826" s="304">
        <v>46190</v>
      </c>
      <c r="Z826" s="304">
        <v>46192</v>
      </c>
      <c r="AA826" s="314">
        <v>914450</v>
      </c>
      <c r="AB826" s="346" t="s">
        <v>2334</v>
      </c>
      <c r="AC826" s="346"/>
      <c r="AD826" s="314">
        <v>0</v>
      </c>
    </row>
    <row r="827" spans="1:30" ht="15" customHeight="1">
      <c r="A827" s="237">
        <v>30676</v>
      </c>
      <c r="B827" s="121">
        <v>1</v>
      </c>
      <c r="C827" s="238">
        <v>46183</v>
      </c>
      <c r="D827" s="105">
        <f t="shared" ca="1" si="36"/>
        <v>44</v>
      </c>
      <c r="E827" s="138" t="str">
        <f t="shared" si="37"/>
        <v>ADMITIDO</v>
      </c>
      <c r="F827" s="230" t="s">
        <v>28</v>
      </c>
      <c r="G827" s="147" t="s">
        <v>102</v>
      </c>
      <c r="H827" s="117" t="s">
        <v>40</v>
      </c>
      <c r="I827" s="117" t="str">
        <f>IF(X827="ADMITIDO","ADMITIDO",IF(X827="CANCELADA","CANCELADA",IF(H827="","",IFERROR(_xlfn.XLOOKUP(H827,Listas!I:I,Listas!J:J),"OUTROS"))))</f>
        <v>ADMITIDO</v>
      </c>
      <c r="J827" s="240" t="s">
        <v>616</v>
      </c>
      <c r="K827" s="240" t="s">
        <v>1820</v>
      </c>
      <c r="L827" s="240" t="s">
        <v>1097</v>
      </c>
      <c r="M827" s="240"/>
      <c r="N827" s="240" t="s">
        <v>63</v>
      </c>
      <c r="O827" s="119" t="s">
        <v>34</v>
      </c>
      <c r="P827" s="119" t="s">
        <v>35</v>
      </c>
      <c r="Q827" s="119" t="s">
        <v>36</v>
      </c>
      <c r="R827" s="234" t="s">
        <v>2335</v>
      </c>
      <c r="S827" s="273" t="s">
        <v>2336</v>
      </c>
      <c r="T827" s="274"/>
      <c r="U827" s="73" t="s">
        <v>109</v>
      </c>
      <c r="V827" s="216">
        <v>46204</v>
      </c>
      <c r="W827" s="118" t="s">
        <v>2337</v>
      </c>
      <c r="X827" s="119" t="s">
        <v>40</v>
      </c>
      <c r="Y827" s="120">
        <v>46206</v>
      </c>
      <c r="Z827" s="120">
        <v>46210</v>
      </c>
      <c r="AA827" s="244">
        <v>914583</v>
      </c>
      <c r="AB827" s="241" t="s">
        <v>2338</v>
      </c>
      <c r="AC827" s="241"/>
      <c r="AD827" s="244">
        <v>1</v>
      </c>
    </row>
    <row r="828" spans="1:30" ht="15" customHeight="1">
      <c r="A828" s="402">
        <v>30702</v>
      </c>
      <c r="B828" s="406">
        <v>1</v>
      </c>
      <c r="C828" s="403">
        <v>46183</v>
      </c>
      <c r="D828" s="380">
        <f t="shared" ca="1" si="36"/>
        <v>44</v>
      </c>
      <c r="E828" s="381" t="str">
        <f t="shared" si="37"/>
        <v>CANCELADA</v>
      </c>
      <c r="F828" s="395" t="s">
        <v>28</v>
      </c>
      <c r="G828" s="390" t="s">
        <v>102</v>
      </c>
      <c r="H828" s="382" t="s">
        <v>52</v>
      </c>
      <c r="I828" s="382" t="str">
        <f>IF(X828="ADMITIDO","ADMITIDO",IF(X828="CANCELADA","CANCELADA",IF(H828="","",IFERROR(_xlfn.XLOOKUP(H828,Listas!I:I,Listas!J:J),"OUTROS"))))</f>
        <v>CANCELADA</v>
      </c>
      <c r="J828" s="435" t="s">
        <v>2339</v>
      </c>
      <c r="K828" s="435" t="s">
        <v>563</v>
      </c>
      <c r="L828" s="435" t="s">
        <v>590</v>
      </c>
      <c r="M828" s="435"/>
      <c r="N828" s="435" t="s">
        <v>63</v>
      </c>
      <c r="O828" s="306" t="s">
        <v>34</v>
      </c>
      <c r="P828" s="306" t="s">
        <v>35</v>
      </c>
      <c r="Q828" s="306" t="s">
        <v>1805</v>
      </c>
      <c r="R828" s="436"/>
      <c r="S828" s="437"/>
      <c r="T828" s="438"/>
      <c r="U828" s="189"/>
      <c r="V828" s="328"/>
      <c r="W828" s="305"/>
      <c r="X828" s="306"/>
      <c r="Y828" s="307"/>
      <c r="Z828" s="307"/>
      <c r="AA828" s="329"/>
      <c r="AB828" s="439"/>
      <c r="AC828" s="439" t="s">
        <v>2240</v>
      </c>
      <c r="AD828" s="329">
        <v>0</v>
      </c>
    </row>
    <row r="829" spans="1:30" ht="15" customHeight="1">
      <c r="A829" s="237">
        <v>30705</v>
      </c>
      <c r="B829" s="121">
        <v>1</v>
      </c>
      <c r="C829" s="238">
        <v>46183</v>
      </c>
      <c r="D829" s="105">
        <f t="shared" ca="1" si="36"/>
        <v>44</v>
      </c>
      <c r="E829" s="138" t="str">
        <f t="shared" si="37"/>
        <v>ADMITIDO</v>
      </c>
      <c r="F829" s="230" t="s">
        <v>171</v>
      </c>
      <c r="G829" s="147" t="s">
        <v>29</v>
      </c>
      <c r="H829" s="117" t="s">
        <v>40</v>
      </c>
      <c r="I829" s="117" t="str">
        <f>IF(X829="ADMITIDO","ADMITIDO",IF(X829="CANCELADA","CANCELADA",IF(H829="","",IFERROR(_xlfn.XLOOKUP(H829,Listas!I:I,Listas!J:J),"OUTROS"))))</f>
        <v>ADMITIDO</v>
      </c>
      <c r="J829" s="240" t="s">
        <v>172</v>
      </c>
      <c r="K829" s="240" t="s">
        <v>31</v>
      </c>
      <c r="L829" s="240" t="s">
        <v>1103</v>
      </c>
      <c r="M829" s="240"/>
      <c r="N829" s="240" t="s">
        <v>93</v>
      </c>
      <c r="O829" s="119" t="s">
        <v>34</v>
      </c>
      <c r="P829" s="119" t="s">
        <v>35</v>
      </c>
      <c r="Q829" s="119" t="s">
        <v>362</v>
      </c>
      <c r="R829" s="234"/>
      <c r="S829" s="273"/>
      <c r="T829" s="274" t="s">
        <v>2340</v>
      </c>
      <c r="U829" s="73" t="s">
        <v>38</v>
      </c>
      <c r="V829" s="216">
        <v>46216</v>
      </c>
      <c r="W829" s="118" t="s">
        <v>2341</v>
      </c>
      <c r="X829" s="119" t="s">
        <v>40</v>
      </c>
      <c r="Y829" s="120">
        <v>46218</v>
      </c>
      <c r="Z829" s="120">
        <v>46219</v>
      </c>
      <c r="AA829" s="244">
        <v>83382</v>
      </c>
      <c r="AB829" s="241"/>
      <c r="AC829" s="241"/>
      <c r="AD829" s="244">
        <v>0</v>
      </c>
    </row>
    <row r="830" spans="1:30" ht="15" customHeight="1">
      <c r="A830" s="374">
        <v>30704</v>
      </c>
      <c r="B830" s="376">
        <v>1</v>
      </c>
      <c r="C830" s="375">
        <v>46183</v>
      </c>
      <c r="D830" s="367">
        <f t="shared" ca="1" si="36"/>
        <v>44</v>
      </c>
      <c r="E830" s="368" t="str">
        <f t="shared" si="37"/>
        <v>ADMITIDO</v>
      </c>
      <c r="F830" s="371" t="s">
        <v>28</v>
      </c>
      <c r="G830" s="369" t="s">
        <v>102</v>
      </c>
      <c r="H830" s="117" t="s">
        <v>40</v>
      </c>
      <c r="I830" s="146" t="str">
        <f>IF(X830="ADMITIDO","ADMITIDO",IF(X830="CANCELADA","CANCELADA",IF(H830="","",IFERROR(_xlfn.XLOOKUP(H830,Listas!I:I,Listas!J:J),"OUTROS"))))</f>
        <v>ADMITIDO</v>
      </c>
      <c r="J830" s="415" t="s">
        <v>268</v>
      </c>
      <c r="K830" s="415" t="s">
        <v>1820</v>
      </c>
      <c r="L830" s="415" t="s">
        <v>2342</v>
      </c>
      <c r="M830" s="415"/>
      <c r="N830" s="415" t="s">
        <v>2250</v>
      </c>
      <c r="O830" s="303" t="s">
        <v>34</v>
      </c>
      <c r="P830" s="303" t="s">
        <v>35</v>
      </c>
      <c r="Q830" s="303" t="s">
        <v>362</v>
      </c>
      <c r="R830" s="419"/>
      <c r="S830" s="419"/>
      <c r="T830" s="345"/>
      <c r="U830" s="326" t="s">
        <v>76</v>
      </c>
      <c r="V830" s="313">
        <v>46211</v>
      </c>
      <c r="W830" s="302" t="s">
        <v>2343</v>
      </c>
      <c r="X830" s="303" t="s">
        <v>40</v>
      </c>
      <c r="Y830" s="304">
        <v>46213</v>
      </c>
      <c r="Z830" s="304">
        <v>46214</v>
      </c>
      <c r="AA830" s="314">
        <v>914619</v>
      </c>
      <c r="AB830" s="346"/>
      <c r="AC830" s="346"/>
      <c r="AD830" s="314">
        <v>0</v>
      </c>
    </row>
    <row r="831" spans="1:30" ht="15" customHeight="1">
      <c r="A831" s="374">
        <v>30682</v>
      </c>
      <c r="B831" s="376">
        <v>1</v>
      </c>
      <c r="C831" s="375">
        <v>46183</v>
      </c>
      <c r="D831" s="367">
        <f t="shared" ca="1" si="36"/>
        <v>44</v>
      </c>
      <c r="E831" s="368" t="str">
        <f t="shared" si="37"/>
        <v>ADMITIDO</v>
      </c>
      <c r="F831" s="371" t="s">
        <v>42</v>
      </c>
      <c r="G831" s="369" t="s">
        <v>60</v>
      </c>
      <c r="H831" s="117" t="s">
        <v>40</v>
      </c>
      <c r="I831" s="146" t="str">
        <f>IF(X831="ADMITIDO","ADMITIDO",IF(X831="CANCELADA","CANCELADA",IF(H831="","",IFERROR(_xlfn.XLOOKUP(H831,Listas!I:I,Listas!J:J),"OUTROS"))))</f>
        <v>ADMITIDO</v>
      </c>
      <c r="J831" s="415" t="s">
        <v>53</v>
      </c>
      <c r="K831" s="415" t="s">
        <v>61</v>
      </c>
      <c r="L831" s="415" t="s">
        <v>600</v>
      </c>
      <c r="M831" s="415"/>
      <c r="N831" s="240" t="s">
        <v>63</v>
      </c>
      <c r="O831" s="119" t="s">
        <v>34</v>
      </c>
      <c r="P831" s="119" t="s">
        <v>72</v>
      </c>
      <c r="Q831" s="119" t="s">
        <v>601</v>
      </c>
      <c r="R831" s="234"/>
      <c r="S831" s="273" t="s">
        <v>1533</v>
      </c>
      <c r="T831" s="274" t="s">
        <v>2344</v>
      </c>
      <c r="U831" s="73" t="s">
        <v>109</v>
      </c>
      <c r="V831" s="216">
        <v>46216</v>
      </c>
      <c r="W831" s="118" t="s">
        <v>2345</v>
      </c>
      <c r="X831" s="119" t="s">
        <v>40</v>
      </c>
      <c r="Y831" s="120">
        <v>46220</v>
      </c>
      <c r="Z831" s="120">
        <v>46223</v>
      </c>
      <c r="AA831" s="244">
        <v>146259</v>
      </c>
      <c r="AB831" s="241" t="s">
        <v>2346</v>
      </c>
      <c r="AC831" s="241"/>
      <c r="AD831" s="244">
        <v>1</v>
      </c>
    </row>
    <row r="832" spans="1:30" ht="15" customHeight="1">
      <c r="A832" s="486">
        <v>30708</v>
      </c>
      <c r="B832" s="487">
        <v>1</v>
      </c>
      <c r="C832" s="488">
        <v>46183</v>
      </c>
      <c r="D832" s="489">
        <f t="shared" ca="1" si="36"/>
        <v>44</v>
      </c>
      <c r="E832" s="490" t="str">
        <f t="shared" ca="1" si="37"/>
        <v>CRÍTICO</v>
      </c>
      <c r="F832" s="491" t="s">
        <v>42</v>
      </c>
      <c r="G832" s="492" t="s">
        <v>43</v>
      </c>
      <c r="H832" s="493" t="s">
        <v>181</v>
      </c>
      <c r="I832" s="493" t="str">
        <f>IF(X832="ADMITIDO","ADMITIDO",IF(X832="CANCELADA","CANCELADA",IF(H832="","",IFERROR(_xlfn.XLOOKUP(H832,Listas!I:I,Listas!J:J),"OUTROS"))))</f>
        <v>DOCUMENTAÇÃO</v>
      </c>
      <c r="J832" s="494" t="s">
        <v>44</v>
      </c>
      <c r="K832" s="532" t="s">
        <v>189</v>
      </c>
      <c r="L832" s="494" t="s">
        <v>208</v>
      </c>
      <c r="M832" s="600"/>
      <c r="N832" s="427" t="s">
        <v>209</v>
      </c>
      <c r="O832" s="308" t="s">
        <v>34</v>
      </c>
      <c r="P832" s="308" t="s">
        <v>210</v>
      </c>
      <c r="Q832" s="308" t="s">
        <v>94</v>
      </c>
      <c r="R832" s="431"/>
      <c r="S832" s="432" t="s">
        <v>2347</v>
      </c>
      <c r="T832" s="352">
        <v>15992703358</v>
      </c>
      <c r="U832" s="327" t="s">
        <v>67</v>
      </c>
      <c r="V832" s="315">
        <v>46218</v>
      </c>
      <c r="W832" s="310" t="s">
        <v>2348</v>
      </c>
      <c r="X832" s="308" t="s">
        <v>188</v>
      </c>
      <c r="Y832" s="309">
        <v>46230</v>
      </c>
      <c r="Z832" s="309">
        <v>46230</v>
      </c>
      <c r="AA832" s="316">
        <v>146277</v>
      </c>
      <c r="AB832" s="351" t="s">
        <v>2349</v>
      </c>
      <c r="AC832" s="351"/>
      <c r="AD832" s="316">
        <v>1</v>
      </c>
    </row>
    <row r="833" spans="1:30" ht="15" customHeight="1">
      <c r="A833" s="396">
        <v>30684</v>
      </c>
      <c r="B833" s="405">
        <v>1</v>
      </c>
      <c r="C833" s="404">
        <v>46183</v>
      </c>
      <c r="D833" s="386">
        <f t="shared" ca="1" si="36"/>
        <v>44</v>
      </c>
      <c r="E833" s="170" t="str">
        <f t="shared" si="37"/>
        <v>ADMITIDO</v>
      </c>
      <c r="F833" s="397" t="s">
        <v>28</v>
      </c>
      <c r="G833" s="392" t="s">
        <v>29</v>
      </c>
      <c r="H833" s="117" t="s">
        <v>40</v>
      </c>
      <c r="I833" s="139" t="str">
        <f>IF(X833="ADMITIDO","ADMITIDO",IF(X833="CANCELADA","CANCELADA",IF(H833="","",IFERROR(_xlfn.XLOOKUP(H833,Listas!I:I,Listas!J:J),"OUTROS"))))</f>
        <v>ADMITIDO</v>
      </c>
      <c r="J833" s="427" t="s">
        <v>609</v>
      </c>
      <c r="K833" s="428" t="s">
        <v>203</v>
      </c>
      <c r="L833" s="428" t="s">
        <v>92</v>
      </c>
      <c r="M833" s="428"/>
      <c r="N833" s="428" t="s">
        <v>93</v>
      </c>
      <c r="O833" s="308" t="s">
        <v>56</v>
      </c>
      <c r="P833" s="308" t="s">
        <v>35</v>
      </c>
      <c r="Q833" s="308" t="s">
        <v>176</v>
      </c>
      <c r="R833" s="431"/>
      <c r="S833" s="432"/>
      <c r="T833" s="352" t="s">
        <v>2350</v>
      </c>
      <c r="U833" s="327" t="s">
        <v>38</v>
      </c>
      <c r="V833" s="315">
        <v>46362</v>
      </c>
      <c r="W833" s="310" t="s">
        <v>2351</v>
      </c>
      <c r="X833" s="308" t="s">
        <v>40</v>
      </c>
      <c r="Y833" s="309">
        <v>46190</v>
      </c>
      <c r="Z833" s="309">
        <v>46191</v>
      </c>
      <c r="AA833" s="316">
        <v>914455</v>
      </c>
      <c r="AB833" s="351"/>
      <c r="AC833" s="351"/>
      <c r="AD833" s="316">
        <v>0</v>
      </c>
    </row>
    <row r="834" spans="1:30" ht="15" customHeight="1">
      <c r="A834" s="402">
        <v>30698</v>
      </c>
      <c r="B834" s="406">
        <v>1</v>
      </c>
      <c r="C834" s="403">
        <v>46183</v>
      </c>
      <c r="D834" s="380">
        <f t="shared" ca="1" si="36"/>
        <v>44</v>
      </c>
      <c r="E834" s="381" t="str">
        <f t="shared" si="37"/>
        <v>CANCELADA</v>
      </c>
      <c r="F834" s="395" t="s">
        <v>42</v>
      </c>
      <c r="G834" s="390" t="s">
        <v>60</v>
      </c>
      <c r="H834" s="382" t="s">
        <v>52</v>
      </c>
      <c r="I834" s="382" t="str">
        <f>IF(X834="ADMITIDO","ADMITIDO",IF(X834="CANCELADA","CANCELADA",IF(H834="","",IFERROR(_xlfn.XLOOKUP(H834,Listas!I:I,Listas!J:J),"OUTROS"))))</f>
        <v>CANCELADA</v>
      </c>
      <c r="J834" s="415" t="s">
        <v>782</v>
      </c>
      <c r="K834" s="415" t="s">
        <v>61</v>
      </c>
      <c r="L834" s="415" t="s">
        <v>2352</v>
      </c>
      <c r="M834" s="415"/>
      <c r="N834" s="415"/>
      <c r="O834" s="303" t="s">
        <v>34</v>
      </c>
      <c r="P834" s="303" t="s">
        <v>57</v>
      </c>
      <c r="Q834" s="303" t="s">
        <v>880</v>
      </c>
      <c r="R834" s="418" t="s">
        <v>1931</v>
      </c>
      <c r="S834" s="419"/>
      <c r="T834" s="345"/>
      <c r="U834" s="326"/>
      <c r="V834" s="313"/>
      <c r="W834" s="302"/>
      <c r="X834" s="303" t="s">
        <v>52</v>
      </c>
      <c r="Y834" s="304"/>
      <c r="Z834" s="304"/>
      <c r="AA834" s="314"/>
      <c r="AB834" s="346"/>
      <c r="AC834" s="346" t="s">
        <v>2066</v>
      </c>
      <c r="AD834" s="314">
        <v>0</v>
      </c>
    </row>
    <row r="835" spans="1:30" ht="15" customHeight="1">
      <c r="A835" s="374">
        <v>30699</v>
      </c>
      <c r="B835" s="376">
        <v>1</v>
      </c>
      <c r="C835" s="375">
        <v>46183</v>
      </c>
      <c r="D835" s="367">
        <f t="shared" ca="1" si="36"/>
        <v>44</v>
      </c>
      <c r="E835" s="368" t="str">
        <f t="shared" si="37"/>
        <v>ADMITIDO</v>
      </c>
      <c r="F835" s="371" t="s">
        <v>28</v>
      </c>
      <c r="G835" s="369" t="s">
        <v>60</v>
      </c>
      <c r="H835" s="117" t="s">
        <v>40</v>
      </c>
      <c r="I835" s="146" t="str">
        <f>IF(X835="ADMITIDO","ADMITIDO",IF(X835="CANCELADA","CANCELADA",IF(H835="","",IFERROR(_xlfn.XLOOKUP(H835,Listas!I:I,Listas!J:J),"OUTROS"))))</f>
        <v>ADMITIDO</v>
      </c>
      <c r="J835" s="415" t="s">
        <v>624</v>
      </c>
      <c r="K835" s="415" t="s">
        <v>986</v>
      </c>
      <c r="L835" s="415" t="s">
        <v>618</v>
      </c>
      <c r="M835" s="415"/>
      <c r="N835" s="415" t="s">
        <v>63</v>
      </c>
      <c r="O835" s="303" t="s">
        <v>56</v>
      </c>
      <c r="P835" s="303" t="s">
        <v>35</v>
      </c>
      <c r="Q835" s="303" t="s">
        <v>176</v>
      </c>
      <c r="R835" s="418"/>
      <c r="S835" s="419" t="s">
        <v>899</v>
      </c>
      <c r="T835" s="345" t="s">
        <v>2353</v>
      </c>
      <c r="U835" s="326" t="s">
        <v>76</v>
      </c>
      <c r="V835" s="313">
        <v>46198</v>
      </c>
      <c r="W835" s="302" t="s">
        <v>2354</v>
      </c>
      <c r="X835" s="303" t="s">
        <v>40</v>
      </c>
      <c r="Y835" s="304">
        <v>46202</v>
      </c>
      <c r="Z835" s="304">
        <v>46203</v>
      </c>
      <c r="AA835" s="314">
        <v>914542</v>
      </c>
      <c r="AB835" s="346" t="s">
        <v>2355</v>
      </c>
      <c r="AC835" s="346"/>
      <c r="AD835" s="314">
        <v>1</v>
      </c>
    </row>
    <row r="836" spans="1:30" ht="15" customHeight="1">
      <c r="A836" s="237">
        <v>30681</v>
      </c>
      <c r="B836" s="121">
        <v>1</v>
      </c>
      <c r="C836" s="238">
        <v>46183</v>
      </c>
      <c r="D836" s="105">
        <f t="shared" ca="1" si="36"/>
        <v>44</v>
      </c>
      <c r="E836" s="138" t="str">
        <f t="shared" si="37"/>
        <v>ADMITIDO</v>
      </c>
      <c r="F836" s="230" t="s">
        <v>42</v>
      </c>
      <c r="G836" s="147" t="s">
        <v>60</v>
      </c>
      <c r="H836" s="117" t="s">
        <v>40</v>
      </c>
      <c r="I836" s="117" t="str">
        <f>IF(X836="ADMITIDO","ADMITIDO",IF(X836="CANCELADA","CANCELADA",IF(H836="","",IFERROR(_xlfn.XLOOKUP(H836,Listas!I:I,Listas!J:J),"OUTROS"))))</f>
        <v>ADMITIDO</v>
      </c>
      <c r="J836" s="240" t="s">
        <v>53</v>
      </c>
      <c r="K836" s="240" t="s">
        <v>61</v>
      </c>
      <c r="L836" s="240" t="s">
        <v>255</v>
      </c>
      <c r="M836" s="240"/>
      <c r="N836" s="240" t="s">
        <v>63</v>
      </c>
      <c r="O836" s="119" t="s">
        <v>34</v>
      </c>
      <c r="P836" s="119" t="s">
        <v>219</v>
      </c>
      <c r="Q836" s="119" t="s">
        <v>73</v>
      </c>
      <c r="R836" s="234"/>
      <c r="S836" s="273" t="s">
        <v>1533</v>
      </c>
      <c r="T836" s="274" t="s">
        <v>2356</v>
      </c>
      <c r="U836" s="73" t="s">
        <v>132</v>
      </c>
      <c r="V836" s="216">
        <v>46213</v>
      </c>
      <c r="W836" s="118" t="s">
        <v>2357</v>
      </c>
      <c r="X836" s="119" t="s">
        <v>40</v>
      </c>
      <c r="Y836" s="120">
        <v>46217</v>
      </c>
      <c r="Z836" s="120">
        <v>46218</v>
      </c>
      <c r="AA836" s="244">
        <v>916236</v>
      </c>
      <c r="AB836" s="241" t="s">
        <v>2358</v>
      </c>
      <c r="AC836" s="241"/>
      <c r="AD836" s="244">
        <v>1</v>
      </c>
    </row>
    <row r="837" spans="1:30" ht="15" customHeight="1">
      <c r="A837" s="396">
        <v>30701</v>
      </c>
      <c r="B837" s="405">
        <v>1</v>
      </c>
      <c r="C837" s="404">
        <v>46183</v>
      </c>
      <c r="D837" s="386">
        <f t="shared" ca="1" si="36"/>
        <v>44</v>
      </c>
      <c r="E837" s="170" t="str">
        <f t="shared" si="37"/>
        <v>ADMITIDO</v>
      </c>
      <c r="F837" s="397" t="s">
        <v>28</v>
      </c>
      <c r="G837" s="392" t="s">
        <v>102</v>
      </c>
      <c r="H837" s="117" t="s">
        <v>40</v>
      </c>
      <c r="I837" s="139" t="str">
        <f>IF(X837="ADMITIDO","ADMITIDO",IF(X837="CANCELADA","CANCELADA",IF(H837="","",IFERROR(_xlfn.XLOOKUP(H837,Listas!I:I,Listas!J:J),"OUTROS"))))</f>
        <v>ADMITIDO</v>
      </c>
      <c r="J837" s="428" t="s">
        <v>268</v>
      </c>
      <c r="K837" s="428" t="s">
        <v>563</v>
      </c>
      <c r="L837" s="428" t="s">
        <v>2359</v>
      </c>
      <c r="M837" s="428"/>
      <c r="N837" s="428" t="s">
        <v>63</v>
      </c>
      <c r="O837" s="308" t="s">
        <v>34</v>
      </c>
      <c r="P837" s="308" t="s">
        <v>35</v>
      </c>
      <c r="Q837" s="308" t="s">
        <v>36</v>
      </c>
      <c r="R837" s="432"/>
      <c r="S837" s="432"/>
      <c r="T837" s="352"/>
      <c r="U837" s="327" t="s">
        <v>67</v>
      </c>
      <c r="V837" s="315">
        <v>46210</v>
      </c>
      <c r="W837" s="310" t="s">
        <v>2360</v>
      </c>
      <c r="X837" s="308" t="s">
        <v>40</v>
      </c>
      <c r="Y837" s="309">
        <v>46216</v>
      </c>
      <c r="Z837" s="309">
        <v>46217</v>
      </c>
      <c r="AA837" s="316">
        <v>914629</v>
      </c>
      <c r="AB837" s="310" t="s">
        <v>2361</v>
      </c>
      <c r="AC837" s="351"/>
      <c r="AD837" s="316">
        <v>1</v>
      </c>
    </row>
    <row r="838" spans="1:30" ht="15" customHeight="1">
      <c r="A838" s="402">
        <v>30675</v>
      </c>
      <c r="B838" s="406">
        <v>1</v>
      </c>
      <c r="C838" s="403">
        <v>46183</v>
      </c>
      <c r="D838" s="380">
        <f t="shared" ca="1" si="36"/>
        <v>44</v>
      </c>
      <c r="E838" s="381" t="str">
        <f t="shared" si="37"/>
        <v>CANCELADA</v>
      </c>
      <c r="F838" s="395" t="s">
        <v>28</v>
      </c>
      <c r="G838" s="390" t="s">
        <v>60</v>
      </c>
      <c r="H838" s="382" t="s">
        <v>52</v>
      </c>
      <c r="I838" s="382" t="str">
        <f>IF(X838="ADMITIDO","ADMITIDO",IF(X838="CANCELADA","CANCELADA",IF(H838="","",IFERROR(_xlfn.XLOOKUP(H838,Listas!I:I,Listas!J:J),"OUTROS"))))</f>
        <v>CANCELADA</v>
      </c>
      <c r="J838" s="428" t="s">
        <v>268</v>
      </c>
      <c r="K838" s="428" t="s">
        <v>986</v>
      </c>
      <c r="L838" s="428" t="s">
        <v>2359</v>
      </c>
      <c r="M838" s="428"/>
      <c r="N838" s="428" t="s">
        <v>63</v>
      </c>
      <c r="O838" s="308" t="s">
        <v>56</v>
      </c>
      <c r="P838" s="308" t="s">
        <v>35</v>
      </c>
      <c r="Q838" s="308" t="s">
        <v>176</v>
      </c>
      <c r="R838" s="431"/>
      <c r="S838" s="432"/>
      <c r="T838" s="352"/>
      <c r="U838" s="327"/>
      <c r="V838" s="315"/>
      <c r="W838" s="310"/>
      <c r="X838" s="308"/>
      <c r="Y838" s="309"/>
      <c r="Z838" s="309"/>
      <c r="AA838" s="316"/>
      <c r="AB838" s="351"/>
      <c r="AC838" s="351" t="s">
        <v>2276</v>
      </c>
      <c r="AD838" s="316">
        <v>0</v>
      </c>
    </row>
    <row r="839" spans="1:30" ht="15" customHeight="1">
      <c r="A839" s="374">
        <v>30707</v>
      </c>
      <c r="B839" s="376">
        <v>1</v>
      </c>
      <c r="C839" s="375">
        <v>46183</v>
      </c>
      <c r="D839" s="367">
        <f t="shared" ca="1" si="36"/>
        <v>44</v>
      </c>
      <c r="E839" s="368" t="str">
        <f t="shared" si="37"/>
        <v>ADMITIDO</v>
      </c>
      <c r="F839" s="371" t="s">
        <v>28</v>
      </c>
      <c r="G839" s="369" t="s">
        <v>43</v>
      </c>
      <c r="H839" s="117" t="s">
        <v>40</v>
      </c>
      <c r="I839" s="146" t="str">
        <f>IF(X839="ADMITIDO","ADMITIDO",IF(X839="CANCELADA","CANCELADA",IF(H839="","",IFERROR(_xlfn.XLOOKUP(H839,Listas!I:I,Listas!J:J),"OUTROS"))))</f>
        <v>ADMITIDO</v>
      </c>
      <c r="J839" s="414" t="s">
        <v>2362</v>
      </c>
      <c r="K839" s="415" t="s">
        <v>1808</v>
      </c>
      <c r="L839" s="415" t="s">
        <v>286</v>
      </c>
      <c r="M839" s="415"/>
      <c r="N839" s="415" t="s">
        <v>33</v>
      </c>
      <c r="O839" s="303" t="s">
        <v>34</v>
      </c>
      <c r="P839" s="303" t="s">
        <v>48</v>
      </c>
      <c r="Q839" s="303" t="s">
        <v>131</v>
      </c>
      <c r="R839" s="418"/>
      <c r="S839" s="419" t="s">
        <v>2363</v>
      </c>
      <c r="T839" s="345">
        <v>11974905176</v>
      </c>
      <c r="U839" s="326" t="s">
        <v>50</v>
      </c>
      <c r="V839" s="313">
        <v>46183</v>
      </c>
      <c r="W839" s="302" t="s">
        <v>2364</v>
      </c>
      <c r="X839" s="303" t="s">
        <v>40</v>
      </c>
      <c r="Y839" s="304">
        <v>46188</v>
      </c>
      <c r="Z839" s="304">
        <v>46188</v>
      </c>
      <c r="AA839" s="314">
        <v>914439</v>
      </c>
      <c r="AB839" s="346"/>
      <c r="AC839" s="346"/>
      <c r="AD839" s="314">
        <v>0</v>
      </c>
    </row>
    <row r="840" spans="1:30" ht="15" customHeight="1">
      <c r="A840" s="237">
        <v>30680</v>
      </c>
      <c r="B840" s="121">
        <v>1</v>
      </c>
      <c r="C840" s="238">
        <v>46183</v>
      </c>
      <c r="D840" s="105">
        <f t="shared" ca="1" si="36"/>
        <v>44</v>
      </c>
      <c r="E840" s="138" t="str">
        <f t="shared" si="37"/>
        <v>ADMITIDO</v>
      </c>
      <c r="F840" s="230" t="s">
        <v>42</v>
      </c>
      <c r="G840" s="147" t="s">
        <v>69</v>
      </c>
      <c r="H840" s="117" t="s">
        <v>40</v>
      </c>
      <c r="I840" s="117" t="str">
        <f>IF(X840="ADMITIDO","ADMITIDO",IF(X840="CANCELADA","CANCELADA",IF(H840="","",IFERROR(_xlfn.XLOOKUP(H840,Listas!I:I,Listas!J:J),"OUTROS"))))</f>
        <v>ADMITIDO</v>
      </c>
      <c r="J840" s="240" t="s">
        <v>53</v>
      </c>
      <c r="K840" s="240" t="s">
        <v>70</v>
      </c>
      <c r="L840" s="240" t="s">
        <v>639</v>
      </c>
      <c r="M840" s="240"/>
      <c r="N840" s="240" t="s">
        <v>63</v>
      </c>
      <c r="O840" s="119" t="s">
        <v>34</v>
      </c>
      <c r="P840" s="119" t="s">
        <v>57</v>
      </c>
      <c r="Q840" s="119" t="s">
        <v>432</v>
      </c>
      <c r="R840" s="234"/>
      <c r="S840" s="273"/>
      <c r="T840" s="274">
        <v>11921352566</v>
      </c>
      <c r="U840" s="73" t="s">
        <v>67</v>
      </c>
      <c r="V840" s="216">
        <v>46203</v>
      </c>
      <c r="W840" s="118" t="s">
        <v>2365</v>
      </c>
      <c r="X840" s="119" t="s">
        <v>40</v>
      </c>
      <c r="Y840" s="120">
        <v>46206</v>
      </c>
      <c r="Z840" s="120">
        <v>46209</v>
      </c>
      <c r="AA840" s="244">
        <v>146184</v>
      </c>
      <c r="AB840" s="241"/>
      <c r="AC840" s="241"/>
      <c r="AD840" s="244">
        <v>0</v>
      </c>
    </row>
    <row r="841" spans="1:30" ht="15" customHeight="1">
      <c r="A841" s="396">
        <v>30693</v>
      </c>
      <c r="B841" s="405">
        <v>1</v>
      </c>
      <c r="C841" s="404">
        <v>46183</v>
      </c>
      <c r="D841" s="386">
        <f t="shared" ca="1" si="36"/>
        <v>44</v>
      </c>
      <c r="E841" s="170" t="str">
        <f t="shared" si="37"/>
        <v>ADMITIDO</v>
      </c>
      <c r="F841" s="397" t="s">
        <v>42</v>
      </c>
      <c r="G841" s="392" t="s">
        <v>60</v>
      </c>
      <c r="H841" s="117" t="s">
        <v>40</v>
      </c>
      <c r="I841" s="139" t="str">
        <f>IF(X841="ADMITIDO","ADMITIDO",IF(X841="CANCELADA","CANCELADA",IF(H841="","",IFERROR(_xlfn.XLOOKUP(H841,Listas!I:I,Listas!J:J),"OUTROS"))))</f>
        <v>ADMITIDO</v>
      </c>
      <c r="J841" s="427" t="s">
        <v>53</v>
      </c>
      <c r="K841" s="428" t="s">
        <v>61</v>
      </c>
      <c r="L841" s="428" t="s">
        <v>62</v>
      </c>
      <c r="M841" s="428"/>
      <c r="N841" s="428" t="s">
        <v>63</v>
      </c>
      <c r="O841" s="308" t="s">
        <v>34</v>
      </c>
      <c r="P841" s="308" t="s">
        <v>219</v>
      </c>
      <c r="Q841" s="308" t="s">
        <v>244</v>
      </c>
      <c r="R841" s="431"/>
      <c r="S841" s="432" t="s">
        <v>1533</v>
      </c>
      <c r="T841" s="352" t="s">
        <v>2366</v>
      </c>
      <c r="U841" s="327" t="s">
        <v>109</v>
      </c>
      <c r="V841" s="315">
        <v>46183</v>
      </c>
      <c r="W841" s="310" t="s">
        <v>2367</v>
      </c>
      <c r="X841" s="308" t="s">
        <v>40</v>
      </c>
      <c r="Y841" s="309">
        <v>46185</v>
      </c>
      <c r="Z841" s="309">
        <v>46188</v>
      </c>
      <c r="AA841" s="316">
        <v>146094</v>
      </c>
      <c r="AB841" s="351"/>
      <c r="AC841" s="351"/>
      <c r="AD841" s="316">
        <v>0</v>
      </c>
    </row>
    <row r="842" spans="1:30" ht="15" customHeight="1">
      <c r="A842" s="374">
        <v>30683</v>
      </c>
      <c r="B842" s="376">
        <v>1</v>
      </c>
      <c r="C842" s="375">
        <v>46183</v>
      </c>
      <c r="D842" s="367">
        <f t="shared" ca="1" si="36"/>
        <v>44</v>
      </c>
      <c r="E842" s="368" t="str">
        <f t="shared" si="37"/>
        <v>ADMITIDO</v>
      </c>
      <c r="F842" s="371" t="s">
        <v>42</v>
      </c>
      <c r="G842" s="369" t="s">
        <v>43</v>
      </c>
      <c r="H842" s="117" t="s">
        <v>40</v>
      </c>
      <c r="I842" s="146" t="str">
        <f>IF(X842="ADMITIDO","ADMITIDO",IF(X842="CANCELADA","CANCELADA",IF(H842="","",IFERROR(_xlfn.XLOOKUP(H842,Listas!I:I,Listas!J:J),"OUTROS"))))</f>
        <v>ADMITIDO</v>
      </c>
      <c r="J842" s="414" t="s">
        <v>53</v>
      </c>
      <c r="K842" s="415" t="s">
        <v>45</v>
      </c>
      <c r="L842" s="415" t="s">
        <v>218</v>
      </c>
      <c r="M842" s="415"/>
      <c r="N842" s="415" t="s">
        <v>97</v>
      </c>
      <c r="O842" s="303" t="s">
        <v>34</v>
      </c>
      <c r="P842" s="303" t="s">
        <v>219</v>
      </c>
      <c r="Q842" s="303" t="s">
        <v>220</v>
      </c>
      <c r="R842" s="418"/>
      <c r="S842" s="419" t="s">
        <v>2368</v>
      </c>
      <c r="T842" s="345">
        <v>11952389189</v>
      </c>
      <c r="U842" s="326" t="s">
        <v>50</v>
      </c>
      <c r="V842" s="313">
        <v>46183</v>
      </c>
      <c r="W842" s="302" t="s">
        <v>2369</v>
      </c>
      <c r="X842" s="303" t="s">
        <v>40</v>
      </c>
      <c r="Y842" s="304">
        <v>46190</v>
      </c>
      <c r="Z842" s="304">
        <v>46190</v>
      </c>
      <c r="AA842" s="314">
        <v>146100</v>
      </c>
      <c r="AB842" s="346" t="s">
        <v>2370</v>
      </c>
      <c r="AC842" s="346"/>
      <c r="AD842" s="314">
        <v>0</v>
      </c>
    </row>
    <row r="843" spans="1:30" ht="15" customHeight="1">
      <c r="A843" s="237">
        <v>30703</v>
      </c>
      <c r="B843" s="121">
        <v>1</v>
      </c>
      <c r="C843" s="238">
        <v>46183</v>
      </c>
      <c r="D843" s="105">
        <f t="shared" ca="1" si="36"/>
        <v>44</v>
      </c>
      <c r="E843" s="138" t="str">
        <f t="shared" si="37"/>
        <v>ADMITIDO</v>
      </c>
      <c r="F843" s="230" t="s">
        <v>42</v>
      </c>
      <c r="G843" s="147" t="s">
        <v>102</v>
      </c>
      <c r="H843" s="117" t="s">
        <v>40</v>
      </c>
      <c r="I843" s="117" t="str">
        <f>IF(X843="ADMITIDO","ADMITIDO",IF(X843="CANCELADA","CANCELADA",IF(H843="","",IFERROR(_xlfn.XLOOKUP(H843,Listas!I:I,Listas!J:J),"OUTROS"))))</f>
        <v>ADMITIDO</v>
      </c>
      <c r="J843" s="240" t="s">
        <v>193</v>
      </c>
      <c r="K843" s="240" t="s">
        <v>103</v>
      </c>
      <c r="L843" s="240" t="s">
        <v>194</v>
      </c>
      <c r="M843" s="240"/>
      <c r="N843" s="240" t="s">
        <v>63</v>
      </c>
      <c r="O843" s="119" t="s">
        <v>34</v>
      </c>
      <c r="P843" s="119" t="s">
        <v>57</v>
      </c>
      <c r="Q843" s="119" t="s">
        <v>151</v>
      </c>
      <c r="R843" s="234"/>
      <c r="S843" s="273"/>
      <c r="T843" s="274"/>
      <c r="U843" s="73" t="s">
        <v>109</v>
      </c>
      <c r="V843" s="216">
        <v>46197</v>
      </c>
      <c r="W843" s="118" t="s">
        <v>2371</v>
      </c>
      <c r="X843" s="117" t="s">
        <v>40</v>
      </c>
      <c r="Y843" s="120">
        <v>46205</v>
      </c>
      <c r="Z843" s="120">
        <v>46206</v>
      </c>
      <c r="AA843" s="244">
        <v>914574</v>
      </c>
      <c r="AB843" s="241"/>
      <c r="AC843" s="241"/>
      <c r="AD843" s="244">
        <v>0</v>
      </c>
    </row>
    <row r="844" spans="1:30" ht="15" customHeight="1">
      <c r="A844" s="402">
        <v>30679</v>
      </c>
      <c r="B844" s="406">
        <v>1</v>
      </c>
      <c r="C844" s="403">
        <v>46183</v>
      </c>
      <c r="D844" s="380">
        <f t="shared" ca="1" si="36"/>
        <v>44</v>
      </c>
      <c r="E844" s="381" t="str">
        <f t="shared" si="37"/>
        <v>ADMITIDO</v>
      </c>
      <c r="F844" s="395" t="s">
        <v>42</v>
      </c>
      <c r="G844" s="390" t="s">
        <v>167</v>
      </c>
      <c r="H844" s="117" t="s">
        <v>40</v>
      </c>
      <c r="I844" s="382" t="str">
        <f>IF(X844="ADMITIDO","ADMITIDO",IF(X844="CANCELADA","CANCELADA",IF(H844="","",IFERROR(_xlfn.XLOOKUP(H844,Listas!I:I,Listas!J:J),"OUTROS"))))</f>
        <v>ADMITIDO</v>
      </c>
      <c r="J844" s="464" t="s">
        <v>53</v>
      </c>
      <c r="K844" s="435" t="s">
        <v>699</v>
      </c>
      <c r="L844" s="435" t="s">
        <v>2372</v>
      </c>
      <c r="M844" s="435"/>
      <c r="N844" s="435" t="s">
        <v>97</v>
      </c>
      <c r="O844" s="306" t="s">
        <v>34</v>
      </c>
      <c r="P844" s="306" t="s">
        <v>48</v>
      </c>
      <c r="Q844" s="306" t="s">
        <v>120</v>
      </c>
      <c r="R844" s="436"/>
      <c r="S844" s="437"/>
      <c r="T844" s="473"/>
      <c r="U844" s="189" t="s">
        <v>132</v>
      </c>
      <c r="V844" s="328">
        <v>46181</v>
      </c>
      <c r="W844" s="305" t="s">
        <v>2373</v>
      </c>
      <c r="X844" s="306" t="s">
        <v>40</v>
      </c>
      <c r="Y844" s="307">
        <v>46202</v>
      </c>
      <c r="Z844" s="307">
        <v>46204</v>
      </c>
      <c r="AA844" s="329">
        <v>146131</v>
      </c>
      <c r="AB844" s="474"/>
      <c r="AC844" s="439"/>
      <c r="AD844" s="329">
        <v>0</v>
      </c>
    </row>
    <row r="845" spans="1:30" ht="15" customHeight="1">
      <c r="A845" s="237">
        <v>30691</v>
      </c>
      <c r="B845" s="121">
        <v>1</v>
      </c>
      <c r="C845" s="238">
        <v>46183</v>
      </c>
      <c r="D845" s="105">
        <f t="shared" ca="1" si="36"/>
        <v>44</v>
      </c>
      <c r="E845" s="138" t="str">
        <f t="shared" si="37"/>
        <v>ADMITIDO</v>
      </c>
      <c r="F845" s="230" t="s">
        <v>28</v>
      </c>
      <c r="G845" s="147" t="s">
        <v>167</v>
      </c>
      <c r="H845" s="382" t="s">
        <v>40</v>
      </c>
      <c r="I845" s="117" t="str">
        <f>IF(X845="ADMITIDO","ADMITIDO",IF(X845="CANCELADA","CANCELADA",IF(H845="","",IFERROR(_xlfn.XLOOKUP(H845,Listas!I:I,Listas!J:J),"OUTROS"))))</f>
        <v>ADMITIDO</v>
      </c>
      <c r="J845" s="240" t="s">
        <v>268</v>
      </c>
      <c r="K845" s="240" t="s">
        <v>699</v>
      </c>
      <c r="L845" s="240" t="s">
        <v>2372</v>
      </c>
      <c r="M845" s="240"/>
      <c r="N845" s="240" t="s">
        <v>97</v>
      </c>
      <c r="O845" s="119" t="s">
        <v>34</v>
      </c>
      <c r="P845" s="119" t="s">
        <v>35</v>
      </c>
      <c r="Q845" s="119" t="s">
        <v>287</v>
      </c>
      <c r="R845" s="234"/>
      <c r="S845" s="273"/>
      <c r="T845" s="274"/>
      <c r="U845" s="73" t="s">
        <v>132</v>
      </c>
      <c r="V845" s="216">
        <v>46181</v>
      </c>
      <c r="W845" s="118" t="s">
        <v>2374</v>
      </c>
      <c r="X845" s="117" t="s">
        <v>40</v>
      </c>
      <c r="Y845" s="120">
        <v>46203</v>
      </c>
      <c r="Z845" s="120">
        <v>46204</v>
      </c>
      <c r="AA845" s="244">
        <v>914487</v>
      </c>
      <c r="AB845" s="241"/>
      <c r="AC845" s="241"/>
      <c r="AD845" s="244">
        <v>0</v>
      </c>
    </row>
    <row r="846" spans="1:30" ht="15" customHeight="1">
      <c r="A846" s="402">
        <v>30691</v>
      </c>
      <c r="B846" s="406">
        <v>1</v>
      </c>
      <c r="C846" s="403">
        <v>46183</v>
      </c>
      <c r="D846" s="380">
        <f t="shared" ca="1" si="36"/>
        <v>44</v>
      </c>
      <c r="E846" s="381" t="str">
        <f t="shared" si="37"/>
        <v>ADMITIDO</v>
      </c>
      <c r="F846" s="395" t="s">
        <v>28</v>
      </c>
      <c r="G846" s="390" t="s">
        <v>167</v>
      </c>
      <c r="H846" s="382" t="s">
        <v>40</v>
      </c>
      <c r="I846" s="382" t="str">
        <f>IF(X846="ADMITIDO","ADMITIDO",IF(X846="CANCELADA","CANCELADA",IF(H846="","",IFERROR(_xlfn.XLOOKUP(H846,Listas!I:I,Listas!J:J),"OUTROS"))))</f>
        <v>ADMITIDO</v>
      </c>
      <c r="J846" s="464" t="s">
        <v>268</v>
      </c>
      <c r="K846" s="435" t="s">
        <v>699</v>
      </c>
      <c r="L846" s="435" t="s">
        <v>2372</v>
      </c>
      <c r="M846" s="435"/>
      <c r="N846" s="435" t="s">
        <v>97</v>
      </c>
      <c r="O846" s="306" t="s">
        <v>34</v>
      </c>
      <c r="P846" s="306" t="s">
        <v>35</v>
      </c>
      <c r="Q846" s="306" t="s">
        <v>287</v>
      </c>
      <c r="R846" s="436"/>
      <c r="S846" s="437"/>
      <c r="T846" s="473"/>
      <c r="U846" s="189" t="s">
        <v>132</v>
      </c>
      <c r="V846" s="328">
        <v>46181</v>
      </c>
      <c r="W846" s="305" t="s">
        <v>2375</v>
      </c>
      <c r="X846" s="306" t="s">
        <v>40</v>
      </c>
      <c r="Y846" s="307">
        <v>46202</v>
      </c>
      <c r="Z846" s="307">
        <v>46204</v>
      </c>
      <c r="AA846" s="329">
        <v>914486</v>
      </c>
      <c r="AB846" s="474"/>
      <c r="AC846" s="439"/>
      <c r="AD846" s="329">
        <v>0</v>
      </c>
    </row>
    <row r="847" spans="1:30" ht="15" customHeight="1">
      <c r="A847" s="237">
        <v>30692</v>
      </c>
      <c r="B847" s="121">
        <v>1</v>
      </c>
      <c r="C847" s="238">
        <v>46183</v>
      </c>
      <c r="D847" s="105">
        <f t="shared" ca="1" si="36"/>
        <v>44</v>
      </c>
      <c r="E847" s="138" t="str">
        <f>IF(X847="ADMITIDO","ADMITIDO",IF(X847="CANCELADA","CANCELADA",IF(H847="","",IF(H847="ADMITIDO","ADMITIDO",IF(H847="CANCELADA","CANCELADA",IF(OR(H847="ANALISE CANCELAMENTO",H847="ANÁLISE CANCELAMENTO"),"EM ANÁLISE",IF(D847="","",IF(D847&lt;=7,"NO PRAZO",IF(D847&lt;=14,"ATENÇÃO","CRÍTICO")))))))))</f>
        <v>CANCELADA</v>
      </c>
      <c r="F847" s="230" t="s">
        <v>28</v>
      </c>
      <c r="G847" s="147" t="s">
        <v>167</v>
      </c>
      <c r="H847" s="117" t="s">
        <v>52</v>
      </c>
      <c r="I847" s="117" t="str">
        <f>IF(X847="ADMITIDO","ADMITIDO",IF(X847="CANCELADA","CANCELADA",IF(H847="","",IFERROR(_xlfn.XLOOKUP(H847,Listas!I:I,Listas!J:J),"OUTROS"))))</f>
        <v>CANCELADA</v>
      </c>
      <c r="J847" s="240" t="s">
        <v>268</v>
      </c>
      <c r="K847" s="240" t="s">
        <v>699</v>
      </c>
      <c r="L847" s="240" t="s">
        <v>2372</v>
      </c>
      <c r="M847" s="240"/>
      <c r="N847" s="240" t="s">
        <v>97</v>
      </c>
      <c r="O847" s="119" t="s">
        <v>56</v>
      </c>
      <c r="P847" s="119" t="s">
        <v>35</v>
      </c>
      <c r="Q847" s="119" t="s">
        <v>357</v>
      </c>
      <c r="R847" s="234"/>
      <c r="S847" s="273"/>
      <c r="T847" s="274"/>
      <c r="U847" s="73"/>
      <c r="V847" s="216"/>
      <c r="W847" s="118"/>
      <c r="X847" s="117" t="s">
        <v>52</v>
      </c>
      <c r="Y847" s="120"/>
      <c r="Z847" s="120"/>
      <c r="AA847" s="244"/>
      <c r="AB847" s="118" t="s">
        <v>2376</v>
      </c>
      <c r="AC847" s="241"/>
      <c r="AD847" s="244">
        <v>1</v>
      </c>
    </row>
    <row r="848" spans="1:30" ht="15" customHeight="1">
      <c r="A848" s="237">
        <v>30692</v>
      </c>
      <c r="B848" s="121">
        <v>1</v>
      </c>
      <c r="C848" s="238">
        <v>46183</v>
      </c>
      <c r="D848" s="105">
        <f t="shared" ca="1" si="36"/>
        <v>44</v>
      </c>
      <c r="E848" s="138" t="str">
        <f>IF(X848="ADMITIDO","ADMITIDO",IF(X848="CANCELADA","CANCELADA",IF(H848="","",IF(H848="ADMITIDO","ADMITIDO",IF(H848="CANCELADA","CANCELADA",IF(OR(H848="ANALISE CANCELAMENTO",H848="ANÁLISE CANCELAMENTO"),"EM ANÁLISE",IF(D848="","",IF(D848&lt;=7,"NO PRAZO",IF(D848&lt;=14,"ATENÇÃO","CRÍTICO")))))))))</f>
        <v>ADMITIDO</v>
      </c>
      <c r="F848" s="230" t="s">
        <v>28</v>
      </c>
      <c r="G848" s="147" t="s">
        <v>167</v>
      </c>
      <c r="H848" s="117" t="s">
        <v>40</v>
      </c>
      <c r="I848" s="117" t="str">
        <f>IF(X848="ADMITIDO","ADMITIDO",IF(X848="CANCELADA","CANCELADA",IF(H848="","",IFERROR(_xlfn.XLOOKUP(H848,Listas!I:I,Listas!J:J),"OUTROS"))))</f>
        <v>ADMITIDO</v>
      </c>
      <c r="J848" s="240" t="s">
        <v>268</v>
      </c>
      <c r="K848" s="240" t="s">
        <v>699</v>
      </c>
      <c r="L848" s="240" t="s">
        <v>2372</v>
      </c>
      <c r="M848" s="240"/>
      <c r="N848" s="240" t="s">
        <v>97</v>
      </c>
      <c r="O848" s="119" t="s">
        <v>56</v>
      </c>
      <c r="P848" s="119" t="s">
        <v>35</v>
      </c>
      <c r="Q848" s="119" t="s">
        <v>357</v>
      </c>
      <c r="R848" s="234"/>
      <c r="S848" s="273"/>
      <c r="T848" s="274"/>
      <c r="U848" s="73" t="s">
        <v>132</v>
      </c>
      <c r="V848" s="216">
        <v>46185</v>
      </c>
      <c r="W848" s="118" t="s">
        <v>2377</v>
      </c>
      <c r="X848" s="119" t="s">
        <v>40</v>
      </c>
      <c r="Y848" s="120">
        <v>46203</v>
      </c>
      <c r="Z848" s="120">
        <v>46204</v>
      </c>
      <c r="AA848" s="244">
        <v>914489</v>
      </c>
      <c r="AB848" s="241"/>
      <c r="AC848" s="241"/>
      <c r="AD848" s="244">
        <v>0</v>
      </c>
    </row>
    <row r="849" spans="1:30" ht="15" customHeight="1">
      <c r="A849" s="237">
        <v>30687</v>
      </c>
      <c r="B849" s="121">
        <v>1</v>
      </c>
      <c r="C849" s="238">
        <v>46183</v>
      </c>
      <c r="D849" s="105">
        <f t="shared" ca="1" si="36"/>
        <v>44</v>
      </c>
      <c r="E849" s="138" t="str">
        <f>IF(X849="ADMITIDO","ADMITIDO",IF(X849="CANCELADA","CANCELADA",IF(H849="","",IF(H849="ADMITIDO","ADMITIDO",IF(H849="CANCELADA","CANCELADA",IF(OR(H849="ANALISE CANCELAMENTO",H849="ANÁLISE CANCELAMENTO"),"EM ANÁLISE",IF(D849="","",IF(D849&lt;=7,"NO PRAZO",IF(D849&lt;=14,"ATENÇÃO","CRÍTICO")))))))))</f>
        <v>ADMITIDO</v>
      </c>
      <c r="F849" s="230" t="s">
        <v>171</v>
      </c>
      <c r="G849" s="147" t="s">
        <v>167</v>
      </c>
      <c r="H849" s="117" t="s">
        <v>40</v>
      </c>
      <c r="I849" s="117" t="str">
        <f>IF(X849="ADMITIDO","ADMITIDO",IF(X849="CANCELADA","CANCELADA",IF(H849="","",IFERROR(_xlfn.XLOOKUP(H849,Listas!I:I,Listas!J:J),"OUTROS"))))</f>
        <v>ADMITIDO</v>
      </c>
      <c r="J849" s="240" t="s">
        <v>514</v>
      </c>
      <c r="K849" s="240" t="s">
        <v>699</v>
      </c>
      <c r="L849" s="240" t="s">
        <v>2372</v>
      </c>
      <c r="M849" s="240"/>
      <c r="N849" s="240" t="s">
        <v>97</v>
      </c>
      <c r="O849" s="119" t="s">
        <v>34</v>
      </c>
      <c r="P849" s="119" t="s">
        <v>35</v>
      </c>
      <c r="Q849" s="119" t="s">
        <v>287</v>
      </c>
      <c r="R849" s="234"/>
      <c r="S849" s="273"/>
      <c r="T849" s="274"/>
      <c r="U849" s="73" t="s">
        <v>132</v>
      </c>
      <c r="V849" s="216">
        <v>46184</v>
      </c>
      <c r="W849" s="118" t="s">
        <v>2378</v>
      </c>
      <c r="X849" s="119" t="s">
        <v>40</v>
      </c>
      <c r="Y849" s="120">
        <v>46203</v>
      </c>
      <c r="Z849" s="120">
        <v>46203</v>
      </c>
      <c r="AA849" s="244">
        <v>83350</v>
      </c>
      <c r="AB849" s="241"/>
      <c r="AC849" s="241"/>
      <c r="AD849" s="244">
        <v>0</v>
      </c>
    </row>
    <row r="850" spans="1:30" ht="15" customHeight="1">
      <c r="A850" s="396">
        <v>30687</v>
      </c>
      <c r="B850" s="405">
        <v>1</v>
      </c>
      <c r="C850" s="404">
        <v>46183</v>
      </c>
      <c r="D850" s="386">
        <f t="shared" ca="1" si="36"/>
        <v>44</v>
      </c>
      <c r="E850" s="170" t="str">
        <f t="shared" si="37"/>
        <v>ADMITIDO</v>
      </c>
      <c r="F850" s="397" t="s">
        <v>171</v>
      </c>
      <c r="G850" s="392" t="s">
        <v>167</v>
      </c>
      <c r="H850" s="139" t="s">
        <v>40</v>
      </c>
      <c r="I850" s="139" t="str">
        <f>IF(X850="ADMITIDO","ADMITIDO",IF(X850="CANCELADA","CANCELADA",IF(H850="","",IFERROR(_xlfn.XLOOKUP(H850,Listas!I:I,Listas!J:J),"OUTROS"))))</f>
        <v>ADMITIDO</v>
      </c>
      <c r="J850" s="427" t="s">
        <v>514</v>
      </c>
      <c r="K850" s="428" t="s">
        <v>699</v>
      </c>
      <c r="L850" s="428" t="s">
        <v>2372</v>
      </c>
      <c r="M850" s="428"/>
      <c r="N850" s="428" t="s">
        <v>97</v>
      </c>
      <c r="O850" s="308" t="s">
        <v>34</v>
      </c>
      <c r="P850" s="308" t="s">
        <v>35</v>
      </c>
      <c r="Q850" s="308" t="s">
        <v>287</v>
      </c>
      <c r="R850" s="431"/>
      <c r="S850" s="432"/>
      <c r="T850" s="349"/>
      <c r="U850" s="327" t="s">
        <v>132</v>
      </c>
      <c r="V850" s="315">
        <v>46181</v>
      </c>
      <c r="W850" s="310" t="s">
        <v>2379</v>
      </c>
      <c r="X850" s="308" t="s">
        <v>40</v>
      </c>
      <c r="Y850" s="309">
        <v>46202</v>
      </c>
      <c r="Z850" s="309">
        <v>46204</v>
      </c>
      <c r="AA850" s="316">
        <v>83349</v>
      </c>
      <c r="AB850" s="350"/>
      <c r="AC850" s="351"/>
      <c r="AD850" s="316">
        <v>0</v>
      </c>
    </row>
    <row r="851" spans="1:30" ht="15" customHeight="1">
      <c r="A851" s="374">
        <v>30688</v>
      </c>
      <c r="B851" s="376">
        <v>1</v>
      </c>
      <c r="C851" s="375">
        <v>46183</v>
      </c>
      <c r="D851" s="367">
        <f t="shared" ca="1" si="36"/>
        <v>44</v>
      </c>
      <c r="E851" s="368" t="str">
        <f t="shared" si="37"/>
        <v>ADMITIDO</v>
      </c>
      <c r="F851" s="371" t="s">
        <v>171</v>
      </c>
      <c r="G851" s="369" t="s">
        <v>167</v>
      </c>
      <c r="H851" s="146" t="s">
        <v>40</v>
      </c>
      <c r="I851" s="146" t="str">
        <f>IF(X851="ADMITIDO","ADMITIDO",IF(X851="CANCELADA","CANCELADA",IF(H851="","",IFERROR(_xlfn.XLOOKUP(H851,Listas!I:I,Listas!J:J),"OUTROS"))))</f>
        <v>ADMITIDO</v>
      </c>
      <c r="J851" s="414" t="s">
        <v>514</v>
      </c>
      <c r="K851" s="415" t="s">
        <v>699</v>
      </c>
      <c r="L851" s="415" t="s">
        <v>2372</v>
      </c>
      <c r="M851" s="415"/>
      <c r="N851" s="415" t="s">
        <v>97</v>
      </c>
      <c r="O851" s="303" t="s">
        <v>56</v>
      </c>
      <c r="P851" s="303" t="s">
        <v>35</v>
      </c>
      <c r="Q851" s="303" t="s">
        <v>357</v>
      </c>
      <c r="R851" s="418"/>
      <c r="S851" s="419"/>
      <c r="T851" s="347"/>
      <c r="U851" s="326" t="s">
        <v>132</v>
      </c>
      <c r="V851" s="313">
        <v>46192</v>
      </c>
      <c r="W851" s="302" t="s">
        <v>2380</v>
      </c>
      <c r="X851" s="303" t="s">
        <v>40</v>
      </c>
      <c r="Y851" s="304">
        <v>46202</v>
      </c>
      <c r="Z851" s="304">
        <v>46202</v>
      </c>
      <c r="AA851" s="314">
        <v>83355</v>
      </c>
      <c r="AB851" s="348"/>
      <c r="AC851" s="346"/>
      <c r="AD851" s="314">
        <v>0</v>
      </c>
    </row>
    <row r="852" spans="1:30" ht="15" customHeight="1">
      <c r="A852" s="237">
        <v>30688</v>
      </c>
      <c r="B852" s="121">
        <v>1</v>
      </c>
      <c r="C852" s="238">
        <v>46183</v>
      </c>
      <c r="D852" s="105">
        <f t="shared" ca="1" si="36"/>
        <v>44</v>
      </c>
      <c r="E852" s="138" t="str">
        <f t="shared" si="37"/>
        <v>ADMITIDO</v>
      </c>
      <c r="F852" s="230" t="s">
        <v>171</v>
      </c>
      <c r="G852" s="147" t="s">
        <v>167</v>
      </c>
      <c r="H852" s="117" t="s">
        <v>40</v>
      </c>
      <c r="I852" s="117" t="str">
        <f>IF(X852="ADMITIDO","ADMITIDO",IF(X852="CANCELADA","CANCELADA",IF(H852="","",IFERROR(_xlfn.XLOOKUP(H852,Listas!I:I,Listas!J:J),"OUTROS"))))</f>
        <v>ADMITIDO</v>
      </c>
      <c r="J852" s="240" t="s">
        <v>514</v>
      </c>
      <c r="K852" s="240" t="s">
        <v>699</v>
      </c>
      <c r="L852" s="240" t="s">
        <v>2372</v>
      </c>
      <c r="M852" s="240"/>
      <c r="N852" s="240" t="s">
        <v>97</v>
      </c>
      <c r="O852" s="119" t="s">
        <v>56</v>
      </c>
      <c r="P852" s="119" t="s">
        <v>35</v>
      </c>
      <c r="Q852" s="119" t="s">
        <v>357</v>
      </c>
      <c r="R852" s="234"/>
      <c r="S852" s="273"/>
      <c r="T852" s="274"/>
      <c r="U852" s="73" t="s">
        <v>132</v>
      </c>
      <c r="V852" s="216">
        <v>46182</v>
      </c>
      <c r="W852" s="118" t="s">
        <v>2381</v>
      </c>
      <c r="X852" s="119" t="s">
        <v>40</v>
      </c>
      <c r="Y852" s="120">
        <v>46203</v>
      </c>
      <c r="Z852" s="120">
        <v>46204</v>
      </c>
      <c r="AA852" s="244">
        <v>83351</v>
      </c>
      <c r="AB852" s="241"/>
      <c r="AC852" s="241"/>
      <c r="AD852" s="244">
        <v>0</v>
      </c>
    </row>
    <row r="853" spans="1:30" ht="15" customHeight="1">
      <c r="A853" s="396">
        <v>30678</v>
      </c>
      <c r="B853" s="405">
        <v>1</v>
      </c>
      <c r="C853" s="404">
        <v>46183</v>
      </c>
      <c r="D853" s="386">
        <f t="shared" ca="1" si="36"/>
        <v>44</v>
      </c>
      <c r="E853" s="170" t="str">
        <f t="shared" si="37"/>
        <v>ADMITIDO</v>
      </c>
      <c r="F853" s="397" t="s">
        <v>42</v>
      </c>
      <c r="G853" s="392" t="s">
        <v>167</v>
      </c>
      <c r="H853" s="139" t="s">
        <v>40</v>
      </c>
      <c r="I853" s="139" t="str">
        <f>IF(X853="ADMITIDO","ADMITIDO",IF(X853="CANCELADA","CANCELADA",IF(H853="","",IFERROR(_xlfn.XLOOKUP(H853,Listas!I:I,Listas!J:J),"OUTROS"))))</f>
        <v>ADMITIDO</v>
      </c>
      <c r="J853" s="427" t="s">
        <v>53</v>
      </c>
      <c r="K853" s="428" t="s">
        <v>699</v>
      </c>
      <c r="L853" s="428" t="s">
        <v>2382</v>
      </c>
      <c r="M853" s="428"/>
      <c r="N853" s="428" t="s">
        <v>97</v>
      </c>
      <c r="O853" s="308" t="s">
        <v>34</v>
      </c>
      <c r="P853" s="308" t="s">
        <v>48</v>
      </c>
      <c r="Q853" s="308" t="s">
        <v>120</v>
      </c>
      <c r="R853" s="431"/>
      <c r="S853" s="432"/>
      <c r="T853" s="352" t="s">
        <v>2383</v>
      </c>
      <c r="U853" s="327" t="s">
        <v>67</v>
      </c>
      <c r="V853" s="315">
        <v>46190</v>
      </c>
      <c r="W853" s="310" t="s">
        <v>2384</v>
      </c>
      <c r="X853" s="308" t="s">
        <v>40</v>
      </c>
      <c r="Y853" s="309">
        <v>46199</v>
      </c>
      <c r="Z853" s="309">
        <v>46202</v>
      </c>
      <c r="AA853" s="316">
        <v>146139</v>
      </c>
      <c r="AB853" s="351" t="s">
        <v>2385</v>
      </c>
      <c r="AC853" s="351"/>
      <c r="AD853" s="316">
        <v>0</v>
      </c>
    </row>
    <row r="854" spans="1:30" ht="15" customHeight="1">
      <c r="A854" s="237">
        <v>30689</v>
      </c>
      <c r="B854" s="121">
        <v>1</v>
      </c>
      <c r="C854" s="238">
        <v>46183</v>
      </c>
      <c r="D854" s="105">
        <f t="shared" ca="1" si="36"/>
        <v>44</v>
      </c>
      <c r="E854" s="138" t="str">
        <f t="shared" si="37"/>
        <v>ADMITIDO</v>
      </c>
      <c r="F854" s="230" t="s">
        <v>28</v>
      </c>
      <c r="G854" s="147" t="s">
        <v>167</v>
      </c>
      <c r="H854" s="117" t="s">
        <v>40</v>
      </c>
      <c r="I854" s="117" t="str">
        <f>IF(X854="ADMITIDO","ADMITIDO",IF(X854="CANCELADA","CANCELADA",IF(H854="","",IFERROR(_xlfn.XLOOKUP(H854,Listas!I:I,Listas!J:J),"OUTROS"))))</f>
        <v>ADMITIDO</v>
      </c>
      <c r="J854" s="363" t="s">
        <v>268</v>
      </c>
      <c r="K854" s="240" t="s">
        <v>699</v>
      </c>
      <c r="L854" s="240" t="s">
        <v>2382</v>
      </c>
      <c r="M854" s="240"/>
      <c r="N854" s="240" t="s">
        <v>97</v>
      </c>
      <c r="O854" s="119" t="s">
        <v>34</v>
      </c>
      <c r="P854" s="119" t="s">
        <v>35</v>
      </c>
      <c r="Q854" s="119" t="s">
        <v>287</v>
      </c>
      <c r="R854" s="234"/>
      <c r="S854" s="273"/>
      <c r="T854" s="274">
        <v>11940012157</v>
      </c>
      <c r="U854" s="73" t="s">
        <v>67</v>
      </c>
      <c r="V854" s="216">
        <v>46183</v>
      </c>
      <c r="W854" s="118" t="s">
        <v>2386</v>
      </c>
      <c r="X854" s="119" t="s">
        <v>40</v>
      </c>
      <c r="Y854" s="120">
        <v>46199</v>
      </c>
      <c r="Z854" s="120">
        <v>46202</v>
      </c>
      <c r="AA854" s="244">
        <v>914479</v>
      </c>
      <c r="AB854" s="241" t="s">
        <v>2387</v>
      </c>
      <c r="AC854" s="241"/>
      <c r="AD854" s="244">
        <v>0</v>
      </c>
    </row>
    <row r="855" spans="1:30" ht="15" customHeight="1">
      <c r="A855" s="237">
        <v>30689</v>
      </c>
      <c r="B855" s="121">
        <v>1</v>
      </c>
      <c r="C855" s="238">
        <v>46183</v>
      </c>
      <c r="D855" s="105">
        <f t="shared" ca="1" si="36"/>
        <v>44</v>
      </c>
      <c r="E855" s="138" t="str">
        <f t="shared" si="37"/>
        <v>ADMITIDO</v>
      </c>
      <c r="F855" s="230" t="s">
        <v>28</v>
      </c>
      <c r="G855" s="147" t="s">
        <v>167</v>
      </c>
      <c r="H855" s="117" t="s">
        <v>40</v>
      </c>
      <c r="I855" s="117" t="str">
        <f>IF(X855="ADMITIDO","ADMITIDO",IF(X855="CANCELADA","CANCELADA",IF(H855="","",IFERROR(_xlfn.XLOOKUP(H855,Listas!I:I,Listas!J:J),"OUTROS"))))</f>
        <v>ADMITIDO</v>
      </c>
      <c r="J855" s="363" t="s">
        <v>268</v>
      </c>
      <c r="K855" s="240" t="s">
        <v>699</v>
      </c>
      <c r="L855" s="240" t="s">
        <v>2382</v>
      </c>
      <c r="M855" s="240"/>
      <c r="N855" s="240" t="s">
        <v>97</v>
      </c>
      <c r="O855" s="119" t="s">
        <v>34</v>
      </c>
      <c r="P855" s="119" t="s">
        <v>35</v>
      </c>
      <c r="Q855" s="119" t="s">
        <v>287</v>
      </c>
      <c r="R855" s="234"/>
      <c r="S855" s="273"/>
      <c r="T855" s="274" t="s">
        <v>2388</v>
      </c>
      <c r="U855" s="73" t="s">
        <v>67</v>
      </c>
      <c r="V855" s="216">
        <v>46183</v>
      </c>
      <c r="W855" s="118" t="s">
        <v>2389</v>
      </c>
      <c r="X855" s="119" t="s">
        <v>40</v>
      </c>
      <c r="Y855" s="120">
        <v>46199</v>
      </c>
      <c r="Z855" s="120">
        <v>46204</v>
      </c>
      <c r="AA855" s="244">
        <v>914499</v>
      </c>
      <c r="AB855" s="241"/>
      <c r="AC855" s="241"/>
      <c r="AD855" s="244">
        <v>0</v>
      </c>
    </row>
    <row r="856" spans="1:30" ht="15" customHeight="1">
      <c r="A856" s="237">
        <v>30689</v>
      </c>
      <c r="B856" s="121">
        <v>1</v>
      </c>
      <c r="C856" s="238">
        <v>46183</v>
      </c>
      <c r="D856" s="105">
        <f t="shared" ref="D856:D872" ca="1" si="38">TODAY()-C856</f>
        <v>44</v>
      </c>
      <c r="E856" s="138" t="str">
        <f t="shared" ref="E856:E872" si="39">IF(X856="ADMITIDO","ADMITIDO",IF(X856="CANCELADA","CANCELADA",IF(H856="","",IF(H856="ADMITIDO","ADMITIDO",IF(H856="CANCELADA","CANCELADA",IF(OR(H856="ANALISE CANCELAMENTO",H856="ANÁLISE CANCELAMENTO"),"EM ANÁLISE",IF(D856="","",IF(D856&lt;=7,"NO PRAZO",IF(D856&lt;=14,"ATENÇÃO","CRÍTICO")))))))))</f>
        <v>ADMITIDO</v>
      </c>
      <c r="F856" s="230" t="s">
        <v>28</v>
      </c>
      <c r="G856" s="147" t="s">
        <v>167</v>
      </c>
      <c r="H856" s="117" t="s">
        <v>40</v>
      </c>
      <c r="I856" s="117" t="str">
        <f>IF(X856="ADMITIDO","ADMITIDO",IF(X856="CANCELADA","CANCELADA",IF(H856="","",IFERROR(_xlfn.XLOOKUP(H856,Listas!I:I,Listas!J:J),"OUTROS"))))</f>
        <v>ADMITIDO</v>
      </c>
      <c r="J856" s="363" t="s">
        <v>268</v>
      </c>
      <c r="K856" s="240" t="s">
        <v>699</v>
      </c>
      <c r="L856" s="240" t="s">
        <v>2382</v>
      </c>
      <c r="M856" s="240"/>
      <c r="N856" s="240" t="s">
        <v>97</v>
      </c>
      <c r="O856" s="119" t="s">
        <v>34</v>
      </c>
      <c r="P856" s="119" t="s">
        <v>35</v>
      </c>
      <c r="Q856" s="119" t="s">
        <v>287</v>
      </c>
      <c r="R856" s="234"/>
      <c r="S856" s="273"/>
      <c r="T856" s="274" t="s">
        <v>2390</v>
      </c>
      <c r="U856" s="73" t="s">
        <v>67</v>
      </c>
      <c r="V856" s="216">
        <v>46182</v>
      </c>
      <c r="W856" s="118" t="s">
        <v>2391</v>
      </c>
      <c r="X856" s="119" t="s">
        <v>40</v>
      </c>
      <c r="Y856" s="120">
        <v>46199</v>
      </c>
      <c r="Z856" s="120">
        <v>46202</v>
      </c>
      <c r="AA856" s="244">
        <v>914480</v>
      </c>
      <c r="AB856" s="241" t="s">
        <v>2392</v>
      </c>
      <c r="AC856" s="241"/>
      <c r="AD856" s="244">
        <v>0</v>
      </c>
    </row>
    <row r="857" spans="1:30" ht="15" customHeight="1">
      <c r="A857" s="237">
        <v>30689</v>
      </c>
      <c r="B857" s="121">
        <v>1</v>
      </c>
      <c r="C857" s="238">
        <v>46183</v>
      </c>
      <c r="D857" s="105">
        <f t="shared" ca="1" si="38"/>
        <v>44</v>
      </c>
      <c r="E857" s="138" t="str">
        <f t="shared" si="39"/>
        <v>ADMITIDO</v>
      </c>
      <c r="F857" s="230" t="s">
        <v>28</v>
      </c>
      <c r="G857" s="147" t="s">
        <v>167</v>
      </c>
      <c r="H857" s="117" t="s">
        <v>40</v>
      </c>
      <c r="I857" s="117" t="str">
        <f>IF(X857="ADMITIDO","ADMITIDO",IF(X857="CANCELADA","CANCELADA",IF(H857="","",IFERROR(_xlfn.XLOOKUP(H857,Listas!I:I,Listas!J:J),"OUTROS"))))</f>
        <v>ADMITIDO</v>
      </c>
      <c r="J857" s="363" t="s">
        <v>268</v>
      </c>
      <c r="K857" s="240" t="s">
        <v>699</v>
      </c>
      <c r="L857" s="240" t="s">
        <v>2382</v>
      </c>
      <c r="M857" s="240"/>
      <c r="N857" s="240" t="s">
        <v>97</v>
      </c>
      <c r="O857" s="119" t="s">
        <v>34</v>
      </c>
      <c r="P857" s="119" t="s">
        <v>35</v>
      </c>
      <c r="Q857" s="119" t="s">
        <v>287</v>
      </c>
      <c r="R857" s="234"/>
      <c r="S857" s="273"/>
      <c r="T857" s="274" t="s">
        <v>2393</v>
      </c>
      <c r="U857" s="326" t="s">
        <v>67</v>
      </c>
      <c r="V857" s="313">
        <v>46181</v>
      </c>
      <c r="W857" s="302" t="s">
        <v>2394</v>
      </c>
      <c r="X857" s="303" t="s">
        <v>40</v>
      </c>
      <c r="Y857" s="304">
        <v>46199</v>
      </c>
      <c r="Z857" s="304">
        <v>46202</v>
      </c>
      <c r="AA857" s="314">
        <v>914477</v>
      </c>
      <c r="AB857" s="241" t="s">
        <v>2392</v>
      </c>
      <c r="AC857" s="241"/>
      <c r="AD857" s="244">
        <v>0</v>
      </c>
    </row>
    <row r="858" spans="1:30" ht="15" customHeight="1">
      <c r="A858" s="237">
        <v>30690</v>
      </c>
      <c r="B858" s="121">
        <v>1</v>
      </c>
      <c r="C858" s="238">
        <v>46183</v>
      </c>
      <c r="D858" s="105">
        <f t="shared" ca="1" si="38"/>
        <v>44</v>
      </c>
      <c r="E858" s="138" t="str">
        <f t="shared" si="39"/>
        <v>ADMITIDO</v>
      </c>
      <c r="F858" s="230" t="s">
        <v>28</v>
      </c>
      <c r="G858" s="147" t="s">
        <v>167</v>
      </c>
      <c r="H858" s="117" t="s">
        <v>40</v>
      </c>
      <c r="I858" s="117" t="str">
        <f>IF(X858="ADMITIDO","ADMITIDO",IF(X858="CANCELADA","CANCELADA",IF(H858="","",IFERROR(_xlfn.XLOOKUP(H858,Listas!I:I,Listas!J:J),"OUTROS"))))</f>
        <v>ADMITIDO</v>
      </c>
      <c r="J858" s="363" t="s">
        <v>268</v>
      </c>
      <c r="K858" s="240" t="s">
        <v>699</v>
      </c>
      <c r="L858" s="240" t="s">
        <v>2382</v>
      </c>
      <c r="M858" s="240"/>
      <c r="N858" s="240" t="s">
        <v>97</v>
      </c>
      <c r="O858" s="119" t="s">
        <v>56</v>
      </c>
      <c r="P858" s="119" t="s">
        <v>35</v>
      </c>
      <c r="Q858" s="119" t="s">
        <v>357</v>
      </c>
      <c r="R858" s="234"/>
      <c r="S858" s="273"/>
      <c r="T858" s="324" t="s">
        <v>2395</v>
      </c>
      <c r="U858" s="73" t="s">
        <v>67</v>
      </c>
      <c r="V858" s="216">
        <v>46183</v>
      </c>
      <c r="W858" s="118" t="s">
        <v>2396</v>
      </c>
      <c r="X858" s="119" t="s">
        <v>40</v>
      </c>
      <c r="Y858" s="120">
        <v>46199</v>
      </c>
      <c r="Z858" s="120">
        <v>46202</v>
      </c>
      <c r="AA858" s="244">
        <v>914469</v>
      </c>
      <c r="AB858" s="312" t="s">
        <v>2397</v>
      </c>
      <c r="AC858" s="241"/>
      <c r="AD858" s="244">
        <v>0</v>
      </c>
    </row>
    <row r="859" spans="1:30" ht="15" customHeight="1">
      <c r="A859" s="237">
        <v>30690</v>
      </c>
      <c r="B859" s="121">
        <v>1</v>
      </c>
      <c r="C859" s="238">
        <v>46183</v>
      </c>
      <c r="D859" s="105">
        <f t="shared" ca="1" si="38"/>
        <v>44</v>
      </c>
      <c r="E859" s="138" t="str">
        <f t="shared" si="39"/>
        <v>ADMITIDO</v>
      </c>
      <c r="F859" s="230" t="s">
        <v>28</v>
      </c>
      <c r="G859" s="147" t="s">
        <v>167</v>
      </c>
      <c r="H859" s="117" t="s">
        <v>40</v>
      </c>
      <c r="I859" s="117" t="str">
        <f>IF(X859="ADMITIDO","ADMITIDO",IF(X859="CANCELADA","CANCELADA",IF(H859="","",IFERROR(_xlfn.XLOOKUP(H859,Listas!I:I,Listas!J:J),"OUTROS"))))</f>
        <v>ADMITIDO</v>
      </c>
      <c r="J859" s="363" t="s">
        <v>268</v>
      </c>
      <c r="K859" s="240" t="s">
        <v>699</v>
      </c>
      <c r="L859" s="240" t="s">
        <v>2382</v>
      </c>
      <c r="M859" s="240"/>
      <c r="N859" s="240" t="s">
        <v>97</v>
      </c>
      <c r="O859" s="119" t="s">
        <v>56</v>
      </c>
      <c r="P859" s="119" t="s">
        <v>35</v>
      </c>
      <c r="Q859" s="119" t="s">
        <v>357</v>
      </c>
      <c r="R859" s="234"/>
      <c r="S859" s="273"/>
      <c r="T859" s="274" t="s">
        <v>2398</v>
      </c>
      <c r="U859" s="327" t="s">
        <v>67</v>
      </c>
      <c r="V859" s="315">
        <v>46183</v>
      </c>
      <c r="W859" s="310" t="s">
        <v>2399</v>
      </c>
      <c r="X859" s="308" t="s">
        <v>40</v>
      </c>
      <c r="Y859" s="309">
        <v>46199</v>
      </c>
      <c r="Z859" s="309">
        <v>46202</v>
      </c>
      <c r="AA859" s="316">
        <v>914462</v>
      </c>
      <c r="AB859" s="241" t="s">
        <v>2400</v>
      </c>
      <c r="AC859" s="241"/>
      <c r="AD859" s="244">
        <v>0</v>
      </c>
    </row>
    <row r="860" spans="1:30" ht="15" customHeight="1">
      <c r="A860" s="237">
        <v>30686</v>
      </c>
      <c r="B860" s="121">
        <v>1</v>
      </c>
      <c r="C860" s="238">
        <v>46183</v>
      </c>
      <c r="D860" s="105">
        <f t="shared" ca="1" si="38"/>
        <v>44</v>
      </c>
      <c r="E860" s="138" t="str">
        <f t="shared" si="39"/>
        <v>ADMITIDO</v>
      </c>
      <c r="F860" s="230" t="s">
        <v>171</v>
      </c>
      <c r="G860" s="147" t="s">
        <v>167</v>
      </c>
      <c r="H860" s="117" t="s">
        <v>40</v>
      </c>
      <c r="I860" s="117" t="str">
        <f>IF(X860="ADMITIDO","ADMITIDO",IF(X860="CANCELADA","CANCELADA",IF(H860="","",IFERROR(_xlfn.XLOOKUP(H860,Listas!I:I,Listas!J:J),"OUTROS"))))</f>
        <v>ADMITIDO</v>
      </c>
      <c r="J860" s="363" t="s">
        <v>514</v>
      </c>
      <c r="K860" s="240" t="s">
        <v>699</v>
      </c>
      <c r="L860" s="240" t="s">
        <v>2382</v>
      </c>
      <c r="M860" s="240"/>
      <c r="N860" s="240" t="s">
        <v>97</v>
      </c>
      <c r="O860" s="119" t="s">
        <v>56</v>
      </c>
      <c r="P860" s="119" t="s">
        <v>35</v>
      </c>
      <c r="Q860" s="119" t="s">
        <v>357</v>
      </c>
      <c r="R860" s="234"/>
      <c r="S860" s="273"/>
      <c r="T860" s="274" t="s">
        <v>2401</v>
      </c>
      <c r="U860" s="73" t="s">
        <v>67</v>
      </c>
      <c r="V860" s="216">
        <v>46181</v>
      </c>
      <c r="W860" s="118" t="s">
        <v>2402</v>
      </c>
      <c r="X860" s="119" t="s">
        <v>40</v>
      </c>
      <c r="Y860" s="120">
        <v>46199</v>
      </c>
      <c r="Z860" s="120">
        <v>46202</v>
      </c>
      <c r="AA860" s="244">
        <v>83354</v>
      </c>
      <c r="AB860" s="241" t="s">
        <v>2385</v>
      </c>
      <c r="AC860" s="241"/>
      <c r="AD860" s="244">
        <v>0</v>
      </c>
    </row>
    <row r="861" spans="1:30" ht="15" customHeight="1">
      <c r="A861" s="374">
        <v>30686</v>
      </c>
      <c r="B861" s="376">
        <v>1</v>
      </c>
      <c r="C861" s="375">
        <v>46183</v>
      </c>
      <c r="D861" s="367">
        <f t="shared" ca="1" si="38"/>
        <v>44</v>
      </c>
      <c r="E861" s="368" t="str">
        <f t="shared" si="39"/>
        <v>ADMITIDO</v>
      </c>
      <c r="F861" s="371" t="s">
        <v>171</v>
      </c>
      <c r="G861" s="369" t="s">
        <v>167</v>
      </c>
      <c r="H861" s="146" t="s">
        <v>40</v>
      </c>
      <c r="I861" s="146" t="str">
        <f>IF(X861="ADMITIDO","ADMITIDO",IF(X861="CANCELADA","CANCELADA",IF(H861="","",IFERROR(_xlfn.XLOOKUP(H861,Listas!I:I,Listas!J:J),"OUTROS"))))</f>
        <v>ADMITIDO</v>
      </c>
      <c r="J861" s="414" t="s">
        <v>514</v>
      </c>
      <c r="K861" s="415" t="s">
        <v>699</v>
      </c>
      <c r="L861" s="415" t="s">
        <v>2382</v>
      </c>
      <c r="M861" s="415"/>
      <c r="N861" s="415" t="s">
        <v>97</v>
      </c>
      <c r="O861" s="303" t="s">
        <v>56</v>
      </c>
      <c r="P861" s="303" t="s">
        <v>35</v>
      </c>
      <c r="Q861" s="303" t="s">
        <v>357</v>
      </c>
      <c r="R861" s="418"/>
      <c r="S861" s="419"/>
      <c r="T861" s="345" t="s">
        <v>2403</v>
      </c>
      <c r="U861" s="326" t="s">
        <v>67</v>
      </c>
      <c r="V861" s="313">
        <v>46181</v>
      </c>
      <c r="W861" s="302" t="s">
        <v>2404</v>
      </c>
      <c r="X861" s="303" t="s">
        <v>40</v>
      </c>
      <c r="Y861" s="304">
        <v>46199</v>
      </c>
      <c r="Z861" s="304">
        <v>46204</v>
      </c>
      <c r="AA861" s="314">
        <v>83353</v>
      </c>
      <c r="AB861" s="346" t="s">
        <v>2385</v>
      </c>
      <c r="AC861" s="346"/>
      <c r="AD861" s="314">
        <v>0</v>
      </c>
    </row>
    <row r="862" spans="1:30" ht="15" customHeight="1">
      <c r="A862" s="237">
        <v>30677</v>
      </c>
      <c r="B862" s="121">
        <v>1</v>
      </c>
      <c r="C862" s="238">
        <v>46183</v>
      </c>
      <c r="D862" s="105">
        <f t="shared" ca="1" si="38"/>
        <v>44</v>
      </c>
      <c r="E862" s="138" t="str">
        <f t="shared" si="39"/>
        <v>ADMITIDO</v>
      </c>
      <c r="F862" s="230" t="s">
        <v>42</v>
      </c>
      <c r="G862" s="147" t="s">
        <v>167</v>
      </c>
      <c r="H862" s="146" t="s">
        <v>40</v>
      </c>
      <c r="I862" s="117" t="str">
        <f>IF(X862="ADMITIDO","ADMITIDO",IF(X862="CANCELADA","CANCELADA",IF(H862="","",IFERROR(_xlfn.XLOOKUP(H862,Listas!I:I,Listas!J:J),"OUTROS"))))</f>
        <v>ADMITIDO</v>
      </c>
      <c r="J862" s="240" t="s">
        <v>53</v>
      </c>
      <c r="K862" s="240" t="s">
        <v>699</v>
      </c>
      <c r="L862" s="240" t="s">
        <v>2405</v>
      </c>
      <c r="M862" s="240"/>
      <c r="N862" s="240" t="s">
        <v>2250</v>
      </c>
      <c r="O862" s="119" t="s">
        <v>34</v>
      </c>
      <c r="P862" s="119" t="s">
        <v>48</v>
      </c>
      <c r="Q862" s="119" t="s">
        <v>120</v>
      </c>
      <c r="R862" s="234"/>
      <c r="S862" s="273"/>
      <c r="T862" s="274"/>
      <c r="U862" s="73" t="s">
        <v>132</v>
      </c>
      <c r="V862" s="216">
        <v>46181</v>
      </c>
      <c r="W862" s="118" t="s">
        <v>2406</v>
      </c>
      <c r="X862" s="119" t="s">
        <v>40</v>
      </c>
      <c r="Y862" s="120">
        <v>46199</v>
      </c>
      <c r="Z862" s="120">
        <v>46204</v>
      </c>
      <c r="AA862" s="244">
        <v>146127</v>
      </c>
      <c r="AB862" s="241"/>
      <c r="AC862" s="241"/>
      <c r="AD862" s="244">
        <v>0</v>
      </c>
    </row>
    <row r="863" spans="1:30" ht="15" customHeight="1">
      <c r="A863" s="237">
        <v>30694</v>
      </c>
      <c r="B863" s="121">
        <v>1</v>
      </c>
      <c r="C863" s="238">
        <v>46183</v>
      </c>
      <c r="D863" s="105">
        <f t="shared" ca="1" si="38"/>
        <v>44</v>
      </c>
      <c r="E863" s="138" t="str">
        <f t="shared" si="39"/>
        <v>ADMITIDO</v>
      </c>
      <c r="F863" s="230" t="s">
        <v>28</v>
      </c>
      <c r="G863" s="147" t="s">
        <v>167</v>
      </c>
      <c r="H863" s="146" t="s">
        <v>40</v>
      </c>
      <c r="I863" s="117" t="str">
        <f>IF(X863="ADMITIDO","ADMITIDO",IF(X863="CANCELADA","CANCELADA",IF(H863="","",IFERROR(_xlfn.XLOOKUP(H863,Listas!I:I,Listas!J:J),"OUTROS"))))</f>
        <v>ADMITIDO</v>
      </c>
      <c r="J863" s="240" t="s">
        <v>268</v>
      </c>
      <c r="K863" s="240" t="s">
        <v>699</v>
      </c>
      <c r="L863" s="240" t="s">
        <v>2405</v>
      </c>
      <c r="M863" s="240"/>
      <c r="N863" s="240" t="s">
        <v>2250</v>
      </c>
      <c r="O863" s="119" t="s">
        <v>34</v>
      </c>
      <c r="P863" s="119" t="s">
        <v>48</v>
      </c>
      <c r="Q863" s="119" t="s">
        <v>2407</v>
      </c>
      <c r="R863" s="234"/>
      <c r="S863" s="273"/>
      <c r="T863" s="274"/>
      <c r="U863" s="73" t="s">
        <v>132</v>
      </c>
      <c r="V863" s="216">
        <v>46181</v>
      </c>
      <c r="W863" s="118" t="s">
        <v>2408</v>
      </c>
      <c r="X863" s="119" t="s">
        <v>40</v>
      </c>
      <c r="Y863" s="120">
        <v>46202</v>
      </c>
      <c r="Z863" s="120">
        <v>46204</v>
      </c>
      <c r="AA863" s="244">
        <v>914471</v>
      </c>
      <c r="AB863" s="241"/>
      <c r="AC863" s="241"/>
      <c r="AD863" s="244">
        <v>0</v>
      </c>
    </row>
    <row r="864" spans="1:30" ht="15" customHeight="1">
      <c r="A864" s="396">
        <v>30694</v>
      </c>
      <c r="B864" s="405">
        <v>1</v>
      </c>
      <c r="C864" s="404">
        <v>46183</v>
      </c>
      <c r="D864" s="386">
        <f t="shared" ca="1" si="38"/>
        <v>44</v>
      </c>
      <c r="E864" s="170" t="str">
        <f t="shared" si="39"/>
        <v>ADMITIDO</v>
      </c>
      <c r="F864" s="397" t="s">
        <v>28</v>
      </c>
      <c r="G864" s="392" t="s">
        <v>167</v>
      </c>
      <c r="H864" s="139" t="s">
        <v>40</v>
      </c>
      <c r="I864" s="139" t="str">
        <f>IF(X864="ADMITIDO","ADMITIDO",IF(X864="CANCELADA","CANCELADA",IF(H864="","",IFERROR(_xlfn.XLOOKUP(H864,Listas!I:I,Listas!J:J),"OUTROS"))))</f>
        <v>ADMITIDO</v>
      </c>
      <c r="J864" s="427" t="s">
        <v>268</v>
      </c>
      <c r="K864" s="428" t="s">
        <v>699</v>
      </c>
      <c r="L864" s="428" t="s">
        <v>2405</v>
      </c>
      <c r="M864" s="428"/>
      <c r="N864" s="428" t="s">
        <v>2250</v>
      </c>
      <c r="O864" s="308" t="s">
        <v>34</v>
      </c>
      <c r="P864" s="308" t="s">
        <v>48</v>
      </c>
      <c r="Q864" s="308" t="s">
        <v>2407</v>
      </c>
      <c r="R864" s="431"/>
      <c r="S864" s="432"/>
      <c r="T864" s="352"/>
      <c r="U864" s="327" t="s">
        <v>132</v>
      </c>
      <c r="V864" s="315">
        <v>46181</v>
      </c>
      <c r="W864" s="310" t="s">
        <v>2409</v>
      </c>
      <c r="X864" s="308" t="s">
        <v>40</v>
      </c>
      <c r="Y864" s="309">
        <v>46198</v>
      </c>
      <c r="Z864" s="309">
        <v>46204</v>
      </c>
      <c r="AA864" s="316">
        <v>914473</v>
      </c>
      <c r="AB864" s="351"/>
      <c r="AC864" s="351"/>
      <c r="AD864" s="316">
        <v>0</v>
      </c>
    </row>
    <row r="865" spans="1:30" ht="15" customHeight="1">
      <c r="A865" s="237">
        <v>30695</v>
      </c>
      <c r="B865" s="121">
        <v>1</v>
      </c>
      <c r="C865" s="238">
        <v>46183</v>
      </c>
      <c r="D865" s="105">
        <f t="shared" ca="1" si="38"/>
        <v>44</v>
      </c>
      <c r="E865" s="138" t="str">
        <f t="shared" si="39"/>
        <v>ADMITIDO</v>
      </c>
      <c r="F865" s="230" t="s">
        <v>28</v>
      </c>
      <c r="G865" s="147" t="s">
        <v>167</v>
      </c>
      <c r="H865" s="117" t="s">
        <v>40</v>
      </c>
      <c r="I865" s="117" t="str">
        <f>IF(X865="ADMITIDO","ADMITIDO",IF(X865="CANCELADA","CANCELADA",IF(H865="","",IFERROR(_xlfn.XLOOKUP(H865,Listas!I:I,Listas!J:J),"OUTROS"))))</f>
        <v>ADMITIDO</v>
      </c>
      <c r="J865" s="363" t="s">
        <v>268</v>
      </c>
      <c r="K865" s="240" t="s">
        <v>699</v>
      </c>
      <c r="L865" s="240" t="s">
        <v>2405</v>
      </c>
      <c r="M865" s="240"/>
      <c r="N865" s="240" t="s">
        <v>2250</v>
      </c>
      <c r="O865" s="119" t="s">
        <v>34</v>
      </c>
      <c r="P865" s="119" t="s">
        <v>35</v>
      </c>
      <c r="Q865" s="119" t="s">
        <v>287</v>
      </c>
      <c r="R865" s="234"/>
      <c r="S865" s="273"/>
      <c r="T865" s="274"/>
      <c r="U865" s="326" t="s">
        <v>132</v>
      </c>
      <c r="V865" s="313">
        <v>46181</v>
      </c>
      <c r="W865" s="302" t="s">
        <v>2410</v>
      </c>
      <c r="X865" s="303" t="s">
        <v>40</v>
      </c>
      <c r="Y865" s="304">
        <v>46198</v>
      </c>
      <c r="Z865" s="304">
        <v>46204</v>
      </c>
      <c r="AA865" s="314">
        <v>914470</v>
      </c>
      <c r="AB865" s="241"/>
      <c r="AC865" s="241"/>
      <c r="AD865" s="244">
        <v>0</v>
      </c>
    </row>
    <row r="866" spans="1:30" ht="15" customHeight="1">
      <c r="A866" s="374">
        <v>30695</v>
      </c>
      <c r="B866" s="376">
        <v>1</v>
      </c>
      <c r="C866" s="375">
        <v>46183</v>
      </c>
      <c r="D866" s="367">
        <f t="shared" ca="1" si="38"/>
        <v>44</v>
      </c>
      <c r="E866" s="368" t="str">
        <f t="shared" si="39"/>
        <v>ADMITIDO</v>
      </c>
      <c r="F866" s="371" t="s">
        <v>28</v>
      </c>
      <c r="G866" s="369" t="s">
        <v>167</v>
      </c>
      <c r="H866" s="146" t="s">
        <v>40</v>
      </c>
      <c r="I866" s="146" t="str">
        <f>IF(X866="ADMITIDO","ADMITIDO",IF(X866="CANCELADA","CANCELADA",IF(H866="","",IFERROR(_xlfn.XLOOKUP(H866,Listas!I:I,Listas!J:J),"OUTROS"))))</f>
        <v>ADMITIDO</v>
      </c>
      <c r="J866" s="414" t="s">
        <v>268</v>
      </c>
      <c r="K866" s="415" t="s">
        <v>699</v>
      </c>
      <c r="L866" s="415" t="s">
        <v>2405</v>
      </c>
      <c r="M866" s="415"/>
      <c r="N866" s="415" t="s">
        <v>2250</v>
      </c>
      <c r="O866" s="303" t="s">
        <v>34</v>
      </c>
      <c r="P866" s="303" t="s">
        <v>35</v>
      </c>
      <c r="Q866" s="303" t="s">
        <v>287</v>
      </c>
      <c r="R866" s="418"/>
      <c r="S866" s="419"/>
      <c r="T866" s="347"/>
      <c r="U866" s="326" t="s">
        <v>132</v>
      </c>
      <c r="V866" s="313">
        <v>46181</v>
      </c>
      <c r="W866" s="302" t="s">
        <v>2411</v>
      </c>
      <c r="X866" s="303" t="s">
        <v>40</v>
      </c>
      <c r="Y866" s="304">
        <v>46198</v>
      </c>
      <c r="Z866" s="304">
        <v>46202</v>
      </c>
      <c r="AA866" s="314">
        <v>914512</v>
      </c>
      <c r="AB866" s="348"/>
      <c r="AC866" s="346"/>
      <c r="AD866" s="314">
        <v>0</v>
      </c>
    </row>
    <row r="867" spans="1:30" ht="15" customHeight="1">
      <c r="A867" s="237">
        <v>30695</v>
      </c>
      <c r="B867" s="121">
        <v>1</v>
      </c>
      <c r="C867" s="238">
        <v>46183</v>
      </c>
      <c r="D867" s="105">
        <f t="shared" ca="1" si="38"/>
        <v>44</v>
      </c>
      <c r="E867" s="138" t="str">
        <f t="shared" si="39"/>
        <v>ADMITIDO</v>
      </c>
      <c r="F867" s="230" t="s">
        <v>28</v>
      </c>
      <c r="G867" s="147" t="s">
        <v>167</v>
      </c>
      <c r="H867" s="146" t="s">
        <v>40</v>
      </c>
      <c r="I867" s="117" t="str">
        <f>IF(X867="ADMITIDO","ADMITIDO",IF(X867="CANCELADA","CANCELADA",IF(H867="","",IFERROR(_xlfn.XLOOKUP(H867,Listas!I:I,Listas!J:J),"OUTROS"))))</f>
        <v>ADMITIDO</v>
      </c>
      <c r="J867" s="240" t="s">
        <v>268</v>
      </c>
      <c r="K867" s="240" t="s">
        <v>699</v>
      </c>
      <c r="L867" s="240" t="s">
        <v>2405</v>
      </c>
      <c r="M867" s="240"/>
      <c r="N867" s="240" t="s">
        <v>2250</v>
      </c>
      <c r="O867" s="119" t="s">
        <v>34</v>
      </c>
      <c r="P867" s="119" t="s">
        <v>35</v>
      </c>
      <c r="Q867" s="119" t="s">
        <v>287</v>
      </c>
      <c r="R867" s="234"/>
      <c r="S867" s="273"/>
      <c r="T867" s="274"/>
      <c r="U867" s="73" t="s">
        <v>132</v>
      </c>
      <c r="V867" s="216">
        <v>46181</v>
      </c>
      <c r="W867" s="118" t="s">
        <v>2412</v>
      </c>
      <c r="X867" s="119" t="s">
        <v>40</v>
      </c>
      <c r="Y867" s="120">
        <v>46202</v>
      </c>
      <c r="Z867" s="120">
        <v>46204</v>
      </c>
      <c r="AA867" s="244">
        <v>914496</v>
      </c>
      <c r="AB867" s="241"/>
      <c r="AC867" s="241"/>
      <c r="AD867" s="244">
        <v>0</v>
      </c>
    </row>
    <row r="868" spans="1:30" ht="15" customHeight="1">
      <c r="A868" s="396">
        <v>30695</v>
      </c>
      <c r="B868" s="405">
        <v>1</v>
      </c>
      <c r="C868" s="404">
        <v>46183</v>
      </c>
      <c r="D868" s="386">
        <f t="shared" ca="1" si="38"/>
        <v>44</v>
      </c>
      <c r="E868" s="170" t="str">
        <f t="shared" si="39"/>
        <v>ADMITIDO</v>
      </c>
      <c r="F868" s="397" t="s">
        <v>28</v>
      </c>
      <c r="G868" s="392" t="s">
        <v>167</v>
      </c>
      <c r="H868" s="139" t="s">
        <v>40</v>
      </c>
      <c r="I868" s="139" t="str">
        <f>IF(X868="ADMITIDO","ADMITIDO",IF(X868="CANCELADA","CANCELADA",IF(H868="","",IFERROR(_xlfn.XLOOKUP(H868,Listas!I:I,Listas!J:J),"OUTROS"))))</f>
        <v>ADMITIDO</v>
      </c>
      <c r="J868" s="427" t="s">
        <v>268</v>
      </c>
      <c r="K868" s="428" t="s">
        <v>699</v>
      </c>
      <c r="L868" s="428" t="s">
        <v>2405</v>
      </c>
      <c r="M868" s="428"/>
      <c r="N868" s="428" t="s">
        <v>2250</v>
      </c>
      <c r="O868" s="308" t="s">
        <v>34</v>
      </c>
      <c r="P868" s="308" t="s">
        <v>35</v>
      </c>
      <c r="Q868" s="308" t="s">
        <v>287</v>
      </c>
      <c r="R868" s="431"/>
      <c r="S868" s="432"/>
      <c r="T868" s="349"/>
      <c r="U868" s="189" t="s">
        <v>132</v>
      </c>
      <c r="V868" s="328">
        <v>46185</v>
      </c>
      <c r="W868" s="305" t="s">
        <v>2413</v>
      </c>
      <c r="X868" s="306" t="s">
        <v>40</v>
      </c>
      <c r="Y868" s="307">
        <v>46199</v>
      </c>
      <c r="Z868" s="307">
        <v>46202</v>
      </c>
      <c r="AA868" s="329">
        <v>914509</v>
      </c>
      <c r="AB868" s="350"/>
      <c r="AC868" s="351"/>
      <c r="AD868" s="316">
        <v>0</v>
      </c>
    </row>
    <row r="869" spans="1:30" ht="15" customHeight="1">
      <c r="A869" s="402">
        <v>30696</v>
      </c>
      <c r="B869" s="406">
        <v>1</v>
      </c>
      <c r="C869" s="403">
        <v>46183</v>
      </c>
      <c r="D869" s="380">
        <f t="shared" ca="1" si="38"/>
        <v>44</v>
      </c>
      <c r="E869" s="381" t="str">
        <f t="shared" si="39"/>
        <v>ADMITIDO</v>
      </c>
      <c r="F869" s="395" t="s">
        <v>28</v>
      </c>
      <c r="G869" s="390" t="s">
        <v>167</v>
      </c>
      <c r="H869" s="117" t="s">
        <v>40</v>
      </c>
      <c r="I869" s="382" t="str">
        <f>IF(X869="ADMITIDO","ADMITIDO",IF(X869="CANCELADA","CANCELADA",IF(H869="","",IFERROR(_xlfn.XLOOKUP(H869,Listas!I:I,Listas!J:J),"OUTROS"))))</f>
        <v>ADMITIDO</v>
      </c>
      <c r="J869" s="240" t="s">
        <v>268</v>
      </c>
      <c r="K869" s="240" t="s">
        <v>699</v>
      </c>
      <c r="L869" s="240" t="s">
        <v>2405</v>
      </c>
      <c r="M869" s="240"/>
      <c r="N869" s="240" t="s">
        <v>2250</v>
      </c>
      <c r="O869" s="119" t="s">
        <v>56</v>
      </c>
      <c r="P869" s="119" t="s">
        <v>35</v>
      </c>
      <c r="Q869" s="119" t="s">
        <v>357</v>
      </c>
      <c r="R869" s="234"/>
      <c r="S869" s="273"/>
      <c r="T869" s="274"/>
      <c r="U869" s="73" t="s">
        <v>132</v>
      </c>
      <c r="V869" s="216">
        <v>46181</v>
      </c>
      <c r="W869" s="118" t="s">
        <v>2414</v>
      </c>
      <c r="X869" s="119" t="s">
        <v>40</v>
      </c>
      <c r="Y869" s="120">
        <v>46202</v>
      </c>
      <c r="Z869" s="120">
        <v>46204</v>
      </c>
      <c r="AA869" s="244">
        <v>914483</v>
      </c>
      <c r="AB869" s="241"/>
      <c r="AC869" s="241"/>
      <c r="AD869" s="244">
        <v>0</v>
      </c>
    </row>
    <row r="870" spans="1:30" ht="15" customHeight="1">
      <c r="A870" s="237">
        <v>30696</v>
      </c>
      <c r="B870" s="121">
        <v>1</v>
      </c>
      <c r="C870" s="238">
        <v>46183</v>
      </c>
      <c r="D870" s="105">
        <f t="shared" ca="1" si="38"/>
        <v>44</v>
      </c>
      <c r="E870" s="138" t="str">
        <f t="shared" si="39"/>
        <v>ADMITIDO</v>
      </c>
      <c r="F870" s="230" t="s">
        <v>28</v>
      </c>
      <c r="G870" s="147" t="s">
        <v>167</v>
      </c>
      <c r="H870" s="117" t="s">
        <v>40</v>
      </c>
      <c r="I870" s="117" t="str">
        <f>IF(X870="ADMITIDO","ADMITIDO",IF(X870="CANCELADA","CANCELADA",IF(H870="","",IFERROR(_xlfn.XLOOKUP(H870,Listas!I:I,Listas!J:J),"OUTROS"))))</f>
        <v>ADMITIDO</v>
      </c>
      <c r="J870" s="363" t="s">
        <v>268</v>
      </c>
      <c r="K870" s="240" t="s">
        <v>699</v>
      </c>
      <c r="L870" s="240" t="s">
        <v>2405</v>
      </c>
      <c r="M870" s="240"/>
      <c r="N870" s="240" t="s">
        <v>2250</v>
      </c>
      <c r="O870" s="119" t="s">
        <v>56</v>
      </c>
      <c r="P870" s="119" t="s">
        <v>35</v>
      </c>
      <c r="Q870" s="119" t="s">
        <v>357</v>
      </c>
      <c r="R870" s="234"/>
      <c r="S870" s="273"/>
      <c r="T870" s="274"/>
      <c r="U870" s="327" t="s">
        <v>132</v>
      </c>
      <c r="V870" s="315">
        <v>46181</v>
      </c>
      <c r="W870" s="310" t="s">
        <v>2415</v>
      </c>
      <c r="X870" s="308" t="s">
        <v>40</v>
      </c>
      <c r="Y870" s="309">
        <v>46198</v>
      </c>
      <c r="Z870" s="309">
        <v>46204</v>
      </c>
      <c r="AA870" s="316">
        <v>914472</v>
      </c>
      <c r="AB870" s="241"/>
      <c r="AC870" s="241"/>
      <c r="AD870" s="244">
        <v>0</v>
      </c>
    </row>
    <row r="871" spans="1:30" ht="15" customHeight="1">
      <c r="A871" s="374">
        <v>30697</v>
      </c>
      <c r="B871" s="376">
        <v>1</v>
      </c>
      <c r="C871" s="375">
        <v>46183</v>
      </c>
      <c r="D871" s="367">
        <f t="shared" ca="1" si="38"/>
        <v>44</v>
      </c>
      <c r="E871" s="368" t="str">
        <f t="shared" si="39"/>
        <v>ADMITIDO</v>
      </c>
      <c r="F871" s="371" t="s">
        <v>171</v>
      </c>
      <c r="G871" s="369" t="s">
        <v>167</v>
      </c>
      <c r="H871" s="146" t="s">
        <v>40</v>
      </c>
      <c r="I871" s="146" t="str">
        <f>IF(X871="ADMITIDO","ADMITIDO",IF(X871="CANCELADA","CANCELADA",IF(H871="","",IFERROR(_xlfn.XLOOKUP(H871,Listas!I:I,Listas!J:J),"OUTROS"))))</f>
        <v>ADMITIDO</v>
      </c>
      <c r="J871" s="414" t="s">
        <v>514</v>
      </c>
      <c r="K871" s="415" t="s">
        <v>699</v>
      </c>
      <c r="L871" s="415" t="s">
        <v>2405</v>
      </c>
      <c r="M871" s="415"/>
      <c r="N871" s="415" t="s">
        <v>2250</v>
      </c>
      <c r="O871" s="303" t="s">
        <v>56</v>
      </c>
      <c r="P871" s="303" t="s">
        <v>35</v>
      </c>
      <c r="Q871" s="303" t="s">
        <v>357</v>
      </c>
      <c r="R871" s="418"/>
      <c r="S871" s="419"/>
      <c r="T871" s="345"/>
      <c r="U871" s="326" t="s">
        <v>132</v>
      </c>
      <c r="V871" s="313">
        <v>46181</v>
      </c>
      <c r="W871" s="302" t="s">
        <v>2416</v>
      </c>
      <c r="X871" s="303" t="s">
        <v>40</v>
      </c>
      <c r="Y871" s="304">
        <v>46198</v>
      </c>
      <c r="Z871" s="304">
        <v>46204</v>
      </c>
      <c r="AA871" s="314">
        <v>83348</v>
      </c>
      <c r="AB871" s="346"/>
      <c r="AC871" s="241"/>
      <c r="AD871" s="244">
        <v>0</v>
      </c>
    </row>
    <row r="872" spans="1:30" ht="15" customHeight="1">
      <c r="A872" s="237">
        <v>30697</v>
      </c>
      <c r="B872" s="121">
        <v>1</v>
      </c>
      <c r="C872" s="238">
        <v>46183</v>
      </c>
      <c r="D872" s="105">
        <f t="shared" ca="1" si="38"/>
        <v>44</v>
      </c>
      <c r="E872" s="138" t="str">
        <f t="shared" si="39"/>
        <v>CANCELADA</v>
      </c>
      <c r="F872" s="230" t="s">
        <v>171</v>
      </c>
      <c r="G872" s="147" t="s">
        <v>167</v>
      </c>
      <c r="H872" s="117" t="s">
        <v>52</v>
      </c>
      <c r="I872" s="117" t="str">
        <f>IF(X872="ADMITIDO","ADMITIDO",IF(X872="CANCELADA","CANCELADA",IF(H872="","",IFERROR(_xlfn.XLOOKUP(H872,Listas!I:I,Listas!J:J),"OUTROS"))))</f>
        <v>CANCELADA</v>
      </c>
      <c r="J872" s="240" t="s">
        <v>514</v>
      </c>
      <c r="K872" s="240" t="s">
        <v>699</v>
      </c>
      <c r="L872" s="240" t="s">
        <v>2405</v>
      </c>
      <c r="M872" s="240"/>
      <c r="N872" s="240" t="s">
        <v>2250</v>
      </c>
      <c r="O872" s="119" t="s">
        <v>56</v>
      </c>
      <c r="P872" s="119" t="s">
        <v>35</v>
      </c>
      <c r="Q872" s="119" t="s">
        <v>357</v>
      </c>
      <c r="R872" s="234"/>
      <c r="S872" s="273"/>
      <c r="T872" s="274"/>
      <c r="U872" s="73"/>
      <c r="V872" s="216"/>
      <c r="W872" s="118"/>
      <c r="X872" s="119" t="s">
        <v>52</v>
      </c>
      <c r="Y872" s="120"/>
      <c r="Z872" s="120"/>
      <c r="AA872" s="244"/>
      <c r="AB872" s="241"/>
      <c r="AC872" s="348" t="s">
        <v>1705</v>
      </c>
      <c r="AD872" s="314">
        <v>0</v>
      </c>
    </row>
    <row r="873" spans="1:30" ht="15" customHeight="1">
      <c r="A873" s="396">
        <v>30722</v>
      </c>
      <c r="B873" s="405">
        <v>1</v>
      </c>
      <c r="C873" s="404">
        <v>46184</v>
      </c>
      <c r="D873" s="386">
        <f t="shared" ref="D873:D884" ca="1" si="40">TODAY()-C873</f>
        <v>43</v>
      </c>
      <c r="E873" s="170" t="str">
        <f t="shared" ref="E873:E884" si="41">IF(X873="ADMITIDO","ADMITIDO",IF(X873="CANCELADA","CANCELADA",IF(H873="","",IF(H873="ADMITIDO","ADMITIDO",IF(H873="CANCELADA","CANCELADA",IF(OR(H873="ANALISE CANCELAMENTO",H873="ANÁLISE CANCELAMENTO"),"EM ANÁLISE",IF(D873="","",IF(D873&lt;=7,"NO PRAZO",IF(D873&lt;=14,"ATENÇÃO","CRÍTICO")))))))))</f>
        <v>CANCELADA</v>
      </c>
      <c r="F873" s="397" t="s">
        <v>42</v>
      </c>
      <c r="G873" s="392" t="s">
        <v>69</v>
      </c>
      <c r="H873" s="117" t="s">
        <v>52</v>
      </c>
      <c r="I873" s="139" t="str">
        <f>IF(X873="ADMITIDO","ADMITIDO",IF(X873="CANCELADA","CANCELADA",IF(H873="","",IFERROR(_xlfn.XLOOKUP(H873,Listas!I:I,Listas!J:J),"OUTROS"))))</f>
        <v>CANCELADA</v>
      </c>
      <c r="J873" s="428" t="s">
        <v>53</v>
      </c>
      <c r="K873" s="428" t="s">
        <v>158</v>
      </c>
      <c r="L873" s="428" t="s">
        <v>270</v>
      </c>
      <c r="M873" s="428"/>
      <c r="N873" s="428" t="s">
        <v>63</v>
      </c>
      <c r="O873" s="308" t="s">
        <v>34</v>
      </c>
      <c r="P873" s="308" t="s">
        <v>72</v>
      </c>
      <c r="Q873" s="308" t="s">
        <v>73</v>
      </c>
      <c r="R873" s="431"/>
      <c r="S873" s="432"/>
      <c r="T873" s="352"/>
      <c r="U873" s="327"/>
      <c r="V873" s="315"/>
      <c r="W873" s="310"/>
      <c r="X873" s="308" t="s">
        <v>52</v>
      </c>
      <c r="Y873" s="309"/>
      <c r="Z873" s="309"/>
      <c r="AA873" s="316"/>
      <c r="AB873" s="310" t="s">
        <v>2417</v>
      </c>
      <c r="AC873" s="241" t="s">
        <v>2418</v>
      </c>
      <c r="AD873" s="244">
        <v>2</v>
      </c>
    </row>
    <row r="874" spans="1:30" ht="15" customHeight="1">
      <c r="A874" s="237">
        <v>30731</v>
      </c>
      <c r="B874" s="121">
        <v>1</v>
      </c>
      <c r="C874" s="238">
        <v>46184</v>
      </c>
      <c r="D874" s="105">
        <f t="shared" ca="1" si="40"/>
        <v>43</v>
      </c>
      <c r="E874" s="138" t="str">
        <f t="shared" ca="1" si="41"/>
        <v>CRÍTICO</v>
      </c>
      <c r="F874" s="230" t="s">
        <v>42</v>
      </c>
      <c r="G874" s="147" t="s">
        <v>29</v>
      </c>
      <c r="H874" s="117" t="s">
        <v>181</v>
      </c>
      <c r="I874" s="117" t="str">
        <f>IF(X874="ADMITIDO","ADMITIDO",IF(X874="CANCELADA","CANCELADA",IF(H874="","",IFERROR(_xlfn.XLOOKUP(H874,Listas!I:I,Listas!J:J),"OUTROS"))))</f>
        <v>DOCUMENTAÇÃO</v>
      </c>
      <c r="J874" s="240" t="s">
        <v>182</v>
      </c>
      <c r="K874" s="240" t="s">
        <v>54</v>
      </c>
      <c r="L874" s="240" t="s">
        <v>183</v>
      </c>
      <c r="M874" s="240"/>
      <c r="N874" s="240" t="s">
        <v>184</v>
      </c>
      <c r="O874" s="119" t="s">
        <v>56</v>
      </c>
      <c r="P874" s="119" t="s">
        <v>185</v>
      </c>
      <c r="Q874" s="119" t="s">
        <v>176</v>
      </c>
      <c r="R874" s="234"/>
      <c r="S874" s="273"/>
      <c r="T874" s="274" t="s">
        <v>2419</v>
      </c>
      <c r="U874" s="73" t="s">
        <v>38</v>
      </c>
      <c r="V874" s="216" t="s">
        <v>2220</v>
      </c>
      <c r="W874" s="118" t="s">
        <v>2420</v>
      </c>
      <c r="X874" s="119" t="s">
        <v>810</v>
      </c>
      <c r="Y874" s="120"/>
      <c r="Z874" s="120"/>
      <c r="AA874" s="244"/>
      <c r="AB874" s="241"/>
      <c r="AC874" s="241"/>
      <c r="AD874" s="244">
        <v>0</v>
      </c>
    </row>
    <row r="875" spans="1:30" ht="15" customHeight="1">
      <c r="A875" s="402">
        <v>30719</v>
      </c>
      <c r="B875" s="406">
        <v>1</v>
      </c>
      <c r="C875" s="403">
        <v>46184</v>
      </c>
      <c r="D875" s="380">
        <f t="shared" ca="1" si="40"/>
        <v>43</v>
      </c>
      <c r="E875" s="381" t="str">
        <f t="shared" si="41"/>
        <v>CANCELADA</v>
      </c>
      <c r="F875" s="395" t="s">
        <v>42</v>
      </c>
      <c r="G875" s="390" t="s">
        <v>29</v>
      </c>
      <c r="H875" s="434" t="s">
        <v>52</v>
      </c>
      <c r="I875" s="434" t="str">
        <f>IF(X875="ADMITIDO","ADMITIDO",IF(X875="CANCELADA","CANCELADA",IF(H875="","",IFERROR(_xlfn.XLOOKUP(H875,Listas!I:I,Listas!J:J),"OUTROS"))))</f>
        <v>CANCELADA</v>
      </c>
      <c r="J875" s="435" t="s">
        <v>116</v>
      </c>
      <c r="K875" s="435" t="s">
        <v>228</v>
      </c>
      <c r="L875" s="435" t="s">
        <v>807</v>
      </c>
      <c r="M875" s="435"/>
      <c r="N875" s="435" t="s">
        <v>88</v>
      </c>
      <c r="O875" s="306" t="s">
        <v>34</v>
      </c>
      <c r="P875" s="306" t="s">
        <v>57</v>
      </c>
      <c r="Q875" s="306" t="s">
        <v>308</v>
      </c>
      <c r="R875" s="436" t="s">
        <v>2198</v>
      </c>
      <c r="S875" s="437"/>
      <c r="T875" s="438"/>
      <c r="U875" s="189"/>
      <c r="V875" s="328"/>
      <c r="W875" s="305"/>
      <c r="X875" s="306"/>
      <c r="Y875" s="307"/>
      <c r="Z875" s="307"/>
      <c r="AA875" s="329"/>
      <c r="AB875" s="439" t="s">
        <v>2421</v>
      </c>
      <c r="AC875" s="439" t="s">
        <v>1705</v>
      </c>
      <c r="AD875" s="329">
        <v>0</v>
      </c>
    </row>
    <row r="876" spans="1:30" ht="18" customHeight="1">
      <c r="A876" s="237">
        <v>30721</v>
      </c>
      <c r="B876" s="121">
        <v>1</v>
      </c>
      <c r="C876" s="238">
        <v>46184</v>
      </c>
      <c r="D876" s="105">
        <f t="shared" ca="1" si="40"/>
        <v>43</v>
      </c>
      <c r="E876" s="138" t="str">
        <f t="shared" si="41"/>
        <v>ADMITIDO</v>
      </c>
      <c r="F876" s="230" t="s">
        <v>42</v>
      </c>
      <c r="G876" s="147" t="s">
        <v>29</v>
      </c>
      <c r="H876" s="117" t="s">
        <v>40</v>
      </c>
      <c r="I876" s="117" t="str">
        <f>IF(X876="ADMITIDO","ADMITIDO",IF(X876="CANCELADA","CANCELADA",IF(H876="","",IFERROR(_xlfn.XLOOKUP(H876,Listas!I:I,Listas!J:J),"OUTROS"))))</f>
        <v>ADMITIDO</v>
      </c>
      <c r="J876" s="240" t="s">
        <v>116</v>
      </c>
      <c r="K876" s="240" t="s">
        <v>228</v>
      </c>
      <c r="L876" s="240" t="s">
        <v>807</v>
      </c>
      <c r="M876" s="240"/>
      <c r="N876" s="240" t="s">
        <v>88</v>
      </c>
      <c r="O876" s="119" t="s">
        <v>34</v>
      </c>
      <c r="P876" s="119" t="s">
        <v>57</v>
      </c>
      <c r="Q876" s="119" t="s">
        <v>231</v>
      </c>
      <c r="R876" s="234"/>
      <c r="S876" s="273"/>
      <c r="T876" s="274" t="s">
        <v>2422</v>
      </c>
      <c r="U876" s="73" t="s">
        <v>38</v>
      </c>
      <c r="V876" s="216">
        <v>46199</v>
      </c>
      <c r="W876" s="118" t="s">
        <v>2423</v>
      </c>
      <c r="X876" s="119" t="s">
        <v>40</v>
      </c>
      <c r="Y876" s="120">
        <v>46206</v>
      </c>
      <c r="Z876" s="120">
        <v>46211</v>
      </c>
      <c r="AA876" s="244">
        <v>914559</v>
      </c>
      <c r="AB876" s="241"/>
      <c r="AC876" s="241"/>
      <c r="AD876" s="244">
        <v>0</v>
      </c>
    </row>
    <row r="877" spans="1:30" ht="18" customHeight="1">
      <c r="A877" s="237">
        <v>30728</v>
      </c>
      <c r="B877" s="121">
        <v>1</v>
      </c>
      <c r="C877" s="238">
        <v>46184</v>
      </c>
      <c r="D877" s="105">
        <f t="shared" ca="1" si="40"/>
        <v>43</v>
      </c>
      <c r="E877" s="138" t="str">
        <f t="shared" ca="1" si="41"/>
        <v>CRÍTICO</v>
      </c>
      <c r="F877" s="230" t="s">
        <v>42</v>
      </c>
      <c r="G877" s="147" t="s">
        <v>102</v>
      </c>
      <c r="H877" s="117" t="s">
        <v>91</v>
      </c>
      <c r="I877" s="117" t="str">
        <f>IF(X877="ADMITIDO","ADMITIDO",IF(X877="CANCELADA","CANCELADA",IF(H877="","",IFERROR(_xlfn.XLOOKUP(H877,Listas!I:I,Listas!J:J),"OUTROS"))))</f>
        <v>TRIAGEM</v>
      </c>
      <c r="J877" s="240" t="s">
        <v>53</v>
      </c>
      <c r="K877" s="240" t="s">
        <v>103</v>
      </c>
      <c r="L877" s="240" t="s">
        <v>273</v>
      </c>
      <c r="M877" s="240"/>
      <c r="N877" s="240" t="s">
        <v>274</v>
      </c>
      <c r="O877" s="119" t="s">
        <v>34</v>
      </c>
      <c r="P877" s="119" t="s">
        <v>48</v>
      </c>
      <c r="Q877" s="119" t="s">
        <v>49</v>
      </c>
      <c r="R877" s="273"/>
      <c r="S877" s="273"/>
      <c r="T877" s="274"/>
      <c r="U877" s="73" t="s">
        <v>109</v>
      </c>
      <c r="V877" s="216">
        <v>46226</v>
      </c>
      <c r="W877" s="118" t="s">
        <v>2424</v>
      </c>
      <c r="X877" s="119" t="s">
        <v>284</v>
      </c>
      <c r="Y877" s="120"/>
      <c r="Z877" s="120"/>
      <c r="AA877" s="244"/>
      <c r="AB877" s="241"/>
      <c r="AC877" s="241"/>
      <c r="AD877" s="244">
        <v>0</v>
      </c>
    </row>
    <row r="878" spans="1:30" ht="18" customHeight="1">
      <c r="A878" s="402">
        <v>30716</v>
      </c>
      <c r="B878" s="406">
        <v>1</v>
      </c>
      <c r="C878" s="403">
        <v>46184</v>
      </c>
      <c r="D878" s="380">
        <f t="shared" ca="1" si="40"/>
        <v>43</v>
      </c>
      <c r="E878" s="381" t="str">
        <f t="shared" si="41"/>
        <v>ADMITIDO</v>
      </c>
      <c r="F878" s="395" t="s">
        <v>28</v>
      </c>
      <c r="G878" s="390" t="s">
        <v>60</v>
      </c>
      <c r="H878" s="382" t="s">
        <v>40</v>
      </c>
      <c r="I878" s="382" t="str">
        <f>IF(X878="ADMITIDO","ADMITIDO",IF(X878="CANCELADA","CANCELADA",IF(H878="","",IFERROR(_xlfn.XLOOKUP(H878,Listas!I:I,Listas!J:J),"OUTROS"))))</f>
        <v>ADMITIDO</v>
      </c>
      <c r="J878" s="464" t="s">
        <v>146</v>
      </c>
      <c r="K878" s="435" t="s">
        <v>330</v>
      </c>
      <c r="L878" s="435" t="s">
        <v>434</v>
      </c>
      <c r="M878" s="435"/>
      <c r="N878" s="435" t="s">
        <v>435</v>
      </c>
      <c r="O878" s="306" t="s">
        <v>34</v>
      </c>
      <c r="P878" s="306" t="s">
        <v>35</v>
      </c>
      <c r="Q878" s="306" t="s">
        <v>612</v>
      </c>
      <c r="R878" s="436"/>
      <c r="S878" s="437" t="s">
        <v>2425</v>
      </c>
      <c r="T878" s="438" t="s">
        <v>2426</v>
      </c>
      <c r="U878" s="189" t="s">
        <v>76</v>
      </c>
      <c r="V878" s="328">
        <v>46195</v>
      </c>
      <c r="W878" s="305" t="s">
        <v>2427</v>
      </c>
      <c r="X878" s="306" t="s">
        <v>40</v>
      </c>
      <c r="Y878" s="307">
        <v>46198</v>
      </c>
      <c r="Z878" s="307">
        <v>46202</v>
      </c>
      <c r="AA878" s="329">
        <v>914513</v>
      </c>
      <c r="AB878" s="439"/>
      <c r="AC878" s="439"/>
      <c r="AD878" s="329">
        <v>0</v>
      </c>
    </row>
    <row r="879" spans="1:30" ht="18" customHeight="1">
      <c r="A879" s="237">
        <v>30717</v>
      </c>
      <c r="B879" s="121">
        <v>1</v>
      </c>
      <c r="C879" s="238">
        <v>46184</v>
      </c>
      <c r="D879" s="105">
        <f t="shared" ca="1" si="40"/>
        <v>43</v>
      </c>
      <c r="E879" s="138" t="str">
        <f t="shared" si="41"/>
        <v>CANCELADA</v>
      </c>
      <c r="F879" s="230" t="s">
        <v>28</v>
      </c>
      <c r="G879" s="147" t="s">
        <v>60</v>
      </c>
      <c r="H879" s="117" t="s">
        <v>52</v>
      </c>
      <c r="I879" s="117" t="str">
        <f>IF(X879="ADMITIDO","ADMITIDO",IF(X879="CANCELADA","CANCELADA",IF(H879="","",IFERROR(_xlfn.XLOOKUP(H879,Listas!I:I,Listas!J:J),"OUTROS"))))</f>
        <v>CANCELADA</v>
      </c>
      <c r="J879" s="240" t="s">
        <v>268</v>
      </c>
      <c r="K879" s="240" t="s">
        <v>330</v>
      </c>
      <c r="L879" s="240" t="s">
        <v>605</v>
      </c>
      <c r="M879" s="240"/>
      <c r="N879" s="240" t="s">
        <v>63</v>
      </c>
      <c r="O879" s="119" t="s">
        <v>34</v>
      </c>
      <c r="P879" s="119" t="s">
        <v>35</v>
      </c>
      <c r="Q879" s="119" t="s">
        <v>36</v>
      </c>
      <c r="R879" s="234"/>
      <c r="S879" s="273"/>
      <c r="T879" s="320"/>
      <c r="U879" s="73"/>
      <c r="V879" s="216"/>
      <c r="W879" s="118"/>
      <c r="X879" s="119"/>
      <c r="Y879" s="120"/>
      <c r="Z879" s="120"/>
      <c r="AA879" s="244"/>
      <c r="AB879" s="241"/>
      <c r="AC879" s="241"/>
      <c r="AD879" s="244">
        <v>0</v>
      </c>
    </row>
    <row r="880" spans="1:30" ht="18" customHeight="1">
      <c r="A880" s="396">
        <v>30724</v>
      </c>
      <c r="B880" s="405">
        <v>1</v>
      </c>
      <c r="C880" s="404">
        <v>46184</v>
      </c>
      <c r="D880" s="386">
        <f t="shared" ca="1" si="40"/>
        <v>43</v>
      </c>
      <c r="E880" s="170" t="str">
        <f t="shared" si="41"/>
        <v>ADMITIDO</v>
      </c>
      <c r="F880" s="397" t="s">
        <v>42</v>
      </c>
      <c r="G880" s="392" t="s">
        <v>69</v>
      </c>
      <c r="H880" s="139" t="s">
        <v>40</v>
      </c>
      <c r="I880" s="139" t="str">
        <f>IF(X880="ADMITIDO","ADMITIDO",IF(X880="CANCELADA","CANCELADA",IF(H880="","",IFERROR(_xlfn.XLOOKUP(H880,Listas!I:I,Listas!J:J),"OUTROS"))))</f>
        <v>ADMITIDO</v>
      </c>
      <c r="J880" s="427" t="s">
        <v>53</v>
      </c>
      <c r="K880" s="428" t="s">
        <v>158</v>
      </c>
      <c r="L880" s="428" t="s">
        <v>618</v>
      </c>
      <c r="M880" s="428"/>
      <c r="N880" s="428" t="s">
        <v>63</v>
      </c>
      <c r="O880" s="308" t="s">
        <v>34</v>
      </c>
      <c r="P880" s="308" t="s">
        <v>72</v>
      </c>
      <c r="Q880" s="308" t="s">
        <v>619</v>
      </c>
      <c r="R880" s="431"/>
      <c r="S880" s="432"/>
      <c r="T880" s="352"/>
      <c r="U880" s="327" t="s">
        <v>132</v>
      </c>
      <c r="V880" s="315">
        <v>46190</v>
      </c>
      <c r="W880" s="310" t="s">
        <v>2428</v>
      </c>
      <c r="X880" s="308" t="s">
        <v>40</v>
      </c>
      <c r="Y880" s="309">
        <v>46192</v>
      </c>
      <c r="Z880" s="309">
        <v>46195</v>
      </c>
      <c r="AA880" s="316">
        <v>146128</v>
      </c>
      <c r="AB880" s="351"/>
      <c r="AC880" s="351"/>
      <c r="AD880" s="316">
        <v>0</v>
      </c>
    </row>
    <row r="881" spans="1:30" ht="18" customHeight="1">
      <c r="A881" s="374">
        <v>30723</v>
      </c>
      <c r="B881" s="376">
        <v>1</v>
      </c>
      <c r="C881" s="375">
        <v>46184</v>
      </c>
      <c r="D881" s="367">
        <f t="shared" ca="1" si="40"/>
        <v>43</v>
      </c>
      <c r="E881" s="368" t="str">
        <f t="shared" si="41"/>
        <v>ADMITIDO</v>
      </c>
      <c r="F881" s="371" t="s">
        <v>42</v>
      </c>
      <c r="G881" s="369" t="s">
        <v>69</v>
      </c>
      <c r="H881" s="146" t="s">
        <v>40</v>
      </c>
      <c r="I881" s="146" t="str">
        <f>IF(X881="ADMITIDO","ADMITIDO",IF(X881="CANCELADA","CANCELADA",IF(H881="","",IFERROR(_xlfn.XLOOKUP(H881,Listas!I:I,Listas!J:J),"OUTROS"))))</f>
        <v>ADMITIDO</v>
      </c>
      <c r="J881" s="414" t="s">
        <v>44</v>
      </c>
      <c r="K881" s="415" t="s">
        <v>158</v>
      </c>
      <c r="L881" s="415" t="s">
        <v>618</v>
      </c>
      <c r="M881" s="415"/>
      <c r="N881" s="415" t="s">
        <v>63</v>
      </c>
      <c r="O881" s="303" t="s">
        <v>34</v>
      </c>
      <c r="P881" s="303" t="s">
        <v>72</v>
      </c>
      <c r="Q881" s="303" t="s">
        <v>619</v>
      </c>
      <c r="R881" s="418" t="s">
        <v>2429</v>
      </c>
      <c r="S881" s="419"/>
      <c r="T881" s="345"/>
      <c r="U881" s="326" t="s">
        <v>76</v>
      </c>
      <c r="V881" s="313">
        <v>46191</v>
      </c>
      <c r="W881" s="302" t="s">
        <v>2430</v>
      </c>
      <c r="X881" s="303" t="s">
        <v>40</v>
      </c>
      <c r="Y881" s="304">
        <v>46192</v>
      </c>
      <c r="Z881" s="304">
        <v>46195</v>
      </c>
      <c r="AA881" s="314">
        <v>146126</v>
      </c>
      <c r="AB881" s="346"/>
      <c r="AC881" s="346"/>
      <c r="AD881" s="314">
        <v>1</v>
      </c>
    </row>
    <row r="882" spans="1:30" ht="18" customHeight="1">
      <c r="A882" s="237">
        <v>30713</v>
      </c>
      <c r="B882" s="121">
        <v>1</v>
      </c>
      <c r="C882" s="238">
        <v>46184</v>
      </c>
      <c r="D882" s="105">
        <f t="shared" ca="1" si="40"/>
        <v>43</v>
      </c>
      <c r="E882" s="138" t="str">
        <f t="shared" si="41"/>
        <v>ADMITIDO</v>
      </c>
      <c r="F882" s="230" t="s">
        <v>28</v>
      </c>
      <c r="G882" s="147" t="s">
        <v>29</v>
      </c>
      <c r="H882" s="117" t="s">
        <v>40</v>
      </c>
      <c r="I882" s="117" t="str">
        <f>IF(X882="ADMITIDO","ADMITIDO",IF(X882="CANCELADA","CANCELADA",IF(H882="","",IFERROR(_xlfn.XLOOKUP(H882,Listas!I:I,Listas!J:J),"OUTROS"))))</f>
        <v>ADMITIDO</v>
      </c>
      <c r="J882" s="240" t="s">
        <v>146</v>
      </c>
      <c r="K882" s="240" t="s">
        <v>86</v>
      </c>
      <c r="L882" s="240" t="s">
        <v>903</v>
      </c>
      <c r="M882" s="240"/>
      <c r="N882" s="240" t="s">
        <v>904</v>
      </c>
      <c r="O882" s="119" t="s">
        <v>34</v>
      </c>
      <c r="P882" s="119" t="s">
        <v>35</v>
      </c>
      <c r="Q882" s="119" t="s">
        <v>905</v>
      </c>
      <c r="R882" s="234"/>
      <c r="S882" s="273"/>
      <c r="T882" s="274" t="s">
        <v>2431</v>
      </c>
      <c r="U882" s="73" t="s">
        <v>38</v>
      </c>
      <c r="V882" s="216">
        <v>46029</v>
      </c>
      <c r="W882" s="118" t="s">
        <v>2432</v>
      </c>
      <c r="X882" s="119" t="s">
        <v>40</v>
      </c>
      <c r="Y882" s="120">
        <v>46206</v>
      </c>
      <c r="Z882" s="120">
        <v>46207</v>
      </c>
      <c r="AA882" s="244">
        <v>914581</v>
      </c>
      <c r="AB882" s="241" t="s">
        <v>2433</v>
      </c>
      <c r="AC882" s="241"/>
      <c r="AD882" s="244">
        <v>1</v>
      </c>
    </row>
    <row r="883" spans="1:30" ht="18" customHeight="1">
      <c r="A883" s="402">
        <v>30714</v>
      </c>
      <c r="B883" s="406">
        <v>1</v>
      </c>
      <c r="C883" s="403">
        <v>46184</v>
      </c>
      <c r="D883" s="380">
        <f t="shared" ca="1" si="40"/>
        <v>43</v>
      </c>
      <c r="E883" s="381" t="str">
        <f t="shared" si="41"/>
        <v>CANCELADA</v>
      </c>
      <c r="F883" s="395" t="s">
        <v>28</v>
      </c>
      <c r="G883" s="390" t="s">
        <v>29</v>
      </c>
      <c r="H883" s="382" t="s">
        <v>52</v>
      </c>
      <c r="I883" s="382" t="str">
        <f>IF(X883="ADMITIDO","ADMITIDO",IF(X883="CANCELADA","CANCELADA",IF(H883="","",IFERROR(_xlfn.XLOOKUP(H883,Listas!I:I,Listas!J:J),"OUTROS"))))</f>
        <v>CANCELADA</v>
      </c>
      <c r="J883" s="428" t="s">
        <v>146</v>
      </c>
      <c r="K883" s="428" t="s">
        <v>614</v>
      </c>
      <c r="L883" s="428" t="s">
        <v>2270</v>
      </c>
      <c r="M883" s="428"/>
      <c r="N883" s="428" t="s">
        <v>2092</v>
      </c>
      <c r="O883" s="308" t="s">
        <v>56</v>
      </c>
      <c r="P883" s="308" t="s">
        <v>35</v>
      </c>
      <c r="Q883" s="308" t="s">
        <v>176</v>
      </c>
      <c r="R883" s="431"/>
      <c r="S883" s="432"/>
      <c r="T883" s="352"/>
      <c r="U883" s="327"/>
      <c r="V883" s="315"/>
      <c r="W883" s="310"/>
      <c r="X883" s="308" t="s">
        <v>52</v>
      </c>
      <c r="Y883" s="309"/>
      <c r="Z883" s="309"/>
      <c r="AA883" s="316"/>
      <c r="AB883" s="351" t="s">
        <v>2292</v>
      </c>
      <c r="AC883" s="351" t="s">
        <v>2434</v>
      </c>
      <c r="AD883" s="316">
        <v>0</v>
      </c>
    </row>
    <row r="884" spans="1:30" ht="18" customHeight="1">
      <c r="A884" s="374">
        <v>30729</v>
      </c>
      <c r="B884" s="376">
        <v>1</v>
      </c>
      <c r="C884" s="375">
        <v>46184</v>
      </c>
      <c r="D884" s="367">
        <f t="shared" ca="1" si="40"/>
        <v>43</v>
      </c>
      <c r="E884" s="368" t="str">
        <f t="shared" si="41"/>
        <v>ADMITIDO</v>
      </c>
      <c r="F884" s="371" t="s">
        <v>42</v>
      </c>
      <c r="G884" s="369" t="s">
        <v>60</v>
      </c>
      <c r="H884" s="146" t="s">
        <v>40</v>
      </c>
      <c r="I884" s="146" t="str">
        <f>IF(X884="ADMITIDO","ADMITIDO",IF(X884="CANCELADA","CANCELADA",IF(H884="","",IFERROR(_xlfn.XLOOKUP(H884,Listas!I:I,Listas!J:J),"OUTROS"))))</f>
        <v>ADMITIDO</v>
      </c>
      <c r="J884" s="414" t="s">
        <v>53</v>
      </c>
      <c r="K884" s="415" t="s">
        <v>61</v>
      </c>
      <c r="L884" s="415" t="s">
        <v>2435</v>
      </c>
      <c r="M884" s="415"/>
      <c r="N884" s="415" t="s">
        <v>63</v>
      </c>
      <c r="O884" s="303" t="s">
        <v>34</v>
      </c>
      <c r="P884" s="303" t="s">
        <v>48</v>
      </c>
      <c r="Q884" s="303" t="s">
        <v>2093</v>
      </c>
      <c r="R884" s="418"/>
      <c r="S884" s="419" t="s">
        <v>2436</v>
      </c>
      <c r="T884" s="345" t="s">
        <v>2437</v>
      </c>
      <c r="U884" s="326" t="s">
        <v>109</v>
      </c>
      <c r="V884" s="313">
        <v>46195</v>
      </c>
      <c r="W884" s="302" t="s">
        <v>2438</v>
      </c>
      <c r="X884" s="303" t="s">
        <v>40</v>
      </c>
      <c r="Y884" s="304">
        <v>46199</v>
      </c>
      <c r="Z884" s="304">
        <v>46203</v>
      </c>
      <c r="AA884" s="314">
        <v>146159</v>
      </c>
      <c r="AB884" s="346"/>
      <c r="AC884" s="346"/>
      <c r="AD884" s="314">
        <v>0</v>
      </c>
    </row>
    <row r="885" spans="1:30" ht="18" customHeight="1">
      <c r="A885" s="237">
        <v>30725</v>
      </c>
      <c r="B885" s="121">
        <v>1</v>
      </c>
      <c r="C885" s="238">
        <v>46184</v>
      </c>
      <c r="D885" s="105">
        <f ca="1">TODAY()-C885</f>
        <v>43</v>
      </c>
      <c r="E885" s="138" t="str">
        <f>IF(X885="ADMITIDO","ADMITIDO",IF(X885="CANCELADA","CANCELADA",IF(H885="","",IF(H885="ADMITIDO","ADMITIDO",IF(H885="CANCELADA","CANCELADA",IF(OR(H885="ANALISE CANCELAMENTO",H885="ANÁLISE CANCELAMENTO"),"EM ANÁLISE",IF(D885="","",IF(D885&lt;=7,"NO PRAZO",IF(D885&lt;=14,"ATENÇÃO","CRÍTICO")))))))))</f>
        <v>ADMITIDO</v>
      </c>
      <c r="F885" s="230" t="s">
        <v>42</v>
      </c>
      <c r="G885" s="147" t="s">
        <v>69</v>
      </c>
      <c r="H885" s="117" t="s">
        <v>40</v>
      </c>
      <c r="I885" s="117" t="str">
        <f>IF(X885="ADMITIDO","ADMITIDO",IF(X885="CANCELADA","CANCELADA",IF(H885="","",IFERROR(_xlfn.XLOOKUP(H885,Listas!I:I,Listas!J:J),"OUTROS"))))</f>
        <v>ADMITIDO</v>
      </c>
      <c r="J885" s="240" t="s">
        <v>53</v>
      </c>
      <c r="K885" s="240" t="s">
        <v>158</v>
      </c>
      <c r="L885" s="240" t="s">
        <v>921</v>
      </c>
      <c r="M885" s="240"/>
      <c r="N885" s="240" t="s">
        <v>672</v>
      </c>
      <c r="O885" s="119" t="s">
        <v>34</v>
      </c>
      <c r="P885" s="119" t="s">
        <v>48</v>
      </c>
      <c r="Q885" s="119" t="s">
        <v>131</v>
      </c>
      <c r="R885" s="234"/>
      <c r="S885" s="273"/>
      <c r="T885" s="274"/>
      <c r="U885" s="73" t="s">
        <v>76</v>
      </c>
      <c r="V885" s="216">
        <v>46202</v>
      </c>
      <c r="W885" s="118" t="s">
        <v>2439</v>
      </c>
      <c r="X885" s="119" t="s">
        <v>40</v>
      </c>
      <c r="Y885" s="120">
        <v>46205</v>
      </c>
      <c r="Z885" s="120">
        <v>46209</v>
      </c>
      <c r="AA885" s="244">
        <v>914578</v>
      </c>
      <c r="AB885" s="241" t="s">
        <v>2440</v>
      </c>
      <c r="AC885" s="241"/>
      <c r="AD885" s="244">
        <v>1</v>
      </c>
    </row>
    <row r="886" spans="1:30" ht="18" customHeight="1">
      <c r="A886" s="402">
        <v>30745</v>
      </c>
      <c r="B886" s="406">
        <v>1</v>
      </c>
      <c r="C886" s="403">
        <v>46185</v>
      </c>
      <c r="D886" s="380">
        <f t="shared" ref="D886:D950" ca="1" si="42">TODAY()-C886</f>
        <v>42</v>
      </c>
      <c r="E886" s="381" t="str">
        <f t="shared" ref="E886:E950" si="43">IF(X886="ADMITIDO","ADMITIDO",IF(X886="CANCELADA","CANCELADA",IF(H886="","",IF(H886="ADMITIDO","ADMITIDO",IF(H886="CANCELADA","CANCELADA",IF(OR(H886="ANALISE CANCELAMENTO",H886="ANÁLISE CANCELAMENTO"),"EM ANÁLISE",IF(D886="","",IF(D886&lt;=7,"NO PRAZO",IF(D886&lt;=14,"ATENÇÃO","CRÍTICO")))))))))</f>
        <v>ADMITIDO</v>
      </c>
      <c r="F886" s="395" t="s">
        <v>119</v>
      </c>
      <c r="G886" s="390" t="s">
        <v>821</v>
      </c>
      <c r="H886" s="382" t="s">
        <v>40</v>
      </c>
      <c r="I886" s="382" t="str">
        <f>IF(X886="ADMITIDO","ADMITIDO",IF(X886="CANCELADA","CANCELADA",IF(H886="","",IFERROR(_xlfn.XLOOKUP(H886,Listas!I:I,Listas!J:J),"OUTROS"))))</f>
        <v>ADMITIDO</v>
      </c>
      <c r="J886" s="464" t="s">
        <v>2441</v>
      </c>
      <c r="K886" s="435" t="s">
        <v>835</v>
      </c>
      <c r="L886" s="435" t="s">
        <v>836</v>
      </c>
      <c r="M886" s="435"/>
      <c r="N886" s="435" t="s">
        <v>119</v>
      </c>
      <c r="O886" s="306" t="s">
        <v>34</v>
      </c>
      <c r="P886" s="306" t="s">
        <v>48</v>
      </c>
      <c r="Q886" s="306" t="s">
        <v>441</v>
      </c>
      <c r="R886" s="436" t="s">
        <v>2442</v>
      </c>
      <c r="S886" s="437" t="s">
        <v>2215</v>
      </c>
      <c r="T886" s="438"/>
      <c r="U886" s="189" t="s">
        <v>132</v>
      </c>
      <c r="V886" s="328">
        <v>46188</v>
      </c>
      <c r="W886" s="305" t="s">
        <v>2443</v>
      </c>
      <c r="X886" s="306" t="s">
        <v>40</v>
      </c>
      <c r="Y886" s="307">
        <v>46190</v>
      </c>
      <c r="Z886" s="307">
        <v>46190</v>
      </c>
      <c r="AA886" s="329">
        <v>146108</v>
      </c>
      <c r="AB886" s="439"/>
      <c r="AC886" s="439"/>
      <c r="AD886" s="329">
        <v>0</v>
      </c>
    </row>
    <row r="887" spans="1:30" ht="18" customHeight="1">
      <c r="A887" s="237">
        <v>30760</v>
      </c>
      <c r="B887" s="121">
        <v>1</v>
      </c>
      <c r="C887" s="238">
        <v>46185</v>
      </c>
      <c r="D887" s="105">
        <f t="shared" ca="1" si="42"/>
        <v>42</v>
      </c>
      <c r="E887" s="138" t="str">
        <f t="shared" si="43"/>
        <v>ADMITIDO</v>
      </c>
      <c r="F887" s="230" t="s">
        <v>171</v>
      </c>
      <c r="G887" s="147" t="s">
        <v>60</v>
      </c>
      <c r="H887" s="117" t="s">
        <v>40</v>
      </c>
      <c r="I887" s="117" t="str">
        <f>IF(X887="ADMITIDO","ADMITIDO",IF(X887="CANCELADA","CANCELADA",IF(H887="","",IFERROR(_xlfn.XLOOKUP(H887,Listas!I:I,Listas!J:J),"OUTROS"))))</f>
        <v>ADMITIDO</v>
      </c>
      <c r="J887" s="240" t="s">
        <v>787</v>
      </c>
      <c r="K887" s="240" t="s">
        <v>318</v>
      </c>
      <c r="L887" s="240" t="s">
        <v>1821</v>
      </c>
      <c r="M887" s="240"/>
      <c r="N887" s="240" t="s">
        <v>999</v>
      </c>
      <c r="O887" s="119" t="s">
        <v>56</v>
      </c>
      <c r="P887" s="119" t="s">
        <v>35</v>
      </c>
      <c r="Q887" s="119" t="s">
        <v>678</v>
      </c>
      <c r="R887" s="234" t="s">
        <v>2444</v>
      </c>
      <c r="S887" s="273" t="s">
        <v>1533</v>
      </c>
      <c r="T887" s="274" t="s">
        <v>2445</v>
      </c>
      <c r="U887" s="73" t="s">
        <v>109</v>
      </c>
      <c r="V887" s="216">
        <v>46199</v>
      </c>
      <c r="W887" s="118" t="s">
        <v>2446</v>
      </c>
      <c r="X887" s="119" t="s">
        <v>40</v>
      </c>
      <c r="Y887" s="120">
        <v>46203</v>
      </c>
      <c r="Z887" s="120">
        <v>46205</v>
      </c>
      <c r="AA887" s="244">
        <v>83362</v>
      </c>
      <c r="AB887" s="241"/>
      <c r="AC887" s="241"/>
      <c r="AD887" s="244">
        <v>0</v>
      </c>
    </row>
    <row r="888" spans="1:30" ht="18" customHeight="1">
      <c r="A888" s="396">
        <v>30762</v>
      </c>
      <c r="B888" s="405">
        <v>1</v>
      </c>
      <c r="C888" s="404">
        <v>46185</v>
      </c>
      <c r="D888" s="386">
        <f t="shared" ca="1" si="42"/>
        <v>42</v>
      </c>
      <c r="E888" s="170" t="str">
        <f t="shared" ca="1" si="43"/>
        <v>CRÍTICO</v>
      </c>
      <c r="F888" s="397" t="s">
        <v>28</v>
      </c>
      <c r="G888" s="392" t="s">
        <v>663</v>
      </c>
      <c r="H888" s="139" t="s">
        <v>91</v>
      </c>
      <c r="I888" s="139" t="str">
        <f>IF(X888="ADMITIDO","ADMITIDO",IF(X888="CANCELADA","CANCELADA",IF(H888="","",IFERROR(_xlfn.XLOOKUP(H888,Listas!I:I,Listas!J:J),"OUTROS"))))</f>
        <v>TRIAGEM</v>
      </c>
      <c r="J888" s="428" t="s">
        <v>268</v>
      </c>
      <c r="K888" s="428" t="s">
        <v>614</v>
      </c>
      <c r="L888" s="428" t="s">
        <v>2447</v>
      </c>
      <c r="M888" s="428"/>
      <c r="N888" s="428" t="s">
        <v>33</v>
      </c>
      <c r="O888" s="308" t="s">
        <v>56</v>
      </c>
      <c r="P888" s="308" t="s">
        <v>35</v>
      </c>
      <c r="Q888" s="308" t="s">
        <v>176</v>
      </c>
      <c r="R888" s="431" t="s">
        <v>2448</v>
      </c>
      <c r="S888" s="432"/>
      <c r="T888" s="352"/>
      <c r="U888" s="327"/>
      <c r="V888" s="315"/>
      <c r="W888" s="310"/>
      <c r="X888" s="308"/>
      <c r="Y888" s="309"/>
      <c r="Z888" s="309"/>
      <c r="AA888" s="316"/>
      <c r="AB888" s="351"/>
      <c r="AC888" s="351"/>
      <c r="AD888" s="316">
        <v>0</v>
      </c>
    </row>
    <row r="889" spans="1:30" ht="18" customHeight="1">
      <c r="A889" s="396">
        <v>30749</v>
      </c>
      <c r="B889" s="405">
        <v>1</v>
      </c>
      <c r="C889" s="404">
        <v>46185</v>
      </c>
      <c r="D889" s="386">
        <f t="shared" ca="1" si="42"/>
        <v>42</v>
      </c>
      <c r="E889" s="170" t="str">
        <f t="shared" si="43"/>
        <v>ADMITIDO</v>
      </c>
      <c r="F889" s="397" t="s">
        <v>28</v>
      </c>
      <c r="G889" s="392" t="s">
        <v>43</v>
      </c>
      <c r="H889" s="139" t="s">
        <v>40</v>
      </c>
      <c r="I889" s="139" t="str">
        <f>IF(X889="ADMITIDO","ADMITIDO",IF(X889="CANCELADA","CANCELADA",IF(H889="","",IFERROR(_xlfn.XLOOKUP(H889,Listas!I:I,Listas!J:J),"OUTROS"))))</f>
        <v>ADMITIDO</v>
      </c>
      <c r="J889" s="427" t="s">
        <v>268</v>
      </c>
      <c r="K889" s="428" t="s">
        <v>360</v>
      </c>
      <c r="L889" s="428" t="s">
        <v>2449</v>
      </c>
      <c r="M889" s="428"/>
      <c r="N889" s="428" t="s">
        <v>148</v>
      </c>
      <c r="O889" s="308" t="s">
        <v>34</v>
      </c>
      <c r="P889" t="s">
        <v>2450</v>
      </c>
      <c r="Q889" s="308" t="s">
        <v>813</v>
      </c>
      <c r="R889" s="431"/>
      <c r="S889" s="432" t="s">
        <v>2451</v>
      </c>
      <c r="T889" s="349">
        <v>11940720191</v>
      </c>
      <c r="U889" s="327" t="s">
        <v>67</v>
      </c>
      <c r="V889" s="315">
        <v>46188</v>
      </c>
      <c r="W889" s="310" t="s">
        <v>2452</v>
      </c>
      <c r="X889" s="308" t="s">
        <v>40</v>
      </c>
      <c r="Y889" s="309">
        <v>46199</v>
      </c>
      <c r="Z889" s="309">
        <v>46199</v>
      </c>
      <c r="AA889" s="316">
        <v>914520</v>
      </c>
      <c r="AB889" s="350"/>
      <c r="AC889" s="351"/>
      <c r="AD889" s="316">
        <v>0</v>
      </c>
    </row>
    <row r="890" spans="1:30" ht="18" customHeight="1">
      <c r="A890" s="374">
        <v>30750</v>
      </c>
      <c r="B890" s="376">
        <v>1</v>
      </c>
      <c r="C890" s="375">
        <v>46185</v>
      </c>
      <c r="D890" s="367">
        <f t="shared" ca="1" si="42"/>
        <v>42</v>
      </c>
      <c r="E890" s="368" t="str">
        <f t="shared" si="43"/>
        <v>ADMITIDO</v>
      </c>
      <c r="F890" s="371" t="s">
        <v>28</v>
      </c>
      <c r="G890" s="369" t="s">
        <v>43</v>
      </c>
      <c r="H890" s="146" t="s">
        <v>40</v>
      </c>
      <c r="I890" s="146" t="str">
        <f>IF(X890="ADMITIDO","ADMITIDO",IF(X890="CANCELADA","CANCELADA",IF(H890="","",IFERROR(_xlfn.XLOOKUP(H890,Listas!I:I,Listas!J:J),"OUTROS"))))</f>
        <v>ADMITIDO</v>
      </c>
      <c r="J890" s="414" t="s">
        <v>268</v>
      </c>
      <c r="K890" s="415" t="s">
        <v>2453</v>
      </c>
      <c r="L890" s="415" t="s">
        <v>2449</v>
      </c>
      <c r="M890" s="415"/>
      <c r="N890" s="415" t="s">
        <v>148</v>
      </c>
      <c r="O890" s="303" t="s">
        <v>34</v>
      </c>
      <c r="P890" t="s">
        <v>2454</v>
      </c>
      <c r="Q890" s="303" t="s">
        <v>813</v>
      </c>
      <c r="R890" s="418"/>
      <c r="S890" s="318" t="s">
        <v>2451</v>
      </c>
      <c r="T890" s="347">
        <v>11972184239</v>
      </c>
      <c r="U890" s="326" t="s">
        <v>67</v>
      </c>
      <c r="V890" s="313">
        <v>46188</v>
      </c>
      <c r="W890" s="341" t="s">
        <v>2455</v>
      </c>
      <c r="X890" s="303" t="s">
        <v>40</v>
      </c>
      <c r="Y890" s="304">
        <v>46198</v>
      </c>
      <c r="Z890" s="304">
        <v>46198</v>
      </c>
      <c r="AA890" s="314">
        <v>914508</v>
      </c>
      <c r="AB890" s="348" t="s">
        <v>2456</v>
      </c>
      <c r="AC890" s="346"/>
      <c r="AD890" s="314">
        <v>0</v>
      </c>
    </row>
    <row r="891" spans="1:30" ht="18" customHeight="1">
      <c r="A891" s="237">
        <v>30715</v>
      </c>
      <c r="B891" s="121">
        <v>1</v>
      </c>
      <c r="C891" s="238">
        <v>46185</v>
      </c>
      <c r="D891" s="105">
        <f t="shared" ca="1" si="42"/>
        <v>42</v>
      </c>
      <c r="E891" s="138" t="str">
        <f t="shared" si="43"/>
        <v>ADMITIDO</v>
      </c>
      <c r="F891" s="230" t="s">
        <v>42</v>
      </c>
      <c r="G891" s="147" t="s">
        <v>663</v>
      </c>
      <c r="H891" s="117" t="s">
        <v>40</v>
      </c>
      <c r="I891" s="117" t="str">
        <f>IF(X891="ADMITIDO","ADMITIDO",IF(X891="CANCELADA","CANCELADA",IF(H891="","",IFERROR(_xlfn.XLOOKUP(H891,Listas!I:I,Listas!J:J),"OUTROS"))))</f>
        <v>ADMITIDO</v>
      </c>
      <c r="J891" s="240" t="s">
        <v>53</v>
      </c>
      <c r="K891" s="240" t="s">
        <v>54</v>
      </c>
      <c r="L891" s="240" t="s">
        <v>164</v>
      </c>
      <c r="M891" s="240"/>
      <c r="N891" s="240" t="s">
        <v>88</v>
      </c>
      <c r="O891" s="119" t="s">
        <v>34</v>
      </c>
      <c r="P891" s="119" t="s">
        <v>57</v>
      </c>
      <c r="Q891" s="119" t="s">
        <v>94</v>
      </c>
      <c r="R891" s="234"/>
      <c r="S891" s="273"/>
      <c r="T891" s="538" t="s">
        <v>2457</v>
      </c>
      <c r="U891" s="326" t="s">
        <v>38</v>
      </c>
      <c r="V891" s="216">
        <v>46216</v>
      </c>
      <c r="W891" s="251" t="s">
        <v>2458</v>
      </c>
      <c r="X891" s="303" t="s">
        <v>40</v>
      </c>
      <c r="Y891" s="304">
        <v>46218</v>
      </c>
      <c r="Z891" s="304">
        <v>46219</v>
      </c>
      <c r="AA891" s="314">
        <v>146237</v>
      </c>
      <c r="AB891" s="346" t="s">
        <v>2459</v>
      </c>
      <c r="AC891" s="346"/>
      <c r="AD891" s="314">
        <v>1</v>
      </c>
    </row>
    <row r="892" spans="1:30" ht="18" customHeight="1">
      <c r="A892" s="396">
        <v>30735</v>
      </c>
      <c r="B892" s="405">
        <v>1</v>
      </c>
      <c r="C892" s="404">
        <v>46185</v>
      </c>
      <c r="D892" s="386">
        <f t="shared" ca="1" si="42"/>
        <v>42</v>
      </c>
      <c r="E892" s="170" t="str">
        <f t="shared" ca="1" si="43"/>
        <v>CRÍTICO</v>
      </c>
      <c r="F892" s="397" t="s">
        <v>171</v>
      </c>
      <c r="G892" s="392" t="s">
        <v>102</v>
      </c>
      <c r="H892" s="139" t="s">
        <v>259</v>
      </c>
      <c r="I892" s="139" t="str">
        <f>IF(X892="ADMITIDO","ADMITIDO",IF(X892="CANCELADA","CANCELADA",IF(H892="","",IFERROR(_xlfn.XLOOKUP(H892,Listas!I:I,Listas!J:J),"OUTROS"))))</f>
        <v>TRIAGEM</v>
      </c>
      <c r="J892" s="428" t="s">
        <v>514</v>
      </c>
      <c r="K892" s="428" t="s">
        <v>371</v>
      </c>
      <c r="L892" s="428" t="s">
        <v>921</v>
      </c>
      <c r="M892" s="428"/>
      <c r="N892" s="428" t="s">
        <v>672</v>
      </c>
      <c r="O892" s="308" t="s">
        <v>34</v>
      </c>
      <c r="P892" s="308" t="s">
        <v>35</v>
      </c>
      <c r="Q892" s="308" t="s">
        <v>36</v>
      </c>
      <c r="R892" s="432"/>
      <c r="S892" s="432"/>
      <c r="T892" s="274"/>
      <c r="U892" s="73"/>
      <c r="V892" s="216"/>
      <c r="W892" s="118"/>
      <c r="X892" s="119"/>
      <c r="Y892" s="120"/>
      <c r="Z892" s="120"/>
      <c r="AA892" s="244"/>
      <c r="AB892" s="241"/>
      <c r="AC892" s="241"/>
      <c r="AD892" s="244">
        <v>0</v>
      </c>
    </row>
    <row r="893" spans="1:30" ht="18" customHeight="1">
      <c r="A893" s="540">
        <v>30736</v>
      </c>
      <c r="B893" s="541">
        <v>1</v>
      </c>
      <c r="C893" s="542">
        <v>46185</v>
      </c>
      <c r="D893" s="543">
        <f t="shared" ca="1" si="42"/>
        <v>42</v>
      </c>
      <c r="E893" s="544" t="str">
        <f t="shared" si="43"/>
        <v>ADMITIDO</v>
      </c>
      <c r="F893" s="545" t="s">
        <v>28</v>
      </c>
      <c r="G893" s="546" t="s">
        <v>102</v>
      </c>
      <c r="H893" s="117" t="s">
        <v>40</v>
      </c>
      <c r="I893" s="547" t="str">
        <f>IF(X893="ADMITIDO","ADMITIDO",IF(X893="CANCELADA","CANCELADA",IF(H893="","",IFERROR(_xlfn.XLOOKUP(H893,Listas!I:I,Listas!J:J),"OUTROS"))))</f>
        <v>ADMITIDO</v>
      </c>
      <c r="J893" s="548" t="s">
        <v>670</v>
      </c>
      <c r="K893" s="548" t="s">
        <v>371</v>
      </c>
      <c r="L893" s="548" t="s">
        <v>671</v>
      </c>
      <c r="M893" s="548"/>
      <c r="N893" s="548" t="s">
        <v>672</v>
      </c>
      <c r="O893" s="549" t="s">
        <v>34</v>
      </c>
      <c r="P893" s="549" t="s">
        <v>35</v>
      </c>
      <c r="Q893" s="549" t="s">
        <v>36</v>
      </c>
      <c r="R893" s="478" t="s">
        <v>2460</v>
      </c>
      <c r="S893" s="478" t="s">
        <v>65</v>
      </c>
      <c r="T893" s="438" t="s">
        <v>2461</v>
      </c>
      <c r="U893" s="189" t="s">
        <v>132</v>
      </c>
      <c r="V893" s="328">
        <v>46217</v>
      </c>
      <c r="W893" s="305" t="s">
        <v>2462</v>
      </c>
      <c r="X893" s="306" t="s">
        <v>40</v>
      </c>
      <c r="Y893" s="307">
        <v>46219</v>
      </c>
      <c r="Z893" s="307">
        <v>46223</v>
      </c>
      <c r="AA893" s="329">
        <v>914642</v>
      </c>
      <c r="AB893" s="439" t="s">
        <v>2463</v>
      </c>
      <c r="AC893" s="439"/>
      <c r="AD893" s="329">
        <v>2</v>
      </c>
    </row>
    <row r="894" spans="1:30" ht="18" customHeight="1">
      <c r="A894" s="237">
        <v>30752</v>
      </c>
      <c r="B894" s="121">
        <v>1</v>
      </c>
      <c r="C894" s="238">
        <v>46185</v>
      </c>
      <c r="D894" s="105">
        <f t="shared" ca="1" si="42"/>
        <v>42</v>
      </c>
      <c r="E894" s="138" t="str">
        <f t="shared" ca="1" si="43"/>
        <v>CRÍTICO</v>
      </c>
      <c r="F894" s="230" t="s">
        <v>28</v>
      </c>
      <c r="G894" s="147" t="s">
        <v>29</v>
      </c>
      <c r="H894" s="117" t="s">
        <v>91</v>
      </c>
      <c r="I894" s="117" t="str">
        <f>IF(X894="ADMITIDO","ADMITIDO",IF(X894="CANCELADA","CANCELADA",IF(H894="","",IFERROR(_xlfn.XLOOKUP(H894,Listas!I:I,Listas!J:J),"OUTROS"))))</f>
        <v>TRIAGEM</v>
      </c>
      <c r="J894" s="240" t="s">
        <v>202</v>
      </c>
      <c r="K894" s="240" t="s">
        <v>31</v>
      </c>
      <c r="L894" s="240" t="s">
        <v>204</v>
      </c>
      <c r="M894" s="240"/>
      <c r="N894" s="240" t="s">
        <v>205</v>
      </c>
      <c r="O894" s="119" t="s">
        <v>34</v>
      </c>
      <c r="P894" s="119" t="s">
        <v>35</v>
      </c>
      <c r="Q894" s="119" t="s">
        <v>36</v>
      </c>
      <c r="R894" s="234"/>
      <c r="S894" s="273"/>
      <c r="T894" s="539"/>
      <c r="U894" s="73"/>
      <c r="V894" s="216"/>
      <c r="W894" s="118"/>
      <c r="X894" s="119"/>
      <c r="Y894" s="120"/>
      <c r="Z894" s="120"/>
      <c r="AA894" s="244"/>
      <c r="AB894" s="241"/>
      <c r="AC894" s="241"/>
      <c r="AD894" s="244">
        <v>0</v>
      </c>
    </row>
    <row r="895" spans="1:30" ht="18" customHeight="1">
      <c r="A895" s="396">
        <v>30756</v>
      </c>
      <c r="B895" s="405">
        <v>1</v>
      </c>
      <c r="C895" s="404">
        <v>46185</v>
      </c>
      <c r="D895" s="386">
        <f t="shared" ca="1" si="42"/>
        <v>42</v>
      </c>
      <c r="E895" s="170" t="str">
        <f t="shared" si="43"/>
        <v>ADMITIDO</v>
      </c>
      <c r="F895" s="397" t="s">
        <v>28</v>
      </c>
      <c r="G895" s="392" t="s">
        <v>145</v>
      </c>
      <c r="H895" s="139" t="s">
        <v>40</v>
      </c>
      <c r="I895" s="139" t="str">
        <f>IF(X895="ADMITIDO","ADMITIDO",IF(X895="CANCELADA","CANCELADA",IF(H895="","",IFERROR(_xlfn.XLOOKUP(H895,Listas!I:I,Listas!J:J),"OUTROS"))))</f>
        <v>ADMITIDO</v>
      </c>
      <c r="J895" s="428" t="s">
        <v>268</v>
      </c>
      <c r="K895" s="428" t="s">
        <v>371</v>
      </c>
      <c r="L895" s="428" t="s">
        <v>2464</v>
      </c>
      <c r="M895" s="428"/>
      <c r="N895" s="428" t="s">
        <v>999</v>
      </c>
      <c r="O895" s="308" t="s">
        <v>34</v>
      </c>
      <c r="P895" s="308" t="s">
        <v>35</v>
      </c>
      <c r="Q895" s="308" t="s">
        <v>36</v>
      </c>
      <c r="R895" s="431"/>
      <c r="S895" s="477"/>
      <c r="T895" s="352"/>
      <c r="U895" s="327" t="s">
        <v>76</v>
      </c>
      <c r="V895" s="315">
        <v>46198</v>
      </c>
      <c r="W895" s="310" t="s">
        <v>2465</v>
      </c>
      <c r="X895" s="308" t="s">
        <v>40</v>
      </c>
      <c r="Y895" s="309">
        <v>46192</v>
      </c>
      <c r="Z895" s="309">
        <v>46196</v>
      </c>
      <c r="AA895" s="316">
        <v>914484</v>
      </c>
      <c r="AB895" s="351"/>
      <c r="AC895" s="351"/>
      <c r="AD895" s="316">
        <v>0</v>
      </c>
    </row>
    <row r="896" spans="1:30" ht="18" customHeight="1">
      <c r="A896" s="402">
        <v>30758</v>
      </c>
      <c r="B896" s="406">
        <v>1</v>
      </c>
      <c r="C896" s="403">
        <v>46185</v>
      </c>
      <c r="D896" s="380">
        <f t="shared" ca="1" si="42"/>
        <v>42</v>
      </c>
      <c r="E896" s="381" t="str">
        <f t="shared" si="43"/>
        <v>ADMITIDO</v>
      </c>
      <c r="F896" s="395" t="s">
        <v>42</v>
      </c>
      <c r="G896" s="390" t="s">
        <v>102</v>
      </c>
      <c r="H896" s="382" t="s">
        <v>40</v>
      </c>
      <c r="I896" s="382" t="str">
        <f>IF(X896="ADMITIDO","ADMITIDO",IF(X896="CANCELADA","CANCELADA",IF(H896="","",IFERROR(_xlfn.XLOOKUP(H896,Listas!I:I,Listas!J:J),"OUTROS"))))</f>
        <v>ADMITIDO</v>
      </c>
      <c r="J896" s="464" t="s">
        <v>1049</v>
      </c>
      <c r="K896" s="435" t="s">
        <v>103</v>
      </c>
      <c r="L896" s="435" t="s">
        <v>1173</v>
      </c>
      <c r="M896" s="435"/>
      <c r="N896" s="435" t="s">
        <v>1174</v>
      </c>
      <c r="O896" s="306" t="s">
        <v>34</v>
      </c>
      <c r="P896" s="306" t="s">
        <v>57</v>
      </c>
      <c r="Q896" s="306" t="s">
        <v>1175</v>
      </c>
      <c r="R896" s="436" t="s">
        <v>2466</v>
      </c>
      <c r="S896" s="419" t="s">
        <v>2467</v>
      </c>
      <c r="T896" s="345"/>
      <c r="U896" s="326" t="s">
        <v>109</v>
      </c>
      <c r="V896" s="313">
        <v>46188</v>
      </c>
      <c r="W896" s="302" t="s">
        <v>2468</v>
      </c>
      <c r="X896" s="303" t="s">
        <v>40</v>
      </c>
      <c r="Y896" s="304">
        <v>46192</v>
      </c>
      <c r="Z896" s="304">
        <v>46197</v>
      </c>
      <c r="AA896" s="314">
        <v>146122</v>
      </c>
      <c r="AB896" s="346"/>
      <c r="AC896" s="346"/>
      <c r="AD896" s="314">
        <v>0</v>
      </c>
    </row>
    <row r="897" spans="1:30" ht="18" customHeight="1">
      <c r="A897" s="498">
        <v>30757</v>
      </c>
      <c r="B897" s="499">
        <v>1</v>
      </c>
      <c r="C897" s="500">
        <v>46185</v>
      </c>
      <c r="D897" s="501">
        <f t="shared" ca="1" si="42"/>
        <v>42</v>
      </c>
      <c r="E897" s="502" t="str">
        <f t="shared" si="43"/>
        <v>ADMITIDO</v>
      </c>
      <c r="F897" s="503" t="s">
        <v>42</v>
      </c>
      <c r="G897" s="504" t="s">
        <v>102</v>
      </c>
      <c r="H897" s="146" t="s">
        <v>40</v>
      </c>
      <c r="I897" s="505" t="str">
        <f>IF(X897="ADMITIDO","ADMITIDO",IF(X897="CANCELADA","CANCELADA",IF(H897="","",IFERROR(_xlfn.XLOOKUP(H897,Listas!I:I,Listas!J:J),"OUTROS"))))</f>
        <v>ADMITIDO</v>
      </c>
      <c r="J897" s="506" t="s">
        <v>53</v>
      </c>
      <c r="K897" s="506" t="s">
        <v>103</v>
      </c>
      <c r="L897" s="506" t="s">
        <v>1173</v>
      </c>
      <c r="M897" s="506"/>
      <c r="N897" s="506" t="s">
        <v>1174</v>
      </c>
      <c r="O897" s="507" t="s">
        <v>34</v>
      </c>
      <c r="P897" s="507" t="s">
        <v>57</v>
      </c>
      <c r="Q897" s="507" t="s">
        <v>105</v>
      </c>
      <c r="R897" s="496" t="s">
        <v>2469</v>
      </c>
      <c r="S897" s="476" t="s">
        <v>2467</v>
      </c>
      <c r="T897" s="274"/>
      <c r="U897" s="73" t="s">
        <v>109</v>
      </c>
      <c r="V897" s="216">
        <v>46211</v>
      </c>
      <c r="W897" s="118" t="s">
        <v>2470</v>
      </c>
      <c r="X897" s="119" t="s">
        <v>40</v>
      </c>
      <c r="Y897" s="120">
        <v>46213</v>
      </c>
      <c r="Z897" s="120">
        <v>46218</v>
      </c>
      <c r="AA897" s="244">
        <v>146217</v>
      </c>
      <c r="AB897" s="241" t="s">
        <v>2471</v>
      </c>
      <c r="AC897" s="241"/>
      <c r="AD897" s="244">
        <v>2</v>
      </c>
    </row>
    <row r="898" spans="1:30" ht="18" customHeight="1">
      <c r="A898" s="486">
        <v>30737</v>
      </c>
      <c r="B898" s="487">
        <v>1</v>
      </c>
      <c r="C898" s="488">
        <v>46185</v>
      </c>
      <c r="D898" s="489">
        <f t="shared" ca="1" si="42"/>
        <v>42</v>
      </c>
      <c r="E898" s="490" t="str">
        <f t="shared" si="43"/>
        <v>ADMITIDO</v>
      </c>
      <c r="F898" s="491" t="s">
        <v>28</v>
      </c>
      <c r="G898" s="492" t="s">
        <v>102</v>
      </c>
      <c r="H898" s="146" t="s">
        <v>40</v>
      </c>
      <c r="I898" s="493" t="str">
        <f>IF(X898="ADMITIDO","ADMITIDO",IF(X898="CANCELADA","CANCELADA",IF(H898="","",IFERROR(_xlfn.XLOOKUP(H898,Listas!I:I,Listas!J:J),"OUTROS"))))</f>
        <v>ADMITIDO</v>
      </c>
      <c r="J898" s="494" t="s">
        <v>683</v>
      </c>
      <c r="K898" s="494" t="s">
        <v>371</v>
      </c>
      <c r="L898" s="494" t="s">
        <v>776</v>
      </c>
      <c r="M898" s="494"/>
      <c r="N898" s="494" t="s">
        <v>391</v>
      </c>
      <c r="O898" s="495" t="s">
        <v>34</v>
      </c>
      <c r="P898" s="495" t="s">
        <v>35</v>
      </c>
      <c r="Q898" s="495" t="s">
        <v>36</v>
      </c>
      <c r="R898" s="497" t="s">
        <v>2472</v>
      </c>
      <c r="S898" s="476"/>
      <c r="T898" s="274"/>
      <c r="U898" s="73" t="s">
        <v>67</v>
      </c>
      <c r="V898" s="216">
        <v>46203</v>
      </c>
      <c r="W898" s="118" t="s">
        <v>2473</v>
      </c>
      <c r="X898" s="119" t="s">
        <v>40</v>
      </c>
      <c r="Y898" s="120">
        <v>46209</v>
      </c>
      <c r="Z898" s="120">
        <v>46211</v>
      </c>
      <c r="AA898" s="244">
        <v>914588</v>
      </c>
      <c r="AB898" s="241"/>
      <c r="AC898" s="241"/>
      <c r="AD898" s="244">
        <v>0</v>
      </c>
    </row>
    <row r="899" spans="1:30" ht="18" customHeight="1">
      <c r="A899" s="396">
        <v>30741</v>
      </c>
      <c r="B899" s="405">
        <v>1</v>
      </c>
      <c r="C899" s="404">
        <v>46185</v>
      </c>
      <c r="D899" s="386">
        <f t="shared" ca="1" si="42"/>
        <v>42</v>
      </c>
      <c r="E899" s="170" t="str">
        <f t="shared" si="43"/>
        <v>ADMITIDO</v>
      </c>
      <c r="F899" s="397" t="s">
        <v>28</v>
      </c>
      <c r="G899" s="392" t="s">
        <v>240</v>
      </c>
      <c r="H899" s="146" t="s">
        <v>40</v>
      </c>
      <c r="I899" s="139" t="str">
        <f>IF(X899="ADMITIDO","ADMITIDO",IF(X899="CANCELADA","CANCELADA",IF(H899="","",IFERROR(_xlfn.XLOOKUP(H899,Listas!I:I,Listas!J:J),"OUTROS"))))</f>
        <v>ADMITIDO</v>
      </c>
      <c r="J899" s="427" t="s">
        <v>268</v>
      </c>
      <c r="K899" s="428" t="s">
        <v>423</v>
      </c>
      <c r="L899" s="428" t="s">
        <v>312</v>
      </c>
      <c r="M899" s="428"/>
      <c r="N899" s="428" t="s">
        <v>243</v>
      </c>
      <c r="O899" s="308" t="s">
        <v>34</v>
      </c>
      <c r="P899" s="308" t="s">
        <v>35</v>
      </c>
      <c r="Q899" s="308" t="s">
        <v>36</v>
      </c>
      <c r="R899" s="431"/>
      <c r="S899" s="432" t="s">
        <v>2474</v>
      </c>
      <c r="T899" s="352" t="s">
        <v>2475</v>
      </c>
      <c r="U899" s="327" t="s">
        <v>109</v>
      </c>
      <c r="V899" s="315">
        <v>46189</v>
      </c>
      <c r="W899" s="310" t="s">
        <v>2476</v>
      </c>
      <c r="X899" s="308" t="s">
        <v>40</v>
      </c>
      <c r="Y899" s="307">
        <v>46196</v>
      </c>
      <c r="Z899" s="309">
        <v>46199</v>
      </c>
      <c r="AA899" s="316">
        <v>914498</v>
      </c>
      <c r="AB899" s="351"/>
      <c r="AC899" s="351"/>
      <c r="AD899" s="316">
        <v>0</v>
      </c>
    </row>
    <row r="900" spans="1:30" ht="18" customHeight="1">
      <c r="A900" s="237">
        <v>30753</v>
      </c>
      <c r="B900" s="121">
        <v>1</v>
      </c>
      <c r="C900" s="238">
        <v>46185</v>
      </c>
      <c r="D900" s="105">
        <f t="shared" ca="1" si="42"/>
        <v>42</v>
      </c>
      <c r="E900" s="138" t="str">
        <f t="shared" si="43"/>
        <v>ADMITIDO</v>
      </c>
      <c r="F900" s="230" t="s">
        <v>42</v>
      </c>
      <c r="G900" s="147" t="s">
        <v>69</v>
      </c>
      <c r="H900" s="146" t="s">
        <v>40</v>
      </c>
      <c r="I900" s="117" t="str">
        <f>IF(X900="ADMITIDO","ADMITIDO",IF(X900="CANCELADA","CANCELADA",IF(H900="","",IFERROR(_xlfn.XLOOKUP(H900,Listas!I:I,Listas!J:J),"OUTROS"))))</f>
        <v>ADMITIDO</v>
      </c>
      <c r="J900" s="363" t="s">
        <v>53</v>
      </c>
      <c r="K900" s="240" t="s">
        <v>158</v>
      </c>
      <c r="L900" s="240" t="s">
        <v>1061</v>
      </c>
      <c r="M900" s="240"/>
      <c r="N900" s="240" t="s">
        <v>63</v>
      </c>
      <c r="O900" s="119" t="s">
        <v>34</v>
      </c>
      <c r="P900" s="119" t="s">
        <v>48</v>
      </c>
      <c r="Q900" s="119" t="s">
        <v>79</v>
      </c>
      <c r="R900" s="234"/>
      <c r="S900" s="273"/>
      <c r="T900" s="274"/>
      <c r="U900" s="73" t="s">
        <v>109</v>
      </c>
      <c r="V900" s="313">
        <v>46191</v>
      </c>
      <c r="W900" s="302" t="s">
        <v>2477</v>
      </c>
      <c r="X900" s="303" t="s">
        <v>40</v>
      </c>
      <c r="Y900" s="304">
        <v>46195</v>
      </c>
      <c r="Z900" s="304">
        <v>46196</v>
      </c>
      <c r="AA900" s="314">
        <v>146136</v>
      </c>
      <c r="AB900" s="241" t="s">
        <v>2478</v>
      </c>
      <c r="AC900" s="241"/>
      <c r="AD900" s="244">
        <v>1</v>
      </c>
    </row>
    <row r="901" spans="1:30" ht="18" customHeight="1">
      <c r="A901" s="402">
        <v>30742</v>
      </c>
      <c r="B901" s="406">
        <v>1</v>
      </c>
      <c r="C901" s="403">
        <v>46185</v>
      </c>
      <c r="D901" s="380">
        <f ca="1">TODAY()-C901</f>
        <v>42</v>
      </c>
      <c r="E901" s="381" t="str">
        <f>IF(X901="ADMITIDO","ADMITIDO",IF(X901="CANCELADA","CANCELADA",IF(H901="","",IF(H901="ADMITIDO","ADMITIDO",IF(H901="CANCELADA","CANCELADA",IF(OR(H901="ANALISE CANCELAMENTO",H901="ANÁLISE CANCELAMENTO"),"EM ANÁLISE",IF(D901="","",IF(D901&lt;=7,"NO PRAZO",IF(D901&lt;=14,"ATENÇÃO","CRÍTICO")))))))))</f>
        <v>CANCELADA</v>
      </c>
      <c r="F901" s="395" t="s">
        <v>42</v>
      </c>
      <c r="G901" s="390" t="s">
        <v>663</v>
      </c>
      <c r="H901" s="382" t="s">
        <v>52</v>
      </c>
      <c r="I901" s="382" t="str">
        <f>IF(X901="ADMITIDO","ADMITIDO",IF(X901="CANCELADA","CANCELADA",IF(H901="","",IFERROR(_xlfn.XLOOKUP(H901,Listas!I:I,Listas!J:J),"OUTROS"))))</f>
        <v>CANCELADA</v>
      </c>
      <c r="J901" s="240" t="s">
        <v>53</v>
      </c>
      <c r="K901" s="240" t="s">
        <v>54</v>
      </c>
      <c r="L901" s="240" t="s">
        <v>2479</v>
      </c>
      <c r="M901" s="240"/>
      <c r="N901" s="240" t="s">
        <v>88</v>
      </c>
      <c r="O901" s="119" t="s">
        <v>34</v>
      </c>
      <c r="P901" s="119" t="s">
        <v>48</v>
      </c>
      <c r="Q901" s="119" t="s">
        <v>131</v>
      </c>
      <c r="R901" s="234"/>
      <c r="S901" s="273"/>
      <c r="T901" s="274"/>
      <c r="U901" s="311"/>
      <c r="V901" s="216"/>
      <c r="W901" s="236"/>
      <c r="X901" s="119" t="s">
        <v>52</v>
      </c>
      <c r="Y901" s="120"/>
      <c r="Z901" s="120"/>
      <c r="AA901" s="244"/>
      <c r="AB901" s="312" t="s">
        <v>2480</v>
      </c>
      <c r="AC901" s="241" t="s">
        <v>2150</v>
      </c>
      <c r="AD901" s="244">
        <v>1</v>
      </c>
    </row>
    <row r="902" spans="1:30" ht="18" customHeight="1">
      <c r="A902" s="237">
        <v>30751</v>
      </c>
      <c r="B902" s="121">
        <v>1</v>
      </c>
      <c r="C902" s="238">
        <v>46185</v>
      </c>
      <c r="D902" s="105">
        <f t="shared" ca="1" si="42"/>
        <v>42</v>
      </c>
      <c r="E902" s="138" t="str">
        <f t="shared" si="43"/>
        <v>ADMITIDO</v>
      </c>
      <c r="F902" s="230" t="s">
        <v>28</v>
      </c>
      <c r="G902" s="147" t="s">
        <v>60</v>
      </c>
      <c r="H902" s="146" t="s">
        <v>40</v>
      </c>
      <c r="I902" s="117" t="str">
        <f>IF(X902="ADMITIDO","ADMITIDO",IF(X902="CANCELADA","CANCELADA",IF(H902="","",IFERROR(_xlfn.XLOOKUP(H902,Listas!I:I,Listas!J:J),"OUTROS"))))</f>
        <v>ADMITIDO</v>
      </c>
      <c r="J902" s="363" t="s">
        <v>268</v>
      </c>
      <c r="K902" s="240" t="s">
        <v>986</v>
      </c>
      <c r="L902" s="240" t="s">
        <v>618</v>
      </c>
      <c r="M902" s="240"/>
      <c r="N902" s="240" t="s">
        <v>63</v>
      </c>
      <c r="O902" s="119" t="s">
        <v>56</v>
      </c>
      <c r="P902" s="119" t="s">
        <v>35</v>
      </c>
      <c r="Q902" s="119" t="s">
        <v>176</v>
      </c>
      <c r="R902" s="234"/>
      <c r="S902" s="273" t="s">
        <v>899</v>
      </c>
      <c r="T902" s="274" t="s">
        <v>2481</v>
      </c>
      <c r="U902" s="73" t="s">
        <v>109</v>
      </c>
      <c r="V902" s="315">
        <v>46189</v>
      </c>
      <c r="W902" s="310" t="s">
        <v>2482</v>
      </c>
      <c r="X902" s="308" t="s">
        <v>40</v>
      </c>
      <c r="Y902" s="309">
        <v>46191</v>
      </c>
      <c r="Z902" s="309">
        <v>46192</v>
      </c>
      <c r="AA902" s="316">
        <v>914466</v>
      </c>
      <c r="AB902" s="241"/>
      <c r="AC902" s="241"/>
      <c r="AD902" s="244">
        <v>0</v>
      </c>
    </row>
    <row r="903" spans="1:30" ht="18" customHeight="1">
      <c r="A903" s="237">
        <v>30759</v>
      </c>
      <c r="B903" s="121">
        <v>1</v>
      </c>
      <c r="C903" s="238">
        <v>46185</v>
      </c>
      <c r="D903" s="105">
        <f t="shared" ca="1" si="42"/>
        <v>42</v>
      </c>
      <c r="E903" s="138" t="str">
        <f t="shared" si="43"/>
        <v>ADMITIDO</v>
      </c>
      <c r="F903" s="230" t="s">
        <v>28</v>
      </c>
      <c r="G903" s="147" t="s">
        <v>240</v>
      </c>
      <c r="H903" s="146" t="s">
        <v>40</v>
      </c>
      <c r="I903" s="117" t="str">
        <f>IF(X903="ADMITIDO","ADMITIDO",IF(X903="CANCELADA","CANCELADA",IF(H903="","",IFERROR(_xlfn.XLOOKUP(H903,Listas!I:I,Listas!J:J),"OUTROS"))))</f>
        <v>ADMITIDO</v>
      </c>
      <c r="J903" s="363" t="s">
        <v>487</v>
      </c>
      <c r="K903" s="240" t="s">
        <v>423</v>
      </c>
      <c r="L903" s="240" t="s">
        <v>988</v>
      </c>
      <c r="M903" s="240"/>
      <c r="N903" s="240" t="s">
        <v>63</v>
      </c>
      <c r="O903" s="119" t="s">
        <v>34</v>
      </c>
      <c r="P903" s="119" t="s">
        <v>48</v>
      </c>
      <c r="Q903" s="119" t="s">
        <v>1955</v>
      </c>
      <c r="R903" s="234"/>
      <c r="S903" s="273" t="s">
        <v>11</v>
      </c>
      <c r="T903" s="274" t="s">
        <v>2483</v>
      </c>
      <c r="U903" s="73" t="s">
        <v>109</v>
      </c>
      <c r="V903" s="216">
        <v>46195</v>
      </c>
      <c r="W903" s="118" t="s">
        <v>2484</v>
      </c>
      <c r="X903" s="119" t="s">
        <v>40</v>
      </c>
      <c r="Y903" s="120">
        <v>46197</v>
      </c>
      <c r="Z903" s="120">
        <v>46199</v>
      </c>
      <c r="AA903" s="244">
        <v>914516</v>
      </c>
      <c r="AB903" s="241"/>
      <c r="AC903" s="241"/>
      <c r="AD903" s="244">
        <v>0</v>
      </c>
    </row>
    <row r="904" spans="1:30" ht="18" customHeight="1">
      <c r="A904" s="402">
        <v>30748</v>
      </c>
      <c r="B904" s="406">
        <v>1</v>
      </c>
      <c r="C904" s="403">
        <v>46185</v>
      </c>
      <c r="D904" s="380">
        <f t="shared" ca="1" si="42"/>
        <v>42</v>
      </c>
      <c r="E904" s="381" t="str">
        <f t="shared" si="43"/>
        <v>ADMITIDO</v>
      </c>
      <c r="F904" s="395" t="s">
        <v>171</v>
      </c>
      <c r="G904" s="390" t="s">
        <v>240</v>
      </c>
      <c r="H904" s="146" t="s">
        <v>40</v>
      </c>
      <c r="I904" s="382" t="str">
        <f>IF(X904="ADMITIDO","ADMITIDO",IF(X904="CANCELADA","CANCELADA",IF(H904="","",IFERROR(_xlfn.XLOOKUP(H904,Listas!I:I,Listas!J:J),"OUTROS"))))</f>
        <v>ADMITIDO</v>
      </c>
      <c r="J904" s="240" t="s">
        <v>172</v>
      </c>
      <c r="K904" s="240" t="s">
        <v>676</v>
      </c>
      <c r="L904" s="240" t="s">
        <v>988</v>
      </c>
      <c r="M904" s="240"/>
      <c r="N904" s="240" t="s">
        <v>63</v>
      </c>
      <c r="O904" s="119" t="s">
        <v>56</v>
      </c>
      <c r="P904" s="119" t="s">
        <v>35</v>
      </c>
      <c r="Q904" s="119" t="s">
        <v>176</v>
      </c>
      <c r="R904" s="234"/>
      <c r="S904" s="273" t="s">
        <v>1375</v>
      </c>
      <c r="T904" s="274"/>
      <c r="U904" s="73" t="s">
        <v>76</v>
      </c>
      <c r="V904" s="216">
        <v>46199</v>
      </c>
      <c r="W904" s="118" t="s">
        <v>2485</v>
      </c>
      <c r="X904" s="119" t="s">
        <v>40</v>
      </c>
      <c r="Y904" s="120">
        <v>46203</v>
      </c>
      <c r="Z904" s="120">
        <v>46206</v>
      </c>
      <c r="AA904" s="244">
        <v>83363</v>
      </c>
      <c r="AB904" s="241" t="s">
        <v>2486</v>
      </c>
      <c r="AC904" s="241"/>
      <c r="AD904" s="244">
        <v>1</v>
      </c>
    </row>
    <row r="905" spans="1:30" ht="18" customHeight="1">
      <c r="A905" s="237">
        <v>30746</v>
      </c>
      <c r="B905" s="121">
        <v>1</v>
      </c>
      <c r="C905" s="238">
        <v>46185</v>
      </c>
      <c r="D905" s="105">
        <f t="shared" ca="1" si="42"/>
        <v>42</v>
      </c>
      <c r="E905" s="138" t="str">
        <f t="shared" si="43"/>
        <v>ADMITIDO</v>
      </c>
      <c r="F905" s="230" t="s">
        <v>171</v>
      </c>
      <c r="G905" s="147" t="s">
        <v>240</v>
      </c>
      <c r="H905" s="146" t="s">
        <v>40</v>
      </c>
      <c r="I905" s="117" t="str">
        <f>IF(X905="ADMITIDO","ADMITIDO",IF(X905="CANCELADA","CANCELADA",IF(H905="","",IFERROR(_xlfn.XLOOKUP(H905,Listas!I:I,Listas!J:J),"OUTROS"))))</f>
        <v>ADMITIDO</v>
      </c>
      <c r="J905" s="363" t="s">
        <v>787</v>
      </c>
      <c r="K905" s="240" t="s">
        <v>676</v>
      </c>
      <c r="L905" s="240" t="s">
        <v>988</v>
      </c>
      <c r="M905" s="240"/>
      <c r="N905" s="240" t="s">
        <v>63</v>
      </c>
      <c r="O905" s="119" t="s">
        <v>56</v>
      </c>
      <c r="P905" s="119" t="s">
        <v>703</v>
      </c>
      <c r="Q905" s="119" t="s">
        <v>176</v>
      </c>
      <c r="R905" s="234"/>
      <c r="S905" s="273" t="s">
        <v>1229</v>
      </c>
      <c r="T905" s="274" t="s">
        <v>2487</v>
      </c>
      <c r="U905" s="326" t="s">
        <v>109</v>
      </c>
      <c r="V905" s="313">
        <v>46195</v>
      </c>
      <c r="W905" s="302" t="s">
        <v>2488</v>
      </c>
      <c r="X905" s="303" t="s">
        <v>40</v>
      </c>
      <c r="Y905" s="304">
        <v>46197</v>
      </c>
      <c r="Z905" s="304">
        <v>46202</v>
      </c>
      <c r="AA905" s="314">
        <v>83357</v>
      </c>
      <c r="AB905" s="241"/>
      <c r="AC905" s="241"/>
      <c r="AD905" s="244">
        <v>0</v>
      </c>
    </row>
    <row r="906" spans="1:30" ht="18" customHeight="1">
      <c r="A906" s="237">
        <v>30740</v>
      </c>
      <c r="B906" s="121">
        <v>1</v>
      </c>
      <c r="C906" s="238">
        <v>46185</v>
      </c>
      <c r="D906" s="105">
        <f t="shared" ca="1" si="42"/>
        <v>42</v>
      </c>
      <c r="E906" s="138" t="str">
        <f t="shared" si="43"/>
        <v>ADMITIDO</v>
      </c>
      <c r="F906" s="230" t="s">
        <v>28</v>
      </c>
      <c r="G906" s="147" t="s">
        <v>240</v>
      </c>
      <c r="H906" s="146" t="s">
        <v>40</v>
      </c>
      <c r="I906" s="117" t="str">
        <f>IF(X906="ADMITIDO","ADMITIDO",IF(X906="CANCELADA","CANCELADA",IF(H906="","",IFERROR(_xlfn.XLOOKUP(H906,Listas!I:I,Listas!J:J),"OUTROS"))))</f>
        <v>ADMITIDO</v>
      </c>
      <c r="J906" s="363" t="s">
        <v>819</v>
      </c>
      <c r="K906" s="240" t="s">
        <v>423</v>
      </c>
      <c r="L906" s="240" t="s">
        <v>62</v>
      </c>
      <c r="M906" s="240"/>
      <c r="N906" s="240" t="s">
        <v>63</v>
      </c>
      <c r="O906" s="119" t="s">
        <v>34</v>
      </c>
      <c r="P906" s="119" t="s">
        <v>57</v>
      </c>
      <c r="Q906" s="119" t="s">
        <v>98</v>
      </c>
      <c r="R906" s="234"/>
      <c r="S906" s="273" t="s">
        <v>1229</v>
      </c>
      <c r="T906" s="324"/>
      <c r="U906" s="73" t="s">
        <v>132</v>
      </c>
      <c r="V906" s="216">
        <v>46188</v>
      </c>
      <c r="W906" s="118" t="s">
        <v>2489</v>
      </c>
      <c r="X906" s="119" t="s">
        <v>40</v>
      </c>
      <c r="Y906" s="120">
        <v>46195</v>
      </c>
      <c r="Z906" s="120">
        <v>46196</v>
      </c>
      <c r="AA906" s="244">
        <v>914467</v>
      </c>
      <c r="AB906" s="312" t="s">
        <v>2490</v>
      </c>
      <c r="AC906" s="241"/>
      <c r="AD906" s="244">
        <v>1</v>
      </c>
    </row>
    <row r="907" spans="1:30" ht="18" customHeight="1">
      <c r="A907" s="237">
        <v>30739</v>
      </c>
      <c r="B907" s="121">
        <v>1</v>
      </c>
      <c r="C907" s="238">
        <v>46185</v>
      </c>
      <c r="D907" s="105">
        <f t="shared" ca="1" si="42"/>
        <v>42</v>
      </c>
      <c r="E907" s="138" t="str">
        <f t="shared" si="43"/>
        <v>ADMITIDO</v>
      </c>
      <c r="F907" s="230" t="s">
        <v>42</v>
      </c>
      <c r="G907" s="147" t="s">
        <v>240</v>
      </c>
      <c r="H907" s="146" t="s">
        <v>40</v>
      </c>
      <c r="I907" s="117" t="str">
        <f>IF(X907="ADMITIDO","ADMITIDO",IF(X907="CANCELADA","CANCELADA",IF(H907="","",IFERROR(_xlfn.XLOOKUP(H907,Listas!I:I,Listas!J:J),"OUTROS"))))</f>
        <v>ADMITIDO</v>
      </c>
      <c r="J907" s="363" t="s">
        <v>53</v>
      </c>
      <c r="K907" s="240" t="s">
        <v>241</v>
      </c>
      <c r="L907" s="240" t="s">
        <v>494</v>
      </c>
      <c r="M907" s="240"/>
      <c r="N907" s="240" t="s">
        <v>175</v>
      </c>
      <c r="O907" s="119" t="s">
        <v>34</v>
      </c>
      <c r="P907" s="119" t="s">
        <v>35</v>
      </c>
      <c r="Q907" s="119" t="s">
        <v>36</v>
      </c>
      <c r="R907" s="234"/>
      <c r="S907" s="273" t="s">
        <v>65</v>
      </c>
      <c r="T907" s="324" t="s">
        <v>2491</v>
      </c>
      <c r="U907" s="73" t="s">
        <v>76</v>
      </c>
      <c r="V907" s="216">
        <v>46196</v>
      </c>
      <c r="W907" s="118" t="s">
        <v>2492</v>
      </c>
      <c r="X907" s="119" t="s">
        <v>40</v>
      </c>
      <c r="Y907" s="120">
        <v>46199</v>
      </c>
      <c r="Z907" s="120">
        <v>46204</v>
      </c>
      <c r="AA907" s="244">
        <v>914537</v>
      </c>
      <c r="AB907" s="325" t="s">
        <v>2493</v>
      </c>
      <c r="AC907" s="241"/>
      <c r="AD907" s="244">
        <v>2</v>
      </c>
    </row>
    <row r="908" spans="1:30" ht="18" customHeight="1">
      <c r="A908" s="402">
        <v>30744</v>
      </c>
      <c r="B908" s="406">
        <v>1</v>
      </c>
      <c r="C908" s="403">
        <v>46185</v>
      </c>
      <c r="D908" s="380">
        <f t="shared" ca="1" si="42"/>
        <v>42</v>
      </c>
      <c r="E908" s="381" t="str">
        <f t="shared" si="43"/>
        <v>ADMITIDO</v>
      </c>
      <c r="F908" s="395" t="s">
        <v>42</v>
      </c>
      <c r="G908" s="390" t="s">
        <v>240</v>
      </c>
      <c r="H908" s="146" t="s">
        <v>40</v>
      </c>
      <c r="I908" s="382" t="str">
        <f>IF(X908="ADMITIDO","ADMITIDO",IF(X908="CANCELADA","CANCELADA",IF(H908="","",IFERROR(_xlfn.XLOOKUP(H908,Listas!I:I,Listas!J:J),"OUTROS"))))</f>
        <v>ADMITIDO</v>
      </c>
      <c r="J908" s="240" t="s">
        <v>53</v>
      </c>
      <c r="K908" s="240" t="s">
        <v>241</v>
      </c>
      <c r="L908" s="240" t="s">
        <v>494</v>
      </c>
      <c r="M908" s="240"/>
      <c r="N908" s="240" t="s">
        <v>175</v>
      </c>
      <c r="O908" s="119" t="s">
        <v>34</v>
      </c>
      <c r="P908" s="119" t="s">
        <v>35</v>
      </c>
      <c r="Q908" s="119" t="s">
        <v>362</v>
      </c>
      <c r="R908" s="234"/>
      <c r="S908" s="273" t="s">
        <v>373</v>
      </c>
      <c r="T908" s="274" t="s">
        <v>2494</v>
      </c>
      <c r="U908" s="73" t="s">
        <v>67</v>
      </c>
      <c r="V908" s="216">
        <v>46196</v>
      </c>
      <c r="W908" s="118" t="s">
        <v>2495</v>
      </c>
      <c r="X908" s="119" t="s">
        <v>40</v>
      </c>
      <c r="Y908" s="120">
        <v>46204</v>
      </c>
      <c r="Z908" s="120">
        <v>46209</v>
      </c>
      <c r="AA908" s="244">
        <v>146173</v>
      </c>
      <c r="AB908" s="241"/>
      <c r="AC908" s="241"/>
      <c r="AD908" s="244">
        <v>0</v>
      </c>
    </row>
    <row r="909" spans="1:30" ht="18" customHeight="1">
      <c r="A909" s="237">
        <v>30747</v>
      </c>
      <c r="B909" s="121">
        <v>1</v>
      </c>
      <c r="C909" s="238">
        <v>46185</v>
      </c>
      <c r="D909" s="105">
        <f t="shared" ca="1" si="42"/>
        <v>42</v>
      </c>
      <c r="E909" s="138" t="str">
        <f t="shared" si="43"/>
        <v>ADMITIDO</v>
      </c>
      <c r="F909" s="230" t="s">
        <v>28</v>
      </c>
      <c r="G909" s="147" t="s">
        <v>29</v>
      </c>
      <c r="H909" s="146" t="s">
        <v>40</v>
      </c>
      <c r="I909" s="117" t="str">
        <f>IF(X909="ADMITIDO","ADMITIDO",IF(X909="CANCELADA","CANCELADA",IF(H909="","",IFERROR(_xlfn.XLOOKUP(H909,Listas!I:I,Listas!J:J),"OUTROS"))))</f>
        <v>ADMITIDO</v>
      </c>
      <c r="J909" s="363" t="s">
        <v>146</v>
      </c>
      <c r="K909" s="240" t="s">
        <v>203</v>
      </c>
      <c r="L909" s="240" t="s">
        <v>147</v>
      </c>
      <c r="M909" s="240"/>
      <c r="N909" s="240" t="s">
        <v>148</v>
      </c>
      <c r="O909" s="119" t="s">
        <v>56</v>
      </c>
      <c r="P909" s="119" t="s">
        <v>35</v>
      </c>
      <c r="Q909" s="119" t="s">
        <v>176</v>
      </c>
      <c r="R909" s="234"/>
      <c r="S909" s="273"/>
      <c r="T909" s="324" t="s">
        <v>2496</v>
      </c>
      <c r="U909" s="73" t="s">
        <v>38</v>
      </c>
      <c r="V909" s="216">
        <v>46192</v>
      </c>
      <c r="W909" s="118" t="s">
        <v>2497</v>
      </c>
      <c r="X909" s="119" t="s">
        <v>40</v>
      </c>
      <c r="Y909" s="120">
        <v>46199</v>
      </c>
      <c r="Z909" s="120">
        <v>46200</v>
      </c>
      <c r="AA909" s="244">
        <v>914517</v>
      </c>
      <c r="AB909" s="312"/>
      <c r="AC909" s="241"/>
      <c r="AD909" s="244">
        <v>0</v>
      </c>
    </row>
    <row r="910" spans="1:30" ht="18" customHeight="1">
      <c r="A910" s="396">
        <v>30761</v>
      </c>
      <c r="B910" s="405">
        <v>1</v>
      </c>
      <c r="C910" s="404">
        <v>46185</v>
      </c>
      <c r="D910" s="386">
        <f t="shared" ca="1" si="42"/>
        <v>42</v>
      </c>
      <c r="E910" s="170" t="str">
        <f t="shared" si="43"/>
        <v>ADMITIDO</v>
      </c>
      <c r="F910" s="397" t="s">
        <v>42</v>
      </c>
      <c r="G910" s="392" t="s">
        <v>102</v>
      </c>
      <c r="H910" s="146" t="s">
        <v>40</v>
      </c>
      <c r="I910" s="139" t="str">
        <f>IF(X910="ADMITIDO","ADMITIDO",IF(X910="CANCELADA","CANCELADA",IF(H910="","",IFERROR(_xlfn.XLOOKUP(H910,Listas!I:I,Listas!J:J),"OUTROS"))))</f>
        <v>ADMITIDO</v>
      </c>
      <c r="J910" s="240" t="s">
        <v>193</v>
      </c>
      <c r="K910" s="240" t="s">
        <v>103</v>
      </c>
      <c r="L910" s="240" t="s">
        <v>194</v>
      </c>
      <c r="M910" s="240"/>
      <c r="N910" s="240" t="s">
        <v>63</v>
      </c>
      <c r="O910" s="119" t="s">
        <v>34</v>
      </c>
      <c r="P910" s="119" t="s">
        <v>57</v>
      </c>
      <c r="Q910" s="119" t="s">
        <v>151</v>
      </c>
      <c r="R910" s="234"/>
      <c r="S910" s="273"/>
      <c r="T910" s="274"/>
      <c r="U910" s="73" t="s">
        <v>132</v>
      </c>
      <c r="V910" s="216">
        <v>46198</v>
      </c>
      <c r="W910" s="118" t="s">
        <v>2498</v>
      </c>
      <c r="X910" s="119" t="s">
        <v>40</v>
      </c>
      <c r="Y910" s="120">
        <v>46203</v>
      </c>
      <c r="Z910" s="120">
        <v>46205</v>
      </c>
      <c r="AA910" s="244">
        <v>914553</v>
      </c>
      <c r="AB910" s="241"/>
      <c r="AC910" s="241"/>
      <c r="AD910" s="244">
        <v>0</v>
      </c>
    </row>
    <row r="911" spans="1:30" ht="18" customHeight="1">
      <c r="A911" s="237">
        <v>30710</v>
      </c>
      <c r="B911" s="121">
        <v>1</v>
      </c>
      <c r="C911" s="238">
        <v>46185</v>
      </c>
      <c r="D911" s="105">
        <f t="shared" ca="1" si="42"/>
        <v>42</v>
      </c>
      <c r="E911" s="138" t="str">
        <f t="shared" si="43"/>
        <v>ADMITIDO</v>
      </c>
      <c r="F911" s="230" t="s">
        <v>28</v>
      </c>
      <c r="G911" s="147" t="s">
        <v>167</v>
      </c>
      <c r="H911" s="146" t="s">
        <v>40</v>
      </c>
      <c r="I911" s="117" t="str">
        <f>IF(X911="ADMITIDO","ADMITIDO",IF(X911="CANCELADA","CANCELADA",IF(H911="","",IFERROR(_xlfn.XLOOKUP(H911,Listas!I:I,Listas!J:J),"OUTROS"))))</f>
        <v>ADMITIDO</v>
      </c>
      <c r="J911" s="240" t="s">
        <v>268</v>
      </c>
      <c r="K911" s="240" t="s">
        <v>699</v>
      </c>
      <c r="L911" s="240" t="s">
        <v>2499</v>
      </c>
      <c r="M911" s="240"/>
      <c r="N911" s="240"/>
      <c r="O911" s="119" t="s">
        <v>34</v>
      </c>
      <c r="P911" s="119" t="s">
        <v>1243</v>
      </c>
      <c r="Q911" s="119" t="s">
        <v>120</v>
      </c>
      <c r="R911" s="234"/>
      <c r="S911" s="273"/>
      <c r="T911" s="274"/>
      <c r="U911" s="73" t="s">
        <v>132</v>
      </c>
      <c r="V911" s="216">
        <v>46210</v>
      </c>
      <c r="W911" s="118" t="s">
        <v>2500</v>
      </c>
      <c r="X911" s="119" t="s">
        <v>40</v>
      </c>
      <c r="Y911" s="120">
        <v>46216</v>
      </c>
      <c r="Z911" s="120">
        <v>46219</v>
      </c>
      <c r="AA911" s="244">
        <v>914618</v>
      </c>
      <c r="AB911" s="241" t="s">
        <v>2501</v>
      </c>
      <c r="AC911" s="241"/>
      <c r="AD911" s="244">
        <v>0</v>
      </c>
    </row>
    <row r="912" spans="1:30" ht="18" customHeight="1">
      <c r="A912" s="237">
        <v>30732</v>
      </c>
      <c r="B912" s="121">
        <v>1</v>
      </c>
      <c r="C912" s="238">
        <v>46185</v>
      </c>
      <c r="D912" s="105">
        <f t="shared" ca="1" si="42"/>
        <v>42</v>
      </c>
      <c r="E912" s="138" t="str">
        <f t="shared" si="43"/>
        <v>ADMITIDO</v>
      </c>
      <c r="F912" s="230" t="s">
        <v>171</v>
      </c>
      <c r="G912" s="147" t="s">
        <v>167</v>
      </c>
      <c r="H912" s="146" t="s">
        <v>40</v>
      </c>
      <c r="I912" s="117" t="str">
        <f>IF(X912="ADMITIDO","ADMITIDO",IF(X912="CANCELADA","CANCELADA",IF(H912="","",IFERROR(_xlfn.XLOOKUP(H912,Listas!I:I,Listas!J:J),"OUTROS"))))</f>
        <v>ADMITIDO</v>
      </c>
      <c r="J912" s="240" t="s">
        <v>172</v>
      </c>
      <c r="K912" s="240" t="s">
        <v>699</v>
      </c>
      <c r="L912" s="240" t="s">
        <v>2499</v>
      </c>
      <c r="M912" s="240"/>
      <c r="N912" s="240"/>
      <c r="O912" s="119" t="s">
        <v>34</v>
      </c>
      <c r="P912" s="119" t="s">
        <v>35</v>
      </c>
      <c r="Q912" s="119" t="s">
        <v>36</v>
      </c>
      <c r="R912" s="234"/>
      <c r="S912" s="273"/>
      <c r="T912" s="274"/>
      <c r="U912" s="73" t="s">
        <v>132</v>
      </c>
      <c r="V912" s="216">
        <v>46203</v>
      </c>
      <c r="W912" s="118" t="s">
        <v>2502</v>
      </c>
      <c r="X912" s="119" t="s">
        <v>40</v>
      </c>
      <c r="Y912" s="120">
        <v>46213</v>
      </c>
      <c r="Z912" s="120">
        <v>46222</v>
      </c>
      <c r="AA912" s="244">
        <v>83375</v>
      </c>
      <c r="AB912" s="241"/>
      <c r="AC912" s="241"/>
      <c r="AD912" s="244">
        <v>0</v>
      </c>
    </row>
    <row r="913" spans="1:30" ht="18" customHeight="1">
      <c r="A913" s="237">
        <v>30732</v>
      </c>
      <c r="B913" s="121">
        <v>1</v>
      </c>
      <c r="C913" s="238">
        <v>46185</v>
      </c>
      <c r="D913" s="105">
        <f t="shared" ca="1" si="42"/>
        <v>42</v>
      </c>
      <c r="E913" s="138" t="str">
        <f t="shared" si="43"/>
        <v>ADMITIDO</v>
      </c>
      <c r="F913" s="230" t="s">
        <v>171</v>
      </c>
      <c r="G913" s="147" t="s">
        <v>167</v>
      </c>
      <c r="H913" s="146" t="s">
        <v>40</v>
      </c>
      <c r="I913" s="117" t="str">
        <f>IF(X913="ADMITIDO","ADMITIDO",IF(X913="CANCELADA","CANCELADA",IF(H913="","",IFERROR(_xlfn.XLOOKUP(H913,Listas!I:I,Listas!J:J),"OUTROS"))))</f>
        <v>ADMITIDO</v>
      </c>
      <c r="J913" s="240" t="s">
        <v>172</v>
      </c>
      <c r="K913" s="240" t="s">
        <v>699</v>
      </c>
      <c r="L913" s="240" t="s">
        <v>2499</v>
      </c>
      <c r="M913" s="240"/>
      <c r="N913" s="240"/>
      <c r="O913" s="119" t="s">
        <v>34</v>
      </c>
      <c r="P913" s="119" t="s">
        <v>35</v>
      </c>
      <c r="Q913" s="119" t="s">
        <v>36</v>
      </c>
      <c r="R913" s="234"/>
      <c r="S913" s="273"/>
      <c r="T913" s="274"/>
      <c r="U913" s="73" t="s">
        <v>132</v>
      </c>
      <c r="V913" s="216">
        <v>46203</v>
      </c>
      <c r="W913" s="118" t="s">
        <v>2503</v>
      </c>
      <c r="X913" s="119" t="s">
        <v>40</v>
      </c>
      <c r="Y913" s="120">
        <v>46216</v>
      </c>
      <c r="Z913" s="120">
        <v>46219</v>
      </c>
      <c r="AA913" s="244">
        <v>83371</v>
      </c>
      <c r="AB913" s="241"/>
      <c r="AC913" s="241"/>
      <c r="AD913" s="244">
        <v>0</v>
      </c>
    </row>
    <row r="914" spans="1:30" ht="18" customHeight="1">
      <c r="A914" s="237">
        <v>30732</v>
      </c>
      <c r="B914" s="121">
        <v>1</v>
      </c>
      <c r="C914" s="238">
        <v>46185</v>
      </c>
      <c r="D914" s="105">
        <f t="shared" ca="1" si="42"/>
        <v>42</v>
      </c>
      <c r="E914" s="138" t="str">
        <f t="shared" si="43"/>
        <v>ADMITIDO</v>
      </c>
      <c r="F914" s="230" t="s">
        <v>171</v>
      </c>
      <c r="G914" s="147" t="s">
        <v>167</v>
      </c>
      <c r="H914" s="146" t="s">
        <v>40</v>
      </c>
      <c r="I914" s="117" t="str">
        <f>IF(X914="ADMITIDO","ADMITIDO",IF(X914="CANCELADA","CANCELADA",IF(H914="","",IFERROR(_xlfn.XLOOKUP(H914,Listas!I:I,Listas!J:J),"OUTROS"))))</f>
        <v>ADMITIDO</v>
      </c>
      <c r="J914" s="240" t="s">
        <v>172</v>
      </c>
      <c r="K914" s="240" t="s">
        <v>699</v>
      </c>
      <c r="L914" s="240" t="s">
        <v>2499</v>
      </c>
      <c r="M914" s="240"/>
      <c r="N914" s="240"/>
      <c r="O914" s="119" t="s">
        <v>34</v>
      </c>
      <c r="P914" s="119" t="s">
        <v>35</v>
      </c>
      <c r="Q914" s="119" t="s">
        <v>36</v>
      </c>
      <c r="R914" s="234"/>
      <c r="S914" s="273"/>
      <c r="T914" s="274"/>
      <c r="U914" s="73" t="s">
        <v>132</v>
      </c>
      <c r="V914" s="216">
        <v>46203</v>
      </c>
      <c r="W914" s="118" t="s">
        <v>2504</v>
      </c>
      <c r="X914" s="119" t="s">
        <v>40</v>
      </c>
      <c r="Y914" s="120">
        <v>46216</v>
      </c>
      <c r="Z914" s="120">
        <v>46219</v>
      </c>
      <c r="AA914" s="244">
        <v>83372</v>
      </c>
      <c r="AB914" s="241"/>
      <c r="AC914" s="241"/>
      <c r="AD914" s="244">
        <v>0</v>
      </c>
    </row>
    <row r="915" spans="1:30" ht="18" customHeight="1">
      <c r="A915" s="237">
        <v>30732</v>
      </c>
      <c r="B915" s="121">
        <v>1</v>
      </c>
      <c r="C915" s="238">
        <v>46185</v>
      </c>
      <c r="D915" s="105">
        <f t="shared" ca="1" si="42"/>
        <v>42</v>
      </c>
      <c r="E915" s="138" t="str">
        <f t="shared" si="43"/>
        <v>ADMITIDO</v>
      </c>
      <c r="F915" s="230" t="s">
        <v>171</v>
      </c>
      <c r="G915" s="147" t="s">
        <v>167</v>
      </c>
      <c r="H915" s="146" t="s">
        <v>40</v>
      </c>
      <c r="I915" s="117" t="str">
        <f>IF(X915="ADMITIDO","ADMITIDO",IF(X915="CANCELADA","CANCELADA",IF(H915="","",IFERROR(_xlfn.XLOOKUP(H915,Listas!I:I,Listas!J:J),"OUTROS"))))</f>
        <v>ADMITIDO</v>
      </c>
      <c r="J915" s="240" t="s">
        <v>172</v>
      </c>
      <c r="K915" s="240" t="s">
        <v>699</v>
      </c>
      <c r="L915" s="240" t="s">
        <v>2499</v>
      </c>
      <c r="M915" s="240"/>
      <c r="N915" s="240"/>
      <c r="O915" s="119" t="s">
        <v>34</v>
      </c>
      <c r="P915" s="119" t="s">
        <v>35</v>
      </c>
      <c r="Q915" s="119" t="s">
        <v>36</v>
      </c>
      <c r="R915" s="234"/>
      <c r="S915" s="273"/>
      <c r="T915" s="274"/>
      <c r="U915" s="73" t="s">
        <v>132</v>
      </c>
      <c r="V915" s="216">
        <v>46203</v>
      </c>
      <c r="W915" s="118" t="s">
        <v>2505</v>
      </c>
      <c r="X915" s="119" t="s">
        <v>40</v>
      </c>
      <c r="Y915" s="120">
        <v>46213</v>
      </c>
      <c r="Z915" s="120">
        <v>46222</v>
      </c>
      <c r="AA915" s="244">
        <v>83376</v>
      </c>
      <c r="AB915" s="241"/>
      <c r="AC915" s="241"/>
      <c r="AD915" s="244">
        <v>0</v>
      </c>
    </row>
    <row r="916" spans="1:30" ht="18" customHeight="1">
      <c r="A916" s="237">
        <v>30733</v>
      </c>
      <c r="B916" s="121">
        <v>1</v>
      </c>
      <c r="C916" s="238">
        <v>46185</v>
      </c>
      <c r="D916" s="105">
        <f t="shared" ca="1" si="42"/>
        <v>42</v>
      </c>
      <c r="E916" s="138" t="str">
        <f t="shared" si="43"/>
        <v>ADMITIDO</v>
      </c>
      <c r="F916" s="230" t="s">
        <v>171</v>
      </c>
      <c r="G916" s="147" t="s">
        <v>167</v>
      </c>
      <c r="H916" s="146" t="s">
        <v>40</v>
      </c>
      <c r="I916" s="117" t="str">
        <f>IF(X916="ADMITIDO","ADMITIDO",IF(X916="CANCELADA","CANCELADA",IF(H916="","",IFERROR(_xlfn.XLOOKUP(H916,Listas!I:I,Listas!J:J),"OUTROS"))))</f>
        <v>ADMITIDO</v>
      </c>
      <c r="J916" s="240" t="s">
        <v>172</v>
      </c>
      <c r="K916" s="240" t="s">
        <v>699</v>
      </c>
      <c r="L916" s="240" t="s">
        <v>2499</v>
      </c>
      <c r="M916" s="240"/>
      <c r="N916" s="240"/>
      <c r="O916" s="119" t="s">
        <v>56</v>
      </c>
      <c r="P916" s="119" t="s">
        <v>35</v>
      </c>
      <c r="Q916" s="119" t="s">
        <v>176</v>
      </c>
      <c r="R916" s="234"/>
      <c r="S916" s="273"/>
      <c r="T916" s="274"/>
      <c r="U916" s="73" t="s">
        <v>132</v>
      </c>
      <c r="V916" s="216">
        <v>46203</v>
      </c>
      <c r="W916" s="118" t="s">
        <v>2506</v>
      </c>
      <c r="X916" s="119" t="s">
        <v>40</v>
      </c>
      <c r="Y916" s="120">
        <v>46213</v>
      </c>
      <c r="Z916" s="120">
        <v>46221</v>
      </c>
      <c r="AA916" s="244">
        <v>83374</v>
      </c>
      <c r="AB916" s="241"/>
      <c r="AC916" s="241"/>
      <c r="AD916" s="244">
        <v>0</v>
      </c>
    </row>
    <row r="917" spans="1:30" ht="18" customHeight="1">
      <c r="A917" s="237">
        <v>30733</v>
      </c>
      <c r="B917" s="121">
        <v>1</v>
      </c>
      <c r="C917" s="238">
        <v>46185</v>
      </c>
      <c r="D917" s="105">
        <f t="shared" ca="1" si="42"/>
        <v>42</v>
      </c>
      <c r="E917" s="138" t="str">
        <f t="shared" si="43"/>
        <v>ADMITIDO</v>
      </c>
      <c r="F917" s="230" t="s">
        <v>171</v>
      </c>
      <c r="G917" s="147" t="s">
        <v>167</v>
      </c>
      <c r="H917" s="146" t="s">
        <v>40</v>
      </c>
      <c r="I917" s="117" t="str">
        <f>IF(X917="ADMITIDO","ADMITIDO",IF(X917="CANCELADA","CANCELADA",IF(H917="","",IFERROR(_xlfn.XLOOKUP(H917,Listas!I:I,Listas!J:J),"OUTROS"))))</f>
        <v>ADMITIDO</v>
      </c>
      <c r="J917" s="240" t="s">
        <v>172</v>
      </c>
      <c r="K917" s="240" t="s">
        <v>699</v>
      </c>
      <c r="L917" s="240" t="s">
        <v>2499</v>
      </c>
      <c r="M917" s="240"/>
      <c r="N917" s="240"/>
      <c r="O917" s="119" t="s">
        <v>34</v>
      </c>
      <c r="P917" s="119" t="s">
        <v>35</v>
      </c>
      <c r="Q917" s="119" t="s">
        <v>176</v>
      </c>
      <c r="R917" s="234"/>
      <c r="S917" s="273"/>
      <c r="T917" s="274"/>
      <c r="U917" s="73" t="s">
        <v>132</v>
      </c>
      <c r="V917" s="216">
        <v>46203</v>
      </c>
      <c r="W917" s="118" t="s">
        <v>2507</v>
      </c>
      <c r="X917" s="119" t="s">
        <v>40</v>
      </c>
      <c r="Y917" s="120">
        <v>46213</v>
      </c>
      <c r="Z917" s="120">
        <v>46221</v>
      </c>
      <c r="AA917" s="244">
        <v>83378</v>
      </c>
      <c r="AB917" s="241"/>
      <c r="AC917" s="241"/>
      <c r="AD917" s="244">
        <v>0</v>
      </c>
    </row>
    <row r="918" spans="1:30" ht="18" customHeight="1">
      <c r="A918" s="237">
        <v>30733</v>
      </c>
      <c r="B918" s="121">
        <v>1</v>
      </c>
      <c r="C918" s="238">
        <v>46185</v>
      </c>
      <c r="D918" s="105">
        <f t="shared" ca="1" si="42"/>
        <v>42</v>
      </c>
      <c r="E918" s="138" t="str">
        <f t="shared" si="43"/>
        <v>ADMITIDO</v>
      </c>
      <c r="F918" s="230" t="s">
        <v>171</v>
      </c>
      <c r="G918" s="147" t="s">
        <v>167</v>
      </c>
      <c r="H918" s="146" t="s">
        <v>40</v>
      </c>
      <c r="I918" s="117" t="str">
        <f>IF(X918="ADMITIDO","ADMITIDO",IF(X918="CANCELADA","CANCELADA",IF(H918="","",IFERROR(_xlfn.XLOOKUP(H918,Listas!I:I,Listas!J:J),"OUTROS"))))</f>
        <v>ADMITIDO</v>
      </c>
      <c r="J918" s="240" t="s">
        <v>172</v>
      </c>
      <c r="K918" s="240" t="s">
        <v>699</v>
      </c>
      <c r="L918" s="240" t="s">
        <v>2499</v>
      </c>
      <c r="M918" s="240"/>
      <c r="N918" s="240"/>
      <c r="O918" s="119" t="s">
        <v>56</v>
      </c>
      <c r="P918" s="119" t="s">
        <v>35</v>
      </c>
      <c r="Q918" s="119" t="s">
        <v>176</v>
      </c>
      <c r="R918" s="234"/>
      <c r="S918" s="273"/>
      <c r="T918" s="274"/>
      <c r="U918" s="73" t="s">
        <v>132</v>
      </c>
      <c r="V918" s="216">
        <v>46203</v>
      </c>
      <c r="W918" s="118" t="s">
        <v>2508</v>
      </c>
      <c r="X918" s="119" t="s">
        <v>40</v>
      </c>
      <c r="Y918" s="120">
        <v>46216</v>
      </c>
      <c r="Z918" s="120">
        <v>46219</v>
      </c>
      <c r="AA918" s="244">
        <v>83373</v>
      </c>
      <c r="AB918" s="241"/>
      <c r="AC918" s="241"/>
      <c r="AD918" s="244">
        <v>0</v>
      </c>
    </row>
    <row r="919" spans="1:30" ht="18" customHeight="1">
      <c r="A919" s="237">
        <v>30733</v>
      </c>
      <c r="B919" s="121">
        <v>1</v>
      </c>
      <c r="C919" s="238">
        <v>46185</v>
      </c>
      <c r="D919" s="105">
        <f t="shared" ca="1" si="42"/>
        <v>42</v>
      </c>
      <c r="E919" s="138" t="str">
        <f t="shared" si="43"/>
        <v>ADMITIDO</v>
      </c>
      <c r="F919" s="230" t="s">
        <v>171</v>
      </c>
      <c r="G919" s="147" t="s">
        <v>167</v>
      </c>
      <c r="H919" s="146" t="s">
        <v>40</v>
      </c>
      <c r="I919" s="117" t="str">
        <f>IF(X919="ADMITIDO","ADMITIDO",IF(X919="CANCELADA","CANCELADA",IF(H919="","",IFERROR(_xlfn.XLOOKUP(H919,Listas!I:I,Listas!J:J),"OUTROS"))))</f>
        <v>ADMITIDO</v>
      </c>
      <c r="J919" s="240" t="s">
        <v>172</v>
      </c>
      <c r="K919" s="240" t="s">
        <v>699</v>
      </c>
      <c r="L919" s="240" t="s">
        <v>2499</v>
      </c>
      <c r="M919" s="240"/>
      <c r="N919" s="240"/>
      <c r="O919" s="119" t="s">
        <v>34</v>
      </c>
      <c r="P919" s="119" t="s">
        <v>35</v>
      </c>
      <c r="Q919" s="119" t="s">
        <v>176</v>
      </c>
      <c r="R919" s="234"/>
      <c r="S919" s="273"/>
      <c r="T919" s="274"/>
      <c r="U919" s="73" t="s">
        <v>132</v>
      </c>
      <c r="V919" s="216">
        <v>46203</v>
      </c>
      <c r="W919" s="118" t="s">
        <v>2509</v>
      </c>
      <c r="X919" s="119" t="s">
        <v>40</v>
      </c>
      <c r="Y919" s="120">
        <v>46216</v>
      </c>
      <c r="Z919" s="120">
        <v>46219</v>
      </c>
      <c r="AA919" s="244">
        <v>83379</v>
      </c>
      <c r="AB919" s="241"/>
      <c r="AC919" s="241"/>
      <c r="AD919" s="244">
        <v>0</v>
      </c>
    </row>
    <row r="920" spans="1:30" ht="18" customHeight="1">
      <c r="A920" s="237">
        <v>30709</v>
      </c>
      <c r="B920" s="121">
        <v>1</v>
      </c>
      <c r="C920" s="238">
        <v>46185</v>
      </c>
      <c r="D920" s="105">
        <f t="shared" ca="1" si="42"/>
        <v>42</v>
      </c>
      <c r="E920" s="138" t="str">
        <f t="shared" si="43"/>
        <v>ADMITIDO</v>
      </c>
      <c r="F920" s="230" t="s">
        <v>28</v>
      </c>
      <c r="G920" s="147" t="s">
        <v>552</v>
      </c>
      <c r="H920" s="117" t="s">
        <v>40</v>
      </c>
      <c r="I920" s="117" t="str">
        <f>IF(X920="ADMITIDO","ADMITIDO",IF(X920="CANCELADA","CANCELADA",IF(H920="","",IFERROR(_xlfn.XLOOKUP(H920,Listas!I:I,Listas!J:J),"OUTROS"))))</f>
        <v>ADMITIDO</v>
      </c>
      <c r="J920" s="240" t="s">
        <v>268</v>
      </c>
      <c r="K920" s="240" t="s">
        <v>553</v>
      </c>
      <c r="L920" s="240" t="s">
        <v>2510</v>
      </c>
      <c r="M920" s="240"/>
      <c r="N920" s="240"/>
      <c r="O920" s="119" t="s">
        <v>34</v>
      </c>
      <c r="P920" s="119" t="s">
        <v>1243</v>
      </c>
      <c r="Q920" s="119" t="s">
        <v>414</v>
      </c>
      <c r="R920" s="234"/>
      <c r="S920" s="273"/>
      <c r="T920" s="274"/>
      <c r="U920" s="73" t="s">
        <v>552</v>
      </c>
      <c r="V920" s="216">
        <v>46218</v>
      </c>
      <c r="W920" s="118" t="s">
        <v>2511</v>
      </c>
      <c r="X920" s="119" t="s">
        <v>40</v>
      </c>
      <c r="Y920" s="120">
        <v>46221</v>
      </c>
      <c r="Z920" s="120">
        <v>46222</v>
      </c>
      <c r="AA920" s="244">
        <v>914593</v>
      </c>
      <c r="AB920" s="241"/>
      <c r="AC920" s="241"/>
      <c r="AD920" s="244">
        <v>0</v>
      </c>
    </row>
    <row r="921" spans="1:30" ht="18" customHeight="1">
      <c r="A921" s="237">
        <v>30711</v>
      </c>
      <c r="B921" s="121">
        <v>1</v>
      </c>
      <c r="C921" s="238">
        <v>46185</v>
      </c>
      <c r="D921" s="105">
        <f t="shared" ca="1" si="42"/>
        <v>42</v>
      </c>
      <c r="E921" s="138" t="str">
        <f t="shared" si="43"/>
        <v>ADMITIDO</v>
      </c>
      <c r="F921" s="230" t="s">
        <v>171</v>
      </c>
      <c r="G921" s="147" t="s">
        <v>552</v>
      </c>
      <c r="H921" s="117" t="s">
        <v>40</v>
      </c>
      <c r="I921" s="117" t="str">
        <f>IF(X921="ADMITIDO","ADMITIDO",IF(X921="CANCELADA","CANCELADA",IF(H921="","",IFERROR(_xlfn.XLOOKUP(H921,Listas!I:I,Listas!J:J),"OUTROS"))))</f>
        <v>ADMITIDO</v>
      </c>
      <c r="J921" s="240" t="s">
        <v>172</v>
      </c>
      <c r="K921" s="240" t="s">
        <v>553</v>
      </c>
      <c r="L921" s="240" t="s">
        <v>2510</v>
      </c>
      <c r="M921" s="240"/>
      <c r="N921" s="240"/>
      <c r="O921" s="119" t="s">
        <v>34</v>
      </c>
      <c r="P921" s="119" t="s">
        <v>35</v>
      </c>
      <c r="Q921" s="119" t="s">
        <v>287</v>
      </c>
      <c r="R921" s="234"/>
      <c r="S921" s="273"/>
      <c r="T921" s="274"/>
      <c r="U921" s="73" t="s">
        <v>552</v>
      </c>
      <c r="V921" s="216"/>
      <c r="W921" s="118" t="s">
        <v>2512</v>
      </c>
      <c r="X921" s="119" t="s">
        <v>40</v>
      </c>
      <c r="Y921" s="120"/>
      <c r="Z921" s="120"/>
      <c r="AA921" s="244">
        <v>89121</v>
      </c>
      <c r="AB921" s="241"/>
      <c r="AC921" s="241"/>
      <c r="AD921" s="244">
        <v>0</v>
      </c>
    </row>
    <row r="922" spans="1:30" ht="18" customHeight="1">
      <c r="A922" s="237">
        <v>30711</v>
      </c>
      <c r="B922" s="121">
        <v>1</v>
      </c>
      <c r="C922" s="238">
        <v>46185</v>
      </c>
      <c r="D922" s="105">
        <f t="shared" ca="1" si="42"/>
        <v>42</v>
      </c>
      <c r="E922" s="138" t="str">
        <f t="shared" si="43"/>
        <v>ADMITIDO</v>
      </c>
      <c r="F922" s="230" t="s">
        <v>171</v>
      </c>
      <c r="G922" s="147" t="s">
        <v>552</v>
      </c>
      <c r="H922" s="117" t="s">
        <v>40</v>
      </c>
      <c r="I922" s="117" t="str">
        <f>IF(X922="ADMITIDO","ADMITIDO",IF(X922="CANCELADA","CANCELADA",IF(H922="","",IFERROR(_xlfn.XLOOKUP(H922,Listas!I:I,Listas!J:J),"OUTROS"))))</f>
        <v>ADMITIDO</v>
      </c>
      <c r="J922" s="240" t="s">
        <v>172</v>
      </c>
      <c r="K922" s="240" t="s">
        <v>553</v>
      </c>
      <c r="L922" s="240" t="s">
        <v>2510</v>
      </c>
      <c r="M922" s="240"/>
      <c r="N922" s="240"/>
      <c r="O922" s="119" t="s">
        <v>34</v>
      </c>
      <c r="P922" s="119" t="s">
        <v>35</v>
      </c>
      <c r="Q922" s="119" t="s">
        <v>287</v>
      </c>
      <c r="R922" s="234"/>
      <c r="S922" s="273"/>
      <c r="T922" s="274"/>
      <c r="U922" s="73" t="s">
        <v>552</v>
      </c>
      <c r="V922" s="216"/>
      <c r="W922" s="118" t="s">
        <v>2513</v>
      </c>
      <c r="X922" s="119" t="s">
        <v>40</v>
      </c>
      <c r="Y922" s="120"/>
      <c r="Z922" s="120"/>
      <c r="AA922" s="244">
        <v>89120</v>
      </c>
      <c r="AB922" s="241"/>
      <c r="AC922" s="241"/>
      <c r="AD922" s="244">
        <v>0</v>
      </c>
    </row>
    <row r="923" spans="1:30" ht="18" customHeight="1">
      <c r="A923" s="237">
        <v>30711</v>
      </c>
      <c r="B923" s="121">
        <v>1</v>
      </c>
      <c r="C923" s="238">
        <v>46185</v>
      </c>
      <c r="D923" s="105">
        <f t="shared" ca="1" si="42"/>
        <v>42</v>
      </c>
      <c r="E923" s="138" t="str">
        <f t="shared" si="43"/>
        <v>ADMITIDO</v>
      </c>
      <c r="F923" s="230" t="s">
        <v>171</v>
      </c>
      <c r="G923" s="147" t="s">
        <v>552</v>
      </c>
      <c r="H923" s="117" t="s">
        <v>40</v>
      </c>
      <c r="I923" s="117" t="str">
        <f>IF(X923="ADMITIDO","ADMITIDO",IF(X923="CANCELADA","CANCELADA",IF(H923="","",IFERROR(_xlfn.XLOOKUP(H923,Listas!I:I,Listas!J:J),"OUTROS"))))</f>
        <v>ADMITIDO</v>
      </c>
      <c r="J923" s="240" t="s">
        <v>172</v>
      </c>
      <c r="K923" s="240" t="s">
        <v>553</v>
      </c>
      <c r="L923" s="240" t="s">
        <v>2510</v>
      </c>
      <c r="M923" s="240"/>
      <c r="N923" s="240"/>
      <c r="O923" s="119" t="s">
        <v>34</v>
      </c>
      <c r="P923" s="119" t="s">
        <v>35</v>
      </c>
      <c r="Q923" s="119" t="s">
        <v>287</v>
      </c>
      <c r="R923" s="234"/>
      <c r="S923" s="273"/>
      <c r="T923" s="274"/>
      <c r="U923" s="73" t="s">
        <v>552</v>
      </c>
      <c r="V923" s="216"/>
      <c r="W923" s="118" t="s">
        <v>2514</v>
      </c>
      <c r="X923" s="119" t="s">
        <v>40</v>
      </c>
      <c r="Y923" s="120"/>
      <c r="Z923" s="120"/>
      <c r="AA923" s="244">
        <v>89119</v>
      </c>
      <c r="AB923" s="241"/>
      <c r="AC923" s="241"/>
      <c r="AD923" s="244">
        <v>0</v>
      </c>
    </row>
    <row r="924" spans="1:30" ht="18" customHeight="1">
      <c r="A924" s="237">
        <v>30711</v>
      </c>
      <c r="B924" s="121">
        <v>1</v>
      </c>
      <c r="C924" s="238">
        <v>46185</v>
      </c>
      <c r="D924" s="105">
        <f t="shared" ca="1" si="42"/>
        <v>42</v>
      </c>
      <c r="E924" s="138" t="str">
        <f t="shared" si="43"/>
        <v>ADMITIDO</v>
      </c>
      <c r="F924" s="230" t="s">
        <v>171</v>
      </c>
      <c r="G924" s="147" t="s">
        <v>552</v>
      </c>
      <c r="H924" s="117" t="s">
        <v>40</v>
      </c>
      <c r="I924" s="117" t="str">
        <f>IF(X924="ADMITIDO","ADMITIDO",IF(X924="CANCELADA","CANCELADA",IF(H924="","",IFERROR(_xlfn.XLOOKUP(H924,Listas!I:I,Listas!J:J),"OUTROS"))))</f>
        <v>ADMITIDO</v>
      </c>
      <c r="J924" s="240" t="s">
        <v>172</v>
      </c>
      <c r="K924" s="240" t="s">
        <v>553</v>
      </c>
      <c r="L924" s="240" t="s">
        <v>2510</v>
      </c>
      <c r="M924" s="240"/>
      <c r="N924" s="240"/>
      <c r="O924" s="119" t="s">
        <v>34</v>
      </c>
      <c r="P924" s="119" t="s">
        <v>35</v>
      </c>
      <c r="Q924" s="119" t="s">
        <v>287</v>
      </c>
      <c r="R924" s="234"/>
      <c r="S924" s="273"/>
      <c r="T924" s="274"/>
      <c r="U924" s="73" t="s">
        <v>552</v>
      </c>
      <c r="V924" s="216"/>
      <c r="W924" s="118" t="s">
        <v>2515</v>
      </c>
      <c r="X924" s="119" t="s">
        <v>40</v>
      </c>
      <c r="Y924" s="120"/>
      <c r="Z924" s="120"/>
      <c r="AA924" s="244">
        <v>89122</v>
      </c>
      <c r="AB924" s="241"/>
      <c r="AC924" s="241"/>
      <c r="AD924" s="244">
        <v>0</v>
      </c>
    </row>
    <row r="925" spans="1:30" ht="18" customHeight="1">
      <c r="A925" s="237">
        <v>30712</v>
      </c>
      <c r="B925" s="121">
        <v>1</v>
      </c>
      <c r="C925" s="238">
        <v>46185</v>
      </c>
      <c r="D925" s="105">
        <f t="shared" ca="1" si="42"/>
        <v>42</v>
      </c>
      <c r="E925" s="138" t="str">
        <f t="shared" si="43"/>
        <v>ADMITIDO</v>
      </c>
      <c r="F925" s="230" t="s">
        <v>171</v>
      </c>
      <c r="G925" s="147" t="s">
        <v>552</v>
      </c>
      <c r="H925" s="117" t="s">
        <v>40</v>
      </c>
      <c r="I925" s="117" t="str">
        <f>IF(X925="ADMITIDO","ADMITIDO",IF(X925="CANCELADA","CANCELADA",IF(H925="","",IFERROR(_xlfn.XLOOKUP(H925,Listas!I:I,Listas!J:J),"OUTROS"))))</f>
        <v>ADMITIDO</v>
      </c>
      <c r="J925" s="240" t="s">
        <v>172</v>
      </c>
      <c r="K925" s="240" t="s">
        <v>553</v>
      </c>
      <c r="L925" s="240" t="s">
        <v>2510</v>
      </c>
      <c r="M925" s="240"/>
      <c r="N925" s="240"/>
      <c r="O925" s="119" t="s">
        <v>56</v>
      </c>
      <c r="P925" s="119" t="s">
        <v>35</v>
      </c>
      <c r="Q925" s="119" t="s">
        <v>357</v>
      </c>
      <c r="R925" s="234"/>
      <c r="S925" s="273"/>
      <c r="T925" s="274"/>
      <c r="U925" s="73" t="s">
        <v>552</v>
      </c>
      <c r="V925" s="216"/>
      <c r="W925" s="118" t="s">
        <v>2516</v>
      </c>
      <c r="X925" s="119" t="s">
        <v>40</v>
      </c>
      <c r="Y925" s="120"/>
      <c r="Z925" s="120"/>
      <c r="AA925" s="244">
        <v>89116</v>
      </c>
      <c r="AB925" s="241"/>
      <c r="AC925" s="241"/>
      <c r="AD925" s="244">
        <v>0</v>
      </c>
    </row>
    <row r="926" spans="1:30" ht="18" customHeight="1">
      <c r="A926" s="237">
        <v>30712</v>
      </c>
      <c r="B926" s="121">
        <v>1</v>
      </c>
      <c r="C926" s="238">
        <v>46185</v>
      </c>
      <c r="D926" s="105">
        <f t="shared" ref="D926" ca="1" si="44">TODAY()-C926</f>
        <v>42</v>
      </c>
      <c r="E926" s="138" t="str">
        <f t="shared" ref="E926" si="45">IF(X926="ADMITIDO","ADMITIDO",IF(X926="CANCELADA","CANCELADA",IF(H926="","",IF(H926="ADMITIDO","ADMITIDO",IF(H926="CANCELADA","CANCELADA",IF(OR(H926="ANALISE CANCELAMENTO",H926="ANÁLISE CANCELAMENTO"),"EM ANÁLISE",IF(D926="","",IF(D926&lt;=7,"NO PRAZO",IF(D926&lt;=14,"ATENÇÃO","CRÍTICO")))))))))</f>
        <v>ADMITIDO</v>
      </c>
      <c r="F926" s="230" t="s">
        <v>171</v>
      </c>
      <c r="G926" s="147" t="s">
        <v>552</v>
      </c>
      <c r="H926" s="117" t="s">
        <v>40</v>
      </c>
      <c r="I926" s="117" t="str">
        <f>IF(X926="ADMITIDO","ADMITIDO",IF(X926="CANCELADA","CANCELADA",IF(H926="","",IFERROR(_xlfn.XLOOKUP(H926,Listas!I:I,Listas!J:J),"OUTROS"))))</f>
        <v>ADMITIDO</v>
      </c>
      <c r="J926" s="240" t="s">
        <v>172</v>
      </c>
      <c r="K926" s="240" t="s">
        <v>553</v>
      </c>
      <c r="L926" s="240" t="s">
        <v>2510</v>
      </c>
      <c r="M926" s="240"/>
      <c r="N926" s="240"/>
      <c r="O926" s="119" t="s">
        <v>34</v>
      </c>
      <c r="P926" s="119" t="s">
        <v>35</v>
      </c>
      <c r="Q926" s="119" t="s">
        <v>357</v>
      </c>
      <c r="R926" s="234"/>
      <c r="S926" s="273"/>
      <c r="T926" s="274"/>
      <c r="U926" s="73" t="s">
        <v>552</v>
      </c>
      <c r="V926" s="216"/>
      <c r="W926" s="118" t="s">
        <v>2517</v>
      </c>
      <c r="X926" s="119" t="s">
        <v>40</v>
      </c>
      <c r="Y926" s="120"/>
      <c r="Z926" s="120"/>
      <c r="AA926" s="244">
        <v>89117</v>
      </c>
      <c r="AB926" s="241"/>
      <c r="AC926" s="241"/>
      <c r="AD926" s="244">
        <v>0</v>
      </c>
    </row>
    <row r="927" spans="1:30" ht="18" customHeight="1">
      <c r="A927" s="237">
        <v>30712</v>
      </c>
      <c r="B927" s="121">
        <v>1</v>
      </c>
      <c r="C927" s="238">
        <v>46185</v>
      </c>
      <c r="D927" s="105">
        <f t="shared" ca="1" si="42"/>
        <v>42</v>
      </c>
      <c r="E927" s="138" t="str">
        <f t="shared" si="43"/>
        <v>ADMITIDO</v>
      </c>
      <c r="F927" s="230" t="s">
        <v>171</v>
      </c>
      <c r="G927" s="147" t="s">
        <v>552</v>
      </c>
      <c r="H927" s="117" t="s">
        <v>40</v>
      </c>
      <c r="I927" s="117" t="str">
        <f>IF(X927="ADMITIDO","ADMITIDO",IF(X927="CANCELADA","CANCELADA",IF(H927="","",IFERROR(_xlfn.XLOOKUP(H927,Listas!I:I,Listas!J:J),"OUTROS"))))</f>
        <v>ADMITIDO</v>
      </c>
      <c r="J927" s="240" t="s">
        <v>172</v>
      </c>
      <c r="K927" s="240" t="s">
        <v>553</v>
      </c>
      <c r="L927" s="240" t="s">
        <v>2510</v>
      </c>
      <c r="M927" s="240"/>
      <c r="N927" s="240"/>
      <c r="O927" s="119" t="s">
        <v>34</v>
      </c>
      <c r="P927" s="119" t="s">
        <v>35</v>
      </c>
      <c r="Q927" s="119" t="s">
        <v>357</v>
      </c>
      <c r="R927" s="234"/>
      <c r="S927" s="273"/>
      <c r="T927" s="274"/>
      <c r="U927" s="73" t="s">
        <v>552</v>
      </c>
      <c r="V927" s="216"/>
      <c r="W927" s="118" t="s">
        <v>2518</v>
      </c>
      <c r="X927" s="119" t="s">
        <v>40</v>
      </c>
      <c r="Y927" s="120"/>
      <c r="Z927" s="120"/>
      <c r="AA927" s="244">
        <v>89118</v>
      </c>
      <c r="AB927" s="241"/>
      <c r="AC927" s="241"/>
      <c r="AD927" s="244">
        <v>0</v>
      </c>
    </row>
    <row r="928" spans="1:30" ht="18" customHeight="1">
      <c r="A928" s="237">
        <v>30712</v>
      </c>
      <c r="B928" s="121">
        <v>1</v>
      </c>
      <c r="C928" s="238">
        <v>46185</v>
      </c>
      <c r="D928" s="105">
        <f t="shared" ca="1" si="42"/>
        <v>42</v>
      </c>
      <c r="E928" s="138" t="str">
        <f t="shared" si="43"/>
        <v>ADMITIDO</v>
      </c>
      <c r="F928" s="230" t="s">
        <v>171</v>
      </c>
      <c r="G928" s="147" t="s">
        <v>552</v>
      </c>
      <c r="H928" s="117" t="s">
        <v>40</v>
      </c>
      <c r="I928" s="117" t="str">
        <f>IF(X928="ADMITIDO","ADMITIDO",IF(X928="CANCELADA","CANCELADA",IF(H928="","",IFERROR(_xlfn.XLOOKUP(H928,Listas!I:I,Listas!J:J),"OUTROS"))))</f>
        <v>ADMITIDO</v>
      </c>
      <c r="J928" s="240" t="s">
        <v>172</v>
      </c>
      <c r="K928" s="240" t="s">
        <v>553</v>
      </c>
      <c r="L928" s="240" t="s">
        <v>2510</v>
      </c>
      <c r="M928" s="240"/>
      <c r="N928" s="240"/>
      <c r="O928" s="119" t="s">
        <v>56</v>
      </c>
      <c r="P928" s="119" t="s">
        <v>35</v>
      </c>
      <c r="Q928" s="119" t="s">
        <v>357</v>
      </c>
      <c r="R928" s="234"/>
      <c r="S928" s="273"/>
      <c r="T928" s="274"/>
      <c r="U928" s="73" t="s">
        <v>552</v>
      </c>
      <c r="V928" s="216"/>
      <c r="W928" s="118" t="s">
        <v>2519</v>
      </c>
      <c r="X928" s="119" t="s">
        <v>40</v>
      </c>
      <c r="Y928" s="120"/>
      <c r="Z928" s="120"/>
      <c r="AA928" s="244">
        <v>89123</v>
      </c>
      <c r="AB928" s="241"/>
      <c r="AC928" s="241"/>
      <c r="AD928" s="244">
        <v>0</v>
      </c>
    </row>
    <row r="929" spans="1:30" ht="18" customHeight="1">
      <c r="A929" s="237">
        <v>30779</v>
      </c>
      <c r="B929" s="121">
        <v>1</v>
      </c>
      <c r="C929" s="238">
        <v>46188</v>
      </c>
      <c r="D929" s="105">
        <f t="shared" ca="1" si="42"/>
        <v>39</v>
      </c>
      <c r="E929" s="138" t="str">
        <f t="shared" si="43"/>
        <v>ADMITIDO</v>
      </c>
      <c r="F929" s="230" t="s">
        <v>42</v>
      </c>
      <c r="G929" s="147" t="s">
        <v>240</v>
      </c>
      <c r="H929" s="146" t="s">
        <v>40</v>
      </c>
      <c r="I929" s="117" t="str">
        <f>IF(X929="ADMITIDO","ADMITIDO",IF(X929="CANCELADA","CANCELADA",IF(H929="","",IFERROR(_xlfn.XLOOKUP(H929,Listas!I:I,Listas!J:J),"OUTROS"))))</f>
        <v>ADMITIDO</v>
      </c>
      <c r="J929" s="240" t="s">
        <v>44</v>
      </c>
      <c r="K929" s="240" t="s">
        <v>241</v>
      </c>
      <c r="L929" s="240" t="s">
        <v>307</v>
      </c>
      <c r="M929" s="240"/>
      <c r="N929" s="240" t="s">
        <v>243</v>
      </c>
      <c r="O929" s="119" t="s">
        <v>34</v>
      </c>
      <c r="P929" s="119" t="s">
        <v>57</v>
      </c>
      <c r="Q929" s="119" t="s">
        <v>309</v>
      </c>
      <c r="R929" s="234"/>
      <c r="S929" s="273"/>
      <c r="T929" s="274"/>
      <c r="U929" s="73" t="s">
        <v>67</v>
      </c>
      <c r="V929" s="216">
        <v>46203</v>
      </c>
      <c r="W929" s="118" t="s">
        <v>2520</v>
      </c>
      <c r="X929" s="119" t="s">
        <v>40</v>
      </c>
      <c r="Y929" s="120">
        <v>46210</v>
      </c>
      <c r="Z929" s="120">
        <v>46213</v>
      </c>
      <c r="AA929" s="244">
        <v>146183</v>
      </c>
      <c r="AB929" s="241"/>
      <c r="AC929" s="241"/>
      <c r="AD929" s="244">
        <v>0</v>
      </c>
    </row>
    <row r="930" spans="1:30" ht="18" customHeight="1">
      <c r="A930" s="237">
        <v>30768</v>
      </c>
      <c r="B930" s="121">
        <v>1</v>
      </c>
      <c r="C930" s="238">
        <v>46188</v>
      </c>
      <c r="D930" s="105">
        <f t="shared" ca="1" si="42"/>
        <v>39</v>
      </c>
      <c r="E930" s="138" t="str">
        <f t="shared" si="43"/>
        <v>ADMITIDO</v>
      </c>
      <c r="F930" s="230" t="s">
        <v>42</v>
      </c>
      <c r="G930" s="147" t="s">
        <v>69</v>
      </c>
      <c r="H930" s="117" t="s">
        <v>40</v>
      </c>
      <c r="I930" s="117" t="str">
        <f>IF(X930="ADMITIDO","ADMITIDO",IF(X930="CANCELADA","CANCELADA",IF(H930="","",IFERROR(_xlfn.XLOOKUP(H930,Listas!I:I,Listas!J:J),"OUTROS"))))</f>
        <v>ADMITIDO</v>
      </c>
      <c r="J930" s="240" t="s">
        <v>53</v>
      </c>
      <c r="K930" s="240" t="s">
        <v>70</v>
      </c>
      <c r="L930" s="240" t="s">
        <v>343</v>
      </c>
      <c r="M930" s="240"/>
      <c r="N930" s="240" t="s">
        <v>63</v>
      </c>
      <c r="O930" s="119" t="s">
        <v>34</v>
      </c>
      <c r="P930" s="119" t="s">
        <v>219</v>
      </c>
      <c r="Q930" s="119" t="s">
        <v>550</v>
      </c>
      <c r="R930" s="234"/>
      <c r="S930" s="273"/>
      <c r="T930" s="274"/>
      <c r="U930" s="73" t="s">
        <v>76</v>
      </c>
      <c r="V930" s="216">
        <v>46213</v>
      </c>
      <c r="W930" s="118" t="s">
        <v>2521</v>
      </c>
      <c r="X930" s="119" t="s">
        <v>40</v>
      </c>
      <c r="Y930" s="120">
        <v>46217</v>
      </c>
      <c r="Z930" s="120">
        <v>46218</v>
      </c>
      <c r="AA930" s="244">
        <v>916229</v>
      </c>
      <c r="AB930" s="241" t="s">
        <v>2522</v>
      </c>
      <c r="AC930" s="241"/>
      <c r="AD930" s="244">
        <v>2</v>
      </c>
    </row>
    <row r="931" spans="1:30" ht="18" customHeight="1">
      <c r="A931" s="374">
        <v>30781</v>
      </c>
      <c r="B931" s="376">
        <v>1</v>
      </c>
      <c r="C931" s="375">
        <v>46188</v>
      </c>
      <c r="D931" s="367">
        <f t="shared" ca="1" si="42"/>
        <v>39</v>
      </c>
      <c r="E931" s="368" t="str">
        <f t="shared" si="43"/>
        <v>ADMITIDO</v>
      </c>
      <c r="F931" s="371" t="s">
        <v>119</v>
      </c>
      <c r="G931" s="369" t="s">
        <v>821</v>
      </c>
      <c r="H931" s="146" t="s">
        <v>40</v>
      </c>
      <c r="I931" s="146" t="str">
        <f>IF(X931="ADMITIDO","ADMITIDO",IF(X931="CANCELADA","CANCELADA",IF(H931="","",IFERROR(_xlfn.XLOOKUP(H931,Listas!I:I,Listas!J:J),"OUTROS"))))</f>
        <v>ADMITIDO</v>
      </c>
      <c r="J931" s="415" t="s">
        <v>2523</v>
      </c>
      <c r="K931" s="415" t="s">
        <v>2524</v>
      </c>
      <c r="L931" s="415" t="s">
        <v>2525</v>
      </c>
      <c r="M931" s="415"/>
      <c r="N931" s="415" t="s">
        <v>119</v>
      </c>
      <c r="O931" s="303" t="s">
        <v>34</v>
      </c>
      <c r="P931" s="303" t="s">
        <v>35</v>
      </c>
      <c r="Q931" s="303" t="s">
        <v>36</v>
      </c>
      <c r="R931" s="418"/>
      <c r="S931" s="419" t="s">
        <v>2526</v>
      </c>
      <c r="T931" s="345"/>
      <c r="U931" s="326" t="s">
        <v>132</v>
      </c>
      <c r="V931" s="313">
        <v>46198</v>
      </c>
      <c r="W931" s="302" t="s">
        <v>2527</v>
      </c>
      <c r="X931" s="303" t="s">
        <v>40</v>
      </c>
      <c r="Y931" s="304">
        <v>46204</v>
      </c>
      <c r="Z931" s="304">
        <v>46205</v>
      </c>
      <c r="AA931" s="314">
        <v>914551</v>
      </c>
      <c r="AB931" s="346"/>
      <c r="AC931" s="346"/>
      <c r="AD931" s="314">
        <v>0</v>
      </c>
    </row>
    <row r="932" spans="1:30" s="275" customFormat="1" ht="18" customHeight="1">
      <c r="A932" s="237">
        <v>30782</v>
      </c>
      <c r="B932" s="121">
        <v>1</v>
      </c>
      <c r="C932" s="238">
        <v>46188</v>
      </c>
      <c r="D932" s="105">
        <f t="shared" ca="1" si="42"/>
        <v>39</v>
      </c>
      <c r="E932" s="138" t="str">
        <f>IF(X932="ADMITIDO","ADMITIDO",IF(X932="CANCELADA","CANCELADA",IF(H932="","",IF(H932="ADMITIDO","ADMITIDO",IF(H932="CANCELADA","CANCELADA",IF(OR(H932="ANALISE CANCELAMENTO",H932="ANÁLISE CANCELAMENTO"),"EM ANÁLISE",IF(D932="","",IF(D932&lt;=7,"NO PRAZO",IF(D932&lt;=14,"ATENÇÃO","CRÍTICO")))))))))</f>
        <v>ADMITIDO</v>
      </c>
      <c r="F932" s="230" t="s">
        <v>119</v>
      </c>
      <c r="G932" s="147" t="s">
        <v>821</v>
      </c>
      <c r="H932" s="117" t="s">
        <v>40</v>
      </c>
      <c r="I932" s="117" t="str">
        <f>IF(X932="ADMITIDO","ADMITIDO",IF(X932="CANCELADA","CANCELADA",IF(H932="","",IFERROR(_xlfn.XLOOKUP(H932,Listas!I:I,Listas!J:J),"OUTROS"))))</f>
        <v>ADMITIDO</v>
      </c>
      <c r="J932" s="240" t="s">
        <v>2523</v>
      </c>
      <c r="K932" s="240" t="s">
        <v>2524</v>
      </c>
      <c r="L932" s="240" t="s">
        <v>2525</v>
      </c>
      <c r="M932" s="240"/>
      <c r="N932" s="240" t="s">
        <v>119</v>
      </c>
      <c r="O932" s="119" t="s">
        <v>56</v>
      </c>
      <c r="P932" s="119" t="s">
        <v>35</v>
      </c>
      <c r="Q932" s="119" t="s">
        <v>176</v>
      </c>
      <c r="R932" s="234"/>
      <c r="S932" s="273" t="s">
        <v>2526</v>
      </c>
      <c r="T932" s="274"/>
      <c r="U932" s="73" t="s">
        <v>132</v>
      </c>
      <c r="V932" s="216">
        <v>46198</v>
      </c>
      <c r="W932" s="118" t="s">
        <v>2528</v>
      </c>
      <c r="X932" s="119" t="s">
        <v>40</v>
      </c>
      <c r="Y932" s="120">
        <v>46204</v>
      </c>
      <c r="Z932" s="120">
        <v>46205</v>
      </c>
      <c r="AA932" s="244">
        <v>914552</v>
      </c>
      <c r="AB932" s="241"/>
      <c r="AC932" s="241"/>
      <c r="AD932" s="244">
        <v>0</v>
      </c>
    </row>
    <row r="933" spans="1:30" ht="18" customHeight="1">
      <c r="A933" s="396">
        <v>30764</v>
      </c>
      <c r="B933" s="405">
        <v>1</v>
      </c>
      <c r="C933" s="404">
        <v>46188</v>
      </c>
      <c r="D933" s="386">
        <f t="shared" ca="1" si="42"/>
        <v>39</v>
      </c>
      <c r="E933" s="170" t="str">
        <f t="shared" si="43"/>
        <v>ADMITIDO</v>
      </c>
      <c r="F933" s="397" t="s">
        <v>33</v>
      </c>
      <c r="G933" s="392" t="s">
        <v>69</v>
      </c>
      <c r="H933" s="139" t="s">
        <v>40</v>
      </c>
      <c r="I933" s="139" t="str">
        <f>IF(X933="ADMITIDO","ADMITIDO",IF(X933="CANCELADA","CANCELADA",IF(H933="","",IFERROR(_xlfn.XLOOKUP(H933,Listas!I:I,Listas!J:J),"OUTROS"))))</f>
        <v>ADMITIDO</v>
      </c>
      <c r="J933" s="427" t="s">
        <v>44</v>
      </c>
      <c r="K933" s="428" t="s">
        <v>70</v>
      </c>
      <c r="L933" s="428" t="s">
        <v>128</v>
      </c>
      <c r="M933" s="428"/>
      <c r="N933" s="428" t="s">
        <v>63</v>
      </c>
      <c r="O933" s="308" t="s">
        <v>34</v>
      </c>
      <c r="P933" s="308" t="s">
        <v>57</v>
      </c>
      <c r="Q933" s="308" t="s">
        <v>98</v>
      </c>
      <c r="R933" s="431"/>
      <c r="S933" s="432"/>
      <c r="T933" s="352"/>
      <c r="U933" s="327" t="s">
        <v>67</v>
      </c>
      <c r="V933" s="315">
        <v>46196</v>
      </c>
      <c r="W933" s="310" t="s">
        <v>2529</v>
      </c>
      <c r="X933" s="308" t="s">
        <v>40</v>
      </c>
      <c r="Y933" s="309">
        <v>46198</v>
      </c>
      <c r="Z933" s="309">
        <v>46199</v>
      </c>
      <c r="AA933" s="316">
        <v>146160</v>
      </c>
      <c r="AB933" s="351" t="s">
        <v>2530</v>
      </c>
      <c r="AC933" s="351"/>
      <c r="AD933" s="316">
        <v>0</v>
      </c>
    </row>
    <row r="934" spans="1:30" ht="18" customHeight="1">
      <c r="A934" s="237">
        <v>30766</v>
      </c>
      <c r="B934" s="121">
        <v>1</v>
      </c>
      <c r="C934" s="238">
        <v>46188</v>
      </c>
      <c r="D934" s="105">
        <f t="shared" ca="1" si="42"/>
        <v>39</v>
      </c>
      <c r="E934" s="138" t="str">
        <f t="shared" si="43"/>
        <v>ADMITIDO</v>
      </c>
      <c r="F934" s="230" t="s">
        <v>33</v>
      </c>
      <c r="G934" s="147" t="s">
        <v>69</v>
      </c>
      <c r="H934" s="117" t="s">
        <v>40</v>
      </c>
      <c r="I934" s="117" t="str">
        <f>IF(X934="ADMITIDO","ADMITIDO",IF(X934="CANCELADA","CANCELADA",IF(H934="","",IFERROR(_xlfn.XLOOKUP(H934,Listas!I:I,Listas!J:J),"OUTROS"))))</f>
        <v>ADMITIDO</v>
      </c>
      <c r="J934" s="363" t="s">
        <v>53</v>
      </c>
      <c r="K934" s="240" t="s">
        <v>70</v>
      </c>
      <c r="L934" s="240" t="s">
        <v>71</v>
      </c>
      <c r="M934" s="240"/>
      <c r="N934" s="240" t="s">
        <v>33</v>
      </c>
      <c r="O934" s="119" t="s">
        <v>34</v>
      </c>
      <c r="P934" s="119" t="s">
        <v>57</v>
      </c>
      <c r="Q934" s="119" t="s">
        <v>98</v>
      </c>
      <c r="R934" s="234"/>
      <c r="S934" s="273"/>
      <c r="T934" s="274"/>
      <c r="U934" s="326" t="s">
        <v>109</v>
      </c>
      <c r="V934" s="313">
        <v>46190</v>
      </c>
      <c r="W934" s="302" t="s">
        <v>2531</v>
      </c>
      <c r="X934" s="303" t="s">
        <v>40</v>
      </c>
      <c r="Y934" s="304">
        <v>46195</v>
      </c>
      <c r="Z934" s="304">
        <v>46196</v>
      </c>
      <c r="AA934" s="314">
        <v>146138</v>
      </c>
      <c r="AB934" s="241"/>
      <c r="AC934" s="241"/>
      <c r="AD934" s="244">
        <v>0</v>
      </c>
    </row>
    <row r="935" spans="1:30" ht="18" customHeight="1">
      <c r="A935" s="237">
        <v>30769</v>
      </c>
      <c r="B935" s="121">
        <v>1</v>
      </c>
      <c r="C935" s="238">
        <v>46188</v>
      </c>
      <c r="D935" s="105">
        <f t="shared" ca="1" si="42"/>
        <v>39</v>
      </c>
      <c r="E935" s="138" t="str">
        <f t="shared" si="43"/>
        <v>ADMITIDO</v>
      </c>
      <c r="F935" s="230" t="s">
        <v>33</v>
      </c>
      <c r="G935" s="147" t="s">
        <v>69</v>
      </c>
      <c r="H935" s="117" t="s">
        <v>40</v>
      </c>
      <c r="I935" s="117" t="str">
        <f>IF(X935="ADMITIDO","ADMITIDO",IF(X935="CANCELADA","CANCELADA",IF(H935="","",IFERROR(_xlfn.XLOOKUP(H935,Listas!I:I,Listas!J:J),"OUTROS"))))</f>
        <v>ADMITIDO</v>
      </c>
      <c r="J935" s="363" t="s">
        <v>53</v>
      </c>
      <c r="K935" s="240" t="s">
        <v>70</v>
      </c>
      <c r="L935" s="240" t="s">
        <v>71</v>
      </c>
      <c r="M935" s="240"/>
      <c r="N935" s="240" t="s">
        <v>33</v>
      </c>
      <c r="O935" s="119" t="s">
        <v>34</v>
      </c>
      <c r="P935" s="119" t="s">
        <v>57</v>
      </c>
      <c r="Q935" s="119" t="s">
        <v>98</v>
      </c>
      <c r="R935" s="234"/>
      <c r="S935" s="273"/>
      <c r="T935" s="324"/>
      <c r="U935" s="73" t="s">
        <v>76</v>
      </c>
      <c r="V935" s="216">
        <v>46192</v>
      </c>
      <c r="W935" s="118" t="s">
        <v>2532</v>
      </c>
      <c r="X935" s="119" t="s">
        <v>40</v>
      </c>
      <c r="Y935" s="120">
        <v>46197</v>
      </c>
      <c r="Z935" s="120">
        <v>46198</v>
      </c>
      <c r="AA935" s="244">
        <v>146150</v>
      </c>
      <c r="AB935" s="312"/>
      <c r="AC935" s="241"/>
      <c r="AD935" s="244">
        <v>0</v>
      </c>
    </row>
    <row r="936" spans="1:30" ht="18" customHeight="1">
      <c r="A936" s="396">
        <v>30767</v>
      </c>
      <c r="B936" s="405">
        <v>1</v>
      </c>
      <c r="C936" s="404">
        <v>46188</v>
      </c>
      <c r="D936" s="386">
        <f t="shared" ca="1" si="42"/>
        <v>39</v>
      </c>
      <c r="E936" s="170" t="str">
        <f t="shared" si="43"/>
        <v>ADMITIDO</v>
      </c>
      <c r="F936" s="397" t="s">
        <v>33</v>
      </c>
      <c r="G936" s="392" t="s">
        <v>69</v>
      </c>
      <c r="H936" s="117" t="s">
        <v>40</v>
      </c>
      <c r="I936" s="139" t="str">
        <f>IF(X936="ADMITIDO","ADMITIDO",IF(X936="CANCELADA","CANCELADA",IF(H936="","",IFERROR(_xlfn.XLOOKUP(H936,Listas!I:I,Listas!J:J),"OUTROS"))))</f>
        <v>ADMITIDO</v>
      </c>
      <c r="J936" s="240" t="s">
        <v>44</v>
      </c>
      <c r="K936" s="240" t="s">
        <v>70</v>
      </c>
      <c r="L936" s="240" t="s">
        <v>71</v>
      </c>
      <c r="M936" s="240"/>
      <c r="N936" s="240" t="s">
        <v>33</v>
      </c>
      <c r="O936" s="119" t="s">
        <v>34</v>
      </c>
      <c r="P936" s="119" t="s">
        <v>57</v>
      </c>
      <c r="Q936" s="119" t="s">
        <v>555</v>
      </c>
      <c r="R936" s="234"/>
      <c r="S936" s="273"/>
      <c r="T936" s="274"/>
      <c r="U936" s="73" t="s">
        <v>109</v>
      </c>
      <c r="V936" s="216">
        <v>46216</v>
      </c>
      <c r="W936" s="118" t="s">
        <v>2533</v>
      </c>
      <c r="X936" s="119" t="s">
        <v>40</v>
      </c>
      <c r="Y936" s="120">
        <v>46217</v>
      </c>
      <c r="Z936" s="120">
        <v>46218</v>
      </c>
      <c r="AA936" s="244">
        <v>146233</v>
      </c>
      <c r="AB936" s="241" t="s">
        <v>2534</v>
      </c>
      <c r="AC936" s="241"/>
      <c r="AD936" s="244">
        <v>2</v>
      </c>
    </row>
    <row r="937" spans="1:30" ht="18" customHeight="1">
      <c r="A937" s="237">
        <v>30754</v>
      </c>
      <c r="B937" s="121">
        <v>1</v>
      </c>
      <c r="C937" s="238">
        <v>46188</v>
      </c>
      <c r="D937" s="105">
        <f t="shared" ca="1" si="42"/>
        <v>39</v>
      </c>
      <c r="E937" s="138" t="str">
        <f t="shared" si="43"/>
        <v>ADMITIDO</v>
      </c>
      <c r="F937" s="230" t="s">
        <v>33</v>
      </c>
      <c r="G937" s="147" t="s">
        <v>69</v>
      </c>
      <c r="H937" s="117" t="s">
        <v>40</v>
      </c>
      <c r="I937" s="117" t="str">
        <f>IF(X937="ADMITIDO","ADMITIDO",IF(X937="CANCELADA","CANCELADA",IF(H937="","",IFERROR(_xlfn.XLOOKUP(H937,Listas!I:I,Listas!J:J),"OUTROS"))))</f>
        <v>ADMITIDO</v>
      </c>
      <c r="J937" s="240" t="s">
        <v>53</v>
      </c>
      <c r="K937" s="240" t="s">
        <v>158</v>
      </c>
      <c r="L937" s="240" t="s">
        <v>658</v>
      </c>
      <c r="M937" s="240"/>
      <c r="N937" s="240" t="s">
        <v>33</v>
      </c>
      <c r="O937" s="119" t="s">
        <v>34</v>
      </c>
      <c r="P937" s="119" t="s">
        <v>57</v>
      </c>
      <c r="Q937" s="119" t="s">
        <v>98</v>
      </c>
      <c r="R937" s="234"/>
      <c r="S937" s="273"/>
      <c r="T937" s="274"/>
      <c r="U937" s="73" t="s">
        <v>109</v>
      </c>
      <c r="V937" s="216">
        <v>46206</v>
      </c>
      <c r="W937" s="118" t="s">
        <v>2535</v>
      </c>
      <c r="X937" s="119" t="s">
        <v>40</v>
      </c>
      <c r="Y937" s="120">
        <v>46210</v>
      </c>
      <c r="Z937" s="120">
        <v>46211</v>
      </c>
      <c r="AA937" s="244">
        <v>146197</v>
      </c>
      <c r="AB937" s="241" t="s">
        <v>2536</v>
      </c>
      <c r="AC937" s="241"/>
      <c r="AD937" s="244">
        <v>1</v>
      </c>
    </row>
    <row r="938" spans="1:30" ht="18" customHeight="1">
      <c r="A938" s="374">
        <v>30755</v>
      </c>
      <c r="B938" s="376">
        <v>1</v>
      </c>
      <c r="C938" s="375">
        <v>46188</v>
      </c>
      <c r="D938" s="367">
        <f t="shared" ca="1" si="42"/>
        <v>39</v>
      </c>
      <c r="E938" s="368" t="str">
        <f t="shared" ca="1" si="43"/>
        <v>CRÍTICO</v>
      </c>
      <c r="F938" s="371" t="s">
        <v>33</v>
      </c>
      <c r="G938" s="369" t="s">
        <v>69</v>
      </c>
      <c r="H938" s="146" t="s">
        <v>279</v>
      </c>
      <c r="I938" s="146" t="str">
        <f>IF(X938="ADMITIDO","ADMITIDO",IF(X938="CANCELADA","CANCELADA",IF(H938="","",IFERROR(_xlfn.XLOOKUP(H938,Listas!I:I,Listas!J:J),"OUTROS"))))</f>
        <v>DOCUMENTAÇÃO</v>
      </c>
      <c r="J938" s="415" t="s">
        <v>53</v>
      </c>
      <c r="K938" s="415" t="s">
        <v>158</v>
      </c>
      <c r="L938" s="415" t="s">
        <v>658</v>
      </c>
      <c r="M938" s="415"/>
      <c r="N938" s="415" t="s">
        <v>33</v>
      </c>
      <c r="O938" s="303" t="s">
        <v>34</v>
      </c>
      <c r="P938" s="303" t="s">
        <v>57</v>
      </c>
      <c r="Q938" s="303" t="s">
        <v>98</v>
      </c>
      <c r="R938" s="418"/>
      <c r="S938" s="419"/>
      <c r="T938" s="345"/>
      <c r="U938" s="326" t="s">
        <v>76</v>
      </c>
      <c r="V938" s="313">
        <v>46225</v>
      </c>
      <c r="W938" s="302" t="s">
        <v>2537</v>
      </c>
      <c r="X938" s="303" t="s">
        <v>284</v>
      </c>
      <c r="Y938" s="304"/>
      <c r="Z938" s="304"/>
      <c r="AA938" s="314"/>
      <c r="AB938" s="346" t="s">
        <v>2538</v>
      </c>
      <c r="AC938" s="346"/>
      <c r="AD938" s="314">
        <v>3</v>
      </c>
    </row>
    <row r="939" spans="1:30" ht="18" customHeight="1">
      <c r="A939" s="237">
        <v>30734</v>
      </c>
      <c r="B939" s="121">
        <v>1</v>
      </c>
      <c r="C939" s="238">
        <v>46188</v>
      </c>
      <c r="D939" s="105">
        <f t="shared" ca="1" si="42"/>
        <v>39</v>
      </c>
      <c r="E939" s="138" t="str">
        <f t="shared" ca="1" si="43"/>
        <v>CRÍTICO</v>
      </c>
      <c r="F939" s="230" t="s">
        <v>42</v>
      </c>
      <c r="G939" s="147" t="s">
        <v>29</v>
      </c>
      <c r="H939" s="117" t="s">
        <v>181</v>
      </c>
      <c r="I939" s="117" t="str">
        <f>IF(X939="ADMITIDO","ADMITIDO",IF(X939="CANCELADA","CANCELADA",IF(H939="","",IFERROR(_xlfn.XLOOKUP(H939,Listas!I:I,Listas!J:J),"OUTROS"))))</f>
        <v>DOCUMENTAÇÃO</v>
      </c>
      <c r="J939" s="240" t="s">
        <v>182</v>
      </c>
      <c r="K939" s="240" t="s">
        <v>54</v>
      </c>
      <c r="L939" s="240" t="s">
        <v>183</v>
      </c>
      <c r="M939" s="240"/>
      <c r="N939" s="240" t="s">
        <v>184</v>
      </c>
      <c r="O939" s="119" t="s">
        <v>56</v>
      </c>
      <c r="P939" s="119" t="s">
        <v>185</v>
      </c>
      <c r="Q939" s="119" t="s">
        <v>176</v>
      </c>
      <c r="R939" s="234"/>
      <c r="S939" s="273"/>
      <c r="T939" s="274" t="s">
        <v>2539</v>
      </c>
      <c r="U939" s="73" t="s">
        <v>38</v>
      </c>
      <c r="V939" s="216" t="s">
        <v>2220</v>
      </c>
      <c r="W939" s="118" t="s">
        <v>2540</v>
      </c>
      <c r="X939" s="119" t="s">
        <v>810</v>
      </c>
      <c r="Y939" s="120"/>
      <c r="Z939" s="120"/>
      <c r="AA939" s="244"/>
      <c r="AB939" s="241"/>
      <c r="AC939" s="241"/>
      <c r="AD939" s="244">
        <v>0</v>
      </c>
    </row>
    <row r="940" spans="1:30" ht="18" customHeight="1">
      <c r="A940" s="402">
        <v>30771</v>
      </c>
      <c r="B940" s="406">
        <v>1</v>
      </c>
      <c r="C940" s="403">
        <v>46188</v>
      </c>
      <c r="D940" s="380">
        <f t="shared" ca="1" si="42"/>
        <v>39</v>
      </c>
      <c r="E940" s="381" t="str">
        <f t="shared" ca="1" si="43"/>
        <v>CRÍTICO</v>
      </c>
      <c r="F940" s="395" t="s">
        <v>42</v>
      </c>
      <c r="G940" s="390" t="s">
        <v>240</v>
      </c>
      <c r="H940" s="382" t="s">
        <v>259</v>
      </c>
      <c r="I940" s="382" t="str">
        <f>IF(X940="ADMITIDO","ADMITIDO",IF(X940="CANCELADA","CANCELADA",IF(H940="","",IFERROR(_xlfn.XLOOKUP(H940,Listas!I:I,Listas!J:J),"OUTROS"))))</f>
        <v>TRIAGEM</v>
      </c>
      <c r="J940" s="435" t="s">
        <v>44</v>
      </c>
      <c r="K940" s="435" t="s">
        <v>241</v>
      </c>
      <c r="L940" s="435" t="s">
        <v>351</v>
      </c>
      <c r="M940" s="435"/>
      <c r="N940" s="435" t="s">
        <v>63</v>
      </c>
      <c r="O940" s="306" t="s">
        <v>34</v>
      </c>
      <c r="P940" s="306" t="s">
        <v>57</v>
      </c>
      <c r="Q940" s="306" t="s">
        <v>470</v>
      </c>
      <c r="R940" s="436"/>
      <c r="S940" s="437" t="s">
        <v>373</v>
      </c>
      <c r="T940" s="438">
        <v>11995234945</v>
      </c>
      <c r="U940" s="189"/>
      <c r="V940" s="328"/>
      <c r="W940" s="305"/>
      <c r="X940" s="306"/>
      <c r="Y940" s="307"/>
      <c r="Z940" s="307"/>
      <c r="AA940" s="329"/>
      <c r="AB940" s="439" t="s">
        <v>2541</v>
      </c>
      <c r="AC940" s="439"/>
      <c r="AD940" s="329">
        <v>1</v>
      </c>
    </row>
    <row r="941" spans="1:30" ht="18" customHeight="1">
      <c r="A941" s="237">
        <v>30718</v>
      </c>
      <c r="B941" s="121">
        <v>1</v>
      </c>
      <c r="C941" s="238">
        <v>46188</v>
      </c>
      <c r="D941" s="105">
        <f t="shared" ca="1" si="42"/>
        <v>39</v>
      </c>
      <c r="E941" s="138" t="str">
        <f>IF(Y941="ADMITIDO","ADMITIDO",IF(Y941="CANCELADA","CANCELADA",IF(H941="","",IF(H941="ADMITIDO","ADMITIDO",IF(H941="CANCELADA","CANCELADA",IF(OR(H941="ANALISE CANCELAMENTO",H941="ANÁLISE CANCELAMENTO"),"EM ANÁLISE",IF(D941="","",IF(D941&lt;=7,"NO PRAZO",IF(D941&lt;=14,"ATENÇÃO","CRÍTICO")))))))))</f>
        <v>ADMITIDO</v>
      </c>
      <c r="F941" s="230" t="s">
        <v>42</v>
      </c>
      <c r="G941" s="147" t="s">
        <v>29</v>
      </c>
      <c r="H941" s="117" t="s">
        <v>40</v>
      </c>
      <c r="I941" s="117" t="str">
        <f>IF(Y941="ADMITIDO","ADMITIDO",IF(Y941="CANCELADA","CANCELADA",IF(H941="","",IFERROR(_xlfn.XLOOKUP(H941,Listas!I:I,Listas!J:J),"OUTROS"))))</f>
        <v>ADMITIDO</v>
      </c>
      <c r="J941" s="240" t="s">
        <v>44</v>
      </c>
      <c r="K941" s="240" t="s">
        <v>228</v>
      </c>
      <c r="L941" s="240" t="s">
        <v>807</v>
      </c>
      <c r="M941" s="240"/>
      <c r="N941" s="240" t="s">
        <v>88</v>
      </c>
      <c r="O941" s="333" t="s">
        <v>34</v>
      </c>
      <c r="P941" s="303" t="s">
        <v>589</v>
      </c>
      <c r="Q941" s="303" t="s">
        <v>2542</v>
      </c>
      <c r="R941" s="418" t="s">
        <v>2543</v>
      </c>
      <c r="S941" s="273"/>
      <c r="T941" s="274" t="s">
        <v>2544</v>
      </c>
      <c r="U941" s="117" t="s">
        <v>38</v>
      </c>
      <c r="V941" s="216">
        <v>46196</v>
      </c>
      <c r="W941" s="118" t="s">
        <v>2545</v>
      </c>
      <c r="X941" s="275" t="s">
        <v>40</v>
      </c>
      <c r="Y941" s="120">
        <v>46204</v>
      </c>
      <c r="Z941" s="120">
        <v>46209</v>
      </c>
      <c r="AA941" s="244">
        <v>914527</v>
      </c>
      <c r="AB941" s="241" t="s">
        <v>2546</v>
      </c>
      <c r="AC941" s="241"/>
      <c r="AD941" s="244">
        <v>1</v>
      </c>
    </row>
    <row r="942" spans="1:30" ht="18" customHeight="1">
      <c r="A942" s="509">
        <v>30774</v>
      </c>
      <c r="B942" s="510">
        <v>1</v>
      </c>
      <c r="C942" s="511">
        <v>46188</v>
      </c>
      <c r="D942" s="512">
        <f t="shared" ca="1" si="42"/>
        <v>39</v>
      </c>
      <c r="E942" s="513" t="str">
        <f t="shared" si="43"/>
        <v>CANCELADA</v>
      </c>
      <c r="F942" s="514" t="s">
        <v>42</v>
      </c>
      <c r="G942" s="515" t="s">
        <v>102</v>
      </c>
      <c r="H942" s="516" t="s">
        <v>52</v>
      </c>
      <c r="I942" s="516" t="str">
        <f>IF(X942="ADMITIDO","ADMITIDO",IF(X942="CANCELADA","CANCELADA",IF(H942="","",IFERROR(_xlfn.XLOOKUP(H942,Listas!I:I,Listas!J:J),"OUTROS"))))</f>
        <v>CANCELADA</v>
      </c>
      <c r="J942" s="517" t="s">
        <v>53</v>
      </c>
      <c r="K942" s="517" t="s">
        <v>103</v>
      </c>
      <c r="L942" s="517" t="s">
        <v>1173</v>
      </c>
      <c r="M942" s="517"/>
      <c r="N942" s="517" t="s">
        <v>1174</v>
      </c>
      <c r="O942" s="495" t="s">
        <v>34</v>
      </c>
      <c r="P942" s="495" t="s">
        <v>57</v>
      </c>
      <c r="Q942" s="495" t="s">
        <v>1175</v>
      </c>
      <c r="R942" s="496" t="s">
        <v>2547</v>
      </c>
      <c r="S942" s="477"/>
      <c r="T942" s="352"/>
      <c r="U942" s="189"/>
      <c r="V942" s="328"/>
      <c r="W942" s="305"/>
      <c r="X942" s="306" t="s">
        <v>52</v>
      </c>
      <c r="Y942" s="307"/>
      <c r="Z942" s="307"/>
      <c r="AA942" s="329"/>
      <c r="AB942" s="351" t="s">
        <v>2548</v>
      </c>
      <c r="AC942" s="351" t="s">
        <v>2549</v>
      </c>
      <c r="AD942" s="316">
        <v>1</v>
      </c>
    </row>
    <row r="943" spans="1:30" ht="18" customHeight="1">
      <c r="A943" s="396">
        <v>30763</v>
      </c>
      <c r="B943" s="405">
        <v>1</v>
      </c>
      <c r="C943" s="404">
        <v>46188</v>
      </c>
      <c r="D943" s="386">
        <f t="shared" ca="1" si="42"/>
        <v>39</v>
      </c>
      <c r="E943" s="170" t="str">
        <f t="shared" si="43"/>
        <v>ADMITIDO</v>
      </c>
      <c r="F943" s="397" t="s">
        <v>28</v>
      </c>
      <c r="G943" s="392" t="s">
        <v>60</v>
      </c>
      <c r="H943" s="139" t="s">
        <v>40</v>
      </c>
      <c r="I943" s="139" t="str">
        <f>IF(X943="ADMITIDO","ADMITIDO",IF(X943="CANCELADA","CANCELADA",IF(H943="","",IFERROR(_xlfn.XLOOKUP(H943,Listas!I:I,Listas!J:J),"OUTROS"))))</f>
        <v>ADMITIDO</v>
      </c>
      <c r="J943" s="427" t="s">
        <v>268</v>
      </c>
      <c r="K943" s="428" t="s">
        <v>986</v>
      </c>
      <c r="L943" s="428" t="s">
        <v>605</v>
      </c>
      <c r="M943" s="428"/>
      <c r="N943" s="428" t="s">
        <v>63</v>
      </c>
      <c r="O943" s="308" t="s">
        <v>56</v>
      </c>
      <c r="P943" s="308" t="s">
        <v>35</v>
      </c>
      <c r="Q943" s="308" t="s">
        <v>176</v>
      </c>
      <c r="R943" s="431"/>
      <c r="S943" s="273" t="s">
        <v>1533</v>
      </c>
      <c r="T943" s="324" t="s">
        <v>2550</v>
      </c>
      <c r="U943" s="73" t="s">
        <v>67</v>
      </c>
      <c r="V943" s="216">
        <v>46198</v>
      </c>
      <c r="W943" s="118" t="s">
        <v>2551</v>
      </c>
      <c r="X943" s="119" t="s">
        <v>40</v>
      </c>
      <c r="Y943" s="120">
        <v>46202</v>
      </c>
      <c r="Z943" s="120">
        <v>46205</v>
      </c>
      <c r="AA943" s="244">
        <v>914544</v>
      </c>
      <c r="AB943" s="312"/>
      <c r="AC943" s="241"/>
      <c r="AD943" s="244">
        <v>0</v>
      </c>
    </row>
    <row r="944" spans="1:30" ht="18" customHeight="1">
      <c r="A944" s="402">
        <v>30765</v>
      </c>
      <c r="B944" s="406">
        <v>1</v>
      </c>
      <c r="C944" s="403">
        <v>46188</v>
      </c>
      <c r="D944" s="380">
        <f t="shared" ca="1" si="42"/>
        <v>39</v>
      </c>
      <c r="E944" s="381" t="str">
        <f t="shared" si="43"/>
        <v>ADMITIDO</v>
      </c>
      <c r="F944" s="395" t="s">
        <v>42</v>
      </c>
      <c r="G944" s="390" t="s">
        <v>69</v>
      </c>
      <c r="H944" s="382" t="s">
        <v>40</v>
      </c>
      <c r="I944" s="382" t="str">
        <f>IF(X944="ADMITIDO","ADMITIDO",IF(X944="CANCELADA","CANCELADA",IF(H944="","",IFERROR(_xlfn.XLOOKUP(H944,Listas!I:I,Listas!J:J),"OUTROS"))))</f>
        <v>ADMITIDO</v>
      </c>
      <c r="J944" s="240" t="s">
        <v>53</v>
      </c>
      <c r="K944" s="240" t="s">
        <v>70</v>
      </c>
      <c r="L944" s="240" t="s">
        <v>525</v>
      </c>
      <c r="M944" s="240"/>
      <c r="N944" s="240" t="s">
        <v>63</v>
      </c>
      <c r="O944" s="119" t="s">
        <v>34</v>
      </c>
      <c r="P944" s="119" t="s">
        <v>72</v>
      </c>
      <c r="Q944" s="119" t="s">
        <v>151</v>
      </c>
      <c r="R944" s="234"/>
      <c r="S944" s="273"/>
      <c r="T944" s="274"/>
      <c r="U944" s="189" t="s">
        <v>109</v>
      </c>
      <c r="V944" s="328">
        <v>46204</v>
      </c>
      <c r="W944" s="305" t="s">
        <v>2552</v>
      </c>
      <c r="X944" s="306" t="s">
        <v>40</v>
      </c>
      <c r="Y944" s="307">
        <v>46209</v>
      </c>
      <c r="Z944" s="307">
        <v>46210</v>
      </c>
      <c r="AA944" s="329">
        <v>146186</v>
      </c>
      <c r="AB944" s="241"/>
      <c r="AC944" s="241"/>
      <c r="AD944" s="244">
        <v>0</v>
      </c>
    </row>
    <row r="945" spans="1:30" ht="18" customHeight="1">
      <c r="A945" s="237">
        <v>30772</v>
      </c>
      <c r="B945" s="121">
        <v>1</v>
      </c>
      <c r="C945" s="238">
        <v>46188</v>
      </c>
      <c r="D945" s="105">
        <f t="shared" ca="1" si="42"/>
        <v>39</v>
      </c>
      <c r="E945" s="138" t="str">
        <f t="shared" si="43"/>
        <v>ADMITIDO</v>
      </c>
      <c r="F945" s="230" t="s">
        <v>33</v>
      </c>
      <c r="G945" s="147" t="s">
        <v>43</v>
      </c>
      <c r="H945" s="117" t="s">
        <v>40</v>
      </c>
      <c r="I945" s="117" t="str">
        <f>IF(X945="ADMITIDO","ADMITIDO",IF(X945="CANCELADA","CANCELADA",IF(H945="","",IFERROR(_xlfn.XLOOKUP(H945,Listas!I:I,Listas!J:J),"OUTROS"))))</f>
        <v>ADMITIDO</v>
      </c>
      <c r="J945" s="363" t="s">
        <v>53</v>
      </c>
      <c r="K945" s="240" t="s">
        <v>45</v>
      </c>
      <c r="L945" s="240" t="s">
        <v>402</v>
      </c>
      <c r="M945" s="240"/>
      <c r="N945" s="240" t="s">
        <v>33</v>
      </c>
      <c r="O945" s="119" t="s">
        <v>34</v>
      </c>
      <c r="P945" s="119" t="s">
        <v>57</v>
      </c>
      <c r="Q945" s="119" t="s">
        <v>98</v>
      </c>
      <c r="R945" s="234"/>
      <c r="S945" s="273" t="s">
        <v>2083</v>
      </c>
      <c r="T945" s="324">
        <v>11974083281</v>
      </c>
      <c r="U945" s="73" t="s">
        <v>50</v>
      </c>
      <c r="V945" s="216">
        <v>46190</v>
      </c>
      <c r="W945" s="118" t="s">
        <v>2553</v>
      </c>
      <c r="X945" s="119" t="s">
        <v>40</v>
      </c>
      <c r="Y945" s="120">
        <v>46195</v>
      </c>
      <c r="Z945" s="120">
        <v>46196</v>
      </c>
      <c r="AA945" s="244">
        <v>146121</v>
      </c>
      <c r="AB945" s="312"/>
      <c r="AC945" s="241"/>
      <c r="AD945" s="244">
        <v>0</v>
      </c>
    </row>
    <row r="946" spans="1:30" ht="18" customHeight="1">
      <c r="A946" s="396">
        <v>30775</v>
      </c>
      <c r="B946" s="405">
        <v>1</v>
      </c>
      <c r="C946" s="404">
        <v>46188</v>
      </c>
      <c r="D946" s="386">
        <f t="shared" ca="1" si="42"/>
        <v>39</v>
      </c>
      <c r="E946" s="170" t="str">
        <f t="shared" si="43"/>
        <v>ADMITIDO</v>
      </c>
      <c r="F946" s="397" t="s">
        <v>28</v>
      </c>
      <c r="G946" s="392" t="s">
        <v>43</v>
      </c>
      <c r="H946" s="139" t="s">
        <v>40</v>
      </c>
      <c r="I946" s="139" t="str">
        <f>IF(X946="ADMITIDO","ADMITIDO",IF(X946="CANCELADA","CANCELADA",IF(H946="","",IFERROR(_xlfn.XLOOKUP(H946,Listas!I:I,Listas!J:J),"OUTROS"))))</f>
        <v>ADMITIDO</v>
      </c>
      <c r="J946" s="240" t="s">
        <v>268</v>
      </c>
      <c r="K946" s="240" t="s">
        <v>335</v>
      </c>
      <c r="L946" s="240" t="s">
        <v>361</v>
      </c>
      <c r="M946" s="240"/>
      <c r="N946" s="240" t="s">
        <v>33</v>
      </c>
      <c r="O946" s="119" t="s">
        <v>34</v>
      </c>
      <c r="P946" s="119" t="s">
        <v>35</v>
      </c>
      <c r="Q946" s="119" t="s">
        <v>36</v>
      </c>
      <c r="R946" s="234"/>
      <c r="S946" s="273"/>
      <c r="T946" s="273">
        <v>11999153746</v>
      </c>
      <c r="U946" s="73" t="s">
        <v>67</v>
      </c>
      <c r="V946" s="216">
        <v>46190</v>
      </c>
      <c r="W946" s="118" t="s">
        <v>2554</v>
      </c>
      <c r="X946" s="119" t="s">
        <v>40</v>
      </c>
      <c r="Y946" s="120">
        <v>46200</v>
      </c>
      <c r="Z946" s="120">
        <v>46203</v>
      </c>
      <c r="AA946" s="244">
        <v>914514</v>
      </c>
      <c r="AB946" s="241"/>
      <c r="AC946" s="241"/>
      <c r="AD946" s="244">
        <v>0</v>
      </c>
    </row>
    <row r="947" spans="1:30" ht="18" customHeight="1">
      <c r="A947" s="374">
        <v>30743</v>
      </c>
      <c r="B947" s="376">
        <v>1</v>
      </c>
      <c r="C947" s="375">
        <v>46188</v>
      </c>
      <c r="D947" s="367">
        <f t="shared" ca="1" si="42"/>
        <v>39</v>
      </c>
      <c r="E947" s="368" t="str">
        <f t="shared" ca="1" si="43"/>
        <v>CRÍTICO</v>
      </c>
      <c r="F947" s="371" t="s">
        <v>42</v>
      </c>
      <c r="G947" s="369" t="s">
        <v>240</v>
      </c>
      <c r="H947" s="146" t="s">
        <v>91</v>
      </c>
      <c r="I947" s="146" t="str">
        <f>IF(X947="ADMITIDO","ADMITIDO",IF(X947="CANCELADA","CANCELADA",IF(H947="","",IFERROR(_xlfn.XLOOKUP(H947,Listas!I:I,Listas!J:J),"OUTROS"))))</f>
        <v>TRIAGEM</v>
      </c>
      <c r="J947" s="415" t="s">
        <v>53</v>
      </c>
      <c r="K947" s="240" t="s">
        <v>241</v>
      </c>
      <c r="L947" s="240" t="s">
        <v>494</v>
      </c>
      <c r="M947" s="240"/>
      <c r="N947" s="240" t="s">
        <v>175</v>
      </c>
      <c r="O947" s="119" t="s">
        <v>34</v>
      </c>
      <c r="P947" s="119" t="s">
        <v>35</v>
      </c>
      <c r="Q947" s="119" t="s">
        <v>362</v>
      </c>
      <c r="R947" s="234"/>
      <c r="S947" s="273"/>
      <c r="T947" s="274"/>
      <c r="U947" s="327"/>
      <c r="V947" s="315"/>
      <c r="W947" s="310"/>
      <c r="X947" s="308"/>
      <c r="Y947" s="309"/>
      <c r="Z947" s="309"/>
      <c r="AA947" s="316"/>
      <c r="AB947" s="241"/>
      <c r="AC947" s="241"/>
      <c r="AD947" s="244">
        <v>0</v>
      </c>
    </row>
    <row r="948" spans="1:30" ht="18" customHeight="1">
      <c r="A948" s="374">
        <v>30790</v>
      </c>
      <c r="B948" s="376">
        <v>1</v>
      </c>
      <c r="C948" s="375">
        <v>46189</v>
      </c>
      <c r="D948" s="367">
        <f t="shared" ca="1" si="42"/>
        <v>38</v>
      </c>
      <c r="E948" s="368" t="str">
        <f t="shared" si="43"/>
        <v>ADMITIDO</v>
      </c>
      <c r="F948" s="371" t="s">
        <v>28</v>
      </c>
      <c r="G948" s="571" t="s">
        <v>102</v>
      </c>
      <c r="H948" s="117" t="s">
        <v>40</v>
      </c>
      <c r="I948" s="574" t="str">
        <f>IF(X948="ADMITIDO","ADMITIDO",IF(X948="CANCELADA","CANCELADA",IF(H948="","",IFERROR(_xlfn.XLOOKUP(H948,Listas!I:I,Listas!J:J),"OUTROS"))))</f>
        <v>ADMITIDO</v>
      </c>
      <c r="J948" s="415" t="s">
        <v>2555</v>
      </c>
      <c r="K948" s="414" t="s">
        <v>563</v>
      </c>
      <c r="L948" s="415" t="s">
        <v>2556</v>
      </c>
      <c r="M948" s="415"/>
      <c r="N948" s="415" t="s">
        <v>63</v>
      </c>
      <c r="O948" s="303" t="s">
        <v>34</v>
      </c>
      <c r="P948" s="303" t="s">
        <v>35</v>
      </c>
      <c r="Q948" s="303" t="s">
        <v>36</v>
      </c>
      <c r="R948" s="418" t="s">
        <v>2557</v>
      </c>
      <c r="S948" s="419"/>
      <c r="T948" s="345"/>
      <c r="U948" s="326" t="s">
        <v>67</v>
      </c>
      <c r="V948" s="313">
        <v>46209</v>
      </c>
      <c r="W948" s="302" t="s">
        <v>2558</v>
      </c>
      <c r="X948" s="303" t="s">
        <v>40</v>
      </c>
      <c r="Y948" s="304">
        <v>46213</v>
      </c>
      <c r="Z948" s="304">
        <v>46214</v>
      </c>
      <c r="AA948" s="314">
        <v>914620</v>
      </c>
      <c r="AB948" s="346" t="s">
        <v>2559</v>
      </c>
      <c r="AC948" s="346"/>
      <c r="AD948" s="314">
        <v>1</v>
      </c>
    </row>
    <row r="949" spans="1:30" ht="18" customHeight="1">
      <c r="A949" s="237">
        <v>30792</v>
      </c>
      <c r="B949" s="121">
        <v>1</v>
      </c>
      <c r="C949" s="238">
        <v>46189</v>
      </c>
      <c r="D949" s="105">
        <f t="shared" ca="1" si="42"/>
        <v>38</v>
      </c>
      <c r="E949" s="138" t="str">
        <f t="shared" ca="1" si="43"/>
        <v>CRÍTICO</v>
      </c>
      <c r="F949" s="230" t="s">
        <v>28</v>
      </c>
      <c r="G949" s="147" t="s">
        <v>29</v>
      </c>
      <c r="H949" s="139" t="s">
        <v>214</v>
      </c>
      <c r="I949" s="117" t="str">
        <f>IF(X949="ADMITIDO","ADMITIDO",IF(X949="CANCELADA","CANCELADA",IF(H949="","",IFERROR(_xlfn.XLOOKUP(H949,Listas!I:I,Listas!J:J),"OUTROS"))))</f>
        <v>TRIAGEM</v>
      </c>
      <c r="J949" s="240" t="s">
        <v>30</v>
      </c>
      <c r="K949" s="240" t="s">
        <v>31</v>
      </c>
      <c r="L949" s="240" t="s">
        <v>32</v>
      </c>
      <c r="M949" s="240"/>
      <c r="N949" s="240" t="s">
        <v>33</v>
      </c>
      <c r="O949" s="334" t="s">
        <v>34</v>
      </c>
      <c r="P949" s="119" t="s">
        <v>35</v>
      </c>
      <c r="Q949" s="119" t="s">
        <v>36</v>
      </c>
      <c r="R949" s="234" t="s">
        <v>2560</v>
      </c>
      <c r="S949" s="273"/>
      <c r="T949" s="274"/>
      <c r="U949" s="73"/>
      <c r="V949" s="216"/>
      <c r="W949" s="118"/>
      <c r="X949" s="119"/>
      <c r="Y949" s="120"/>
      <c r="Z949" s="120"/>
      <c r="AA949" s="244"/>
      <c r="AB949" s="241"/>
      <c r="AC949" s="241"/>
      <c r="AD949" s="244">
        <v>0</v>
      </c>
    </row>
    <row r="950" spans="1:30" ht="18" customHeight="1">
      <c r="A950" s="396">
        <v>30786</v>
      </c>
      <c r="B950" s="405">
        <v>1</v>
      </c>
      <c r="C950" s="404">
        <v>46189</v>
      </c>
      <c r="D950" s="386">
        <f t="shared" ca="1" si="42"/>
        <v>38</v>
      </c>
      <c r="E950" s="170" t="str">
        <f t="shared" si="43"/>
        <v>CANCELADA</v>
      </c>
      <c r="F950" s="397" t="s">
        <v>28</v>
      </c>
      <c r="G950" s="392" t="s">
        <v>663</v>
      </c>
      <c r="H950" s="382" t="s">
        <v>52</v>
      </c>
      <c r="I950" s="529" t="str">
        <f>IF(X950="ADMITIDO","ADMITIDO",IF(X950="CANCELADA","CANCELADA",IF(H950="","",IFERROR(_xlfn.XLOOKUP(H950,Listas!I:I,Listas!J:J),"OUTROS"))))</f>
        <v>CANCELADA</v>
      </c>
      <c r="J950" s="428" t="s">
        <v>30</v>
      </c>
      <c r="K950" s="428" t="s">
        <v>203</v>
      </c>
      <c r="L950" s="428" t="s">
        <v>32</v>
      </c>
      <c r="M950" s="428"/>
      <c r="N950" s="428" t="s">
        <v>33</v>
      </c>
      <c r="O950" s="119" t="s">
        <v>56</v>
      </c>
      <c r="P950" s="119" t="s">
        <v>35</v>
      </c>
      <c r="Q950" s="119" t="s">
        <v>176</v>
      </c>
      <c r="R950" s="234"/>
      <c r="S950" s="273"/>
      <c r="T950" s="274"/>
      <c r="U950" s="73"/>
      <c r="V950" s="216"/>
      <c r="W950" s="118"/>
      <c r="X950" s="119"/>
      <c r="Y950" s="120"/>
      <c r="Z950" s="120"/>
      <c r="AA950" s="244"/>
      <c r="AB950" s="241"/>
      <c r="AC950" s="241" t="s">
        <v>2561</v>
      </c>
      <c r="AD950" s="244">
        <v>0</v>
      </c>
    </row>
    <row r="951" spans="1:30" ht="18" customHeight="1">
      <c r="A951" s="402">
        <v>30794</v>
      </c>
      <c r="B951" s="406">
        <v>1</v>
      </c>
      <c r="C951" s="403">
        <v>46189</v>
      </c>
      <c r="D951" s="380">
        <f t="shared" ref="D951:D968" ca="1" si="46">TODAY()-C951</f>
        <v>38</v>
      </c>
      <c r="E951" s="381" t="str">
        <f t="shared" ref="E951:E968" si="47">IF(X951="ADMITIDO","ADMITIDO",IF(X951="CANCELADA","CANCELADA",IF(H951="","",IF(H951="ADMITIDO","ADMITIDO",IF(H951="CANCELADA","CANCELADA",IF(OR(H951="ANALISE CANCELAMENTO",H951="ANÁLISE CANCELAMENTO"),"EM ANÁLISE",IF(D951="","",IF(D951&lt;=7,"NO PRAZO",IF(D951&lt;=14,"ATENÇÃO","CRÍTICO")))))))))</f>
        <v>ADMITIDO</v>
      </c>
      <c r="F951" s="395" t="s">
        <v>42</v>
      </c>
      <c r="G951" s="420" t="s">
        <v>663</v>
      </c>
      <c r="H951" s="117" t="s">
        <v>40</v>
      </c>
      <c r="I951" s="575" t="str">
        <f>IF(X951="ADMITIDO","ADMITIDO",IF(X951="CANCELADA","CANCELADA",IF(H951="","",IFERROR(_xlfn.XLOOKUP(H951,Listas!I:I,Listas!J:J),"OUTROS"))))</f>
        <v>ADMITIDO</v>
      </c>
      <c r="J951" s="464" t="s">
        <v>53</v>
      </c>
      <c r="K951" s="435" t="s">
        <v>54</v>
      </c>
      <c r="L951" s="435" t="s">
        <v>164</v>
      </c>
      <c r="M951" s="435"/>
      <c r="N951" s="435" t="s">
        <v>88</v>
      </c>
      <c r="O951" s="306" t="s">
        <v>34</v>
      </c>
      <c r="P951" s="306" t="s">
        <v>35</v>
      </c>
      <c r="Q951" s="306" t="s">
        <v>36</v>
      </c>
      <c r="R951" s="436"/>
      <c r="S951" s="437"/>
      <c r="T951" s="473" t="s">
        <v>2562</v>
      </c>
      <c r="U951" s="189" t="s">
        <v>38</v>
      </c>
      <c r="V951" s="328">
        <v>46190</v>
      </c>
      <c r="W951" s="305" t="s">
        <v>2563</v>
      </c>
      <c r="X951" s="306" t="s">
        <v>40</v>
      </c>
      <c r="Y951" s="307">
        <v>46199</v>
      </c>
      <c r="Z951" s="307">
        <v>46200</v>
      </c>
      <c r="AA951" s="329">
        <v>146163</v>
      </c>
      <c r="AB951" s="474"/>
      <c r="AC951" s="439"/>
      <c r="AD951" s="329">
        <v>0</v>
      </c>
    </row>
    <row r="952" spans="1:30" ht="18" customHeight="1">
      <c r="A952" s="237">
        <v>30793</v>
      </c>
      <c r="B952" s="121">
        <v>1</v>
      </c>
      <c r="C952" s="238">
        <v>46189</v>
      </c>
      <c r="D952" s="105">
        <f t="shared" ca="1" si="46"/>
        <v>38</v>
      </c>
      <c r="E952" s="138" t="str">
        <f t="shared" si="47"/>
        <v>ADMITIDO</v>
      </c>
      <c r="F952" s="230" t="s">
        <v>28</v>
      </c>
      <c r="G952" s="572" t="s">
        <v>60</v>
      </c>
      <c r="H952" s="117" t="s">
        <v>40</v>
      </c>
      <c r="I952" s="576" t="str">
        <f>IF(X952="ADMITIDO","ADMITIDO",IF(X952="CANCELADA","CANCELADA",IF(H952="","",IFERROR(_xlfn.XLOOKUP(H952,Listas!I:I,Listas!J:J),"OUTROS"))))</f>
        <v>ADMITIDO</v>
      </c>
      <c r="J952" s="240" t="s">
        <v>586</v>
      </c>
      <c r="K952" s="240" t="s">
        <v>318</v>
      </c>
      <c r="L952" s="240" t="s">
        <v>801</v>
      </c>
      <c r="M952" s="240"/>
      <c r="N952" s="240" t="s">
        <v>802</v>
      </c>
      <c r="O952" s="119" t="s">
        <v>56</v>
      </c>
      <c r="P952" s="119" t="s">
        <v>1843</v>
      </c>
      <c r="Q952" s="119" t="s">
        <v>176</v>
      </c>
      <c r="R952" s="234"/>
      <c r="S952" s="273" t="s">
        <v>899</v>
      </c>
      <c r="T952" s="274" t="s">
        <v>2564</v>
      </c>
      <c r="U952" s="73" t="s">
        <v>109</v>
      </c>
      <c r="V952" s="216">
        <v>46195</v>
      </c>
      <c r="W952" s="118" t="s">
        <v>2565</v>
      </c>
      <c r="X952" s="119" t="s">
        <v>40</v>
      </c>
      <c r="Y952" s="120">
        <v>46202</v>
      </c>
      <c r="Z952" s="120">
        <v>46204</v>
      </c>
      <c r="AA952" s="244">
        <v>914541</v>
      </c>
      <c r="AB952" s="241" t="s">
        <v>2566</v>
      </c>
      <c r="AC952" s="241"/>
      <c r="AD952" s="244">
        <v>0</v>
      </c>
    </row>
    <row r="953" spans="1:30" ht="18" customHeight="1">
      <c r="A953" s="396">
        <v>30784</v>
      </c>
      <c r="B953" s="405">
        <v>1</v>
      </c>
      <c r="C953" s="404">
        <v>46189</v>
      </c>
      <c r="D953" s="386">
        <f t="shared" ca="1" si="46"/>
        <v>38</v>
      </c>
      <c r="E953" s="170" t="str">
        <f t="shared" si="47"/>
        <v>ADMITIDO</v>
      </c>
      <c r="F953" s="397" t="s">
        <v>28</v>
      </c>
      <c r="G953" s="573" t="s">
        <v>102</v>
      </c>
      <c r="H953" s="117" t="s">
        <v>40</v>
      </c>
      <c r="I953" s="577" t="str">
        <f>IF(X953="ADMITIDO","ADMITIDO",IF(X953="CANCELADA","CANCELADA",IF(H953="","",IFERROR(_xlfn.XLOOKUP(H953,Listas!I:I,Listas!J:J),"OUTROS"))))</f>
        <v>ADMITIDO</v>
      </c>
      <c r="J953" s="427" t="s">
        <v>586</v>
      </c>
      <c r="K953" s="428" t="s">
        <v>1820</v>
      </c>
      <c r="L953" s="428" t="s">
        <v>1278</v>
      </c>
      <c r="M953" s="428"/>
      <c r="N953" s="428" t="s">
        <v>63</v>
      </c>
      <c r="O953" s="308" t="s">
        <v>34</v>
      </c>
      <c r="P953" s="308" t="s">
        <v>35</v>
      </c>
      <c r="Q953" s="308" t="s">
        <v>36</v>
      </c>
      <c r="R953" s="431"/>
      <c r="S953" s="432" t="s">
        <v>65</v>
      </c>
      <c r="T953" s="349" t="s">
        <v>2567</v>
      </c>
      <c r="U953" s="327" t="s">
        <v>76</v>
      </c>
      <c r="V953" s="315">
        <v>46191</v>
      </c>
      <c r="W953" s="310" t="s">
        <v>2568</v>
      </c>
      <c r="X953" s="308" t="s">
        <v>40</v>
      </c>
      <c r="Y953" s="309">
        <v>46195</v>
      </c>
      <c r="Z953" s="309">
        <v>46196</v>
      </c>
      <c r="AA953" s="316">
        <v>914494</v>
      </c>
      <c r="AB953" s="350"/>
      <c r="AC953" s="351"/>
      <c r="AD953" s="316">
        <v>0</v>
      </c>
    </row>
    <row r="954" spans="1:30" ht="18" customHeight="1">
      <c r="A954" s="396">
        <v>30785</v>
      </c>
      <c r="B954" s="405">
        <v>1</v>
      </c>
      <c r="C954" s="404">
        <v>46189</v>
      </c>
      <c r="D954" s="386">
        <f t="shared" ca="1" si="46"/>
        <v>38</v>
      </c>
      <c r="E954" s="170" t="str">
        <f t="shared" si="47"/>
        <v>ADMITIDO</v>
      </c>
      <c r="F954" s="397" t="s">
        <v>28</v>
      </c>
      <c r="G954" s="573" t="s">
        <v>102</v>
      </c>
      <c r="H954" s="117" t="s">
        <v>40</v>
      </c>
      <c r="I954" s="577" t="str">
        <f>IF(X954="ADMITIDO","ADMITIDO",IF(X954="CANCELADA","CANCELADA",IF(H954="","",IFERROR(_xlfn.XLOOKUP(H954,Listas!I:I,Listas!J:J),"OUTROS"))))</f>
        <v>ADMITIDO</v>
      </c>
      <c r="J954" s="240" t="s">
        <v>586</v>
      </c>
      <c r="K954" s="240" t="s">
        <v>1820</v>
      </c>
      <c r="L954" s="240" t="s">
        <v>1278</v>
      </c>
      <c r="M954" s="240"/>
      <c r="N954" s="240" t="s">
        <v>63</v>
      </c>
      <c r="O954" s="119" t="s">
        <v>34</v>
      </c>
      <c r="P954" s="119" t="s">
        <v>35</v>
      </c>
      <c r="Q954" s="119" t="s">
        <v>362</v>
      </c>
      <c r="R954" s="234" t="s">
        <v>2569</v>
      </c>
      <c r="S954" s="273" t="s">
        <v>626</v>
      </c>
      <c r="T954" s="324"/>
      <c r="U954" s="73" t="s">
        <v>76</v>
      </c>
      <c r="V954" s="216">
        <v>46198</v>
      </c>
      <c r="W954" s="118" t="s">
        <v>2570</v>
      </c>
      <c r="X954" s="119" t="s">
        <v>40</v>
      </c>
      <c r="Y954" s="120">
        <v>46203</v>
      </c>
      <c r="Z954" s="120">
        <v>46204</v>
      </c>
      <c r="AA954" s="244">
        <v>914550</v>
      </c>
      <c r="AB954" s="312" t="s">
        <v>2571</v>
      </c>
      <c r="AC954" s="241"/>
      <c r="AD954" s="244">
        <v>0</v>
      </c>
    </row>
    <row r="955" spans="1:30" ht="18" customHeight="1">
      <c r="A955" s="374">
        <v>30791</v>
      </c>
      <c r="B955" s="376">
        <v>1</v>
      </c>
      <c r="C955" s="375">
        <v>46189</v>
      </c>
      <c r="D955" s="367">
        <f t="shared" ca="1" si="46"/>
        <v>38</v>
      </c>
      <c r="E955" s="368" t="str">
        <f t="shared" si="47"/>
        <v>ADMITIDO</v>
      </c>
      <c r="F955" s="371" t="s">
        <v>28</v>
      </c>
      <c r="G955" s="571" t="s">
        <v>102</v>
      </c>
      <c r="H955" s="117" t="s">
        <v>40</v>
      </c>
      <c r="I955" s="574" t="str">
        <f>IF(X955="ADMITIDO","ADMITIDO",IF(X955="CANCELADA","CANCELADA",IF(H955="","",IFERROR(_xlfn.XLOOKUP(H955,Listas!I:I,Listas!J:J),"OUTROS"))))</f>
        <v>ADMITIDO</v>
      </c>
      <c r="J955" s="240" t="s">
        <v>268</v>
      </c>
      <c r="K955" s="240" t="s">
        <v>563</v>
      </c>
      <c r="L955" s="240" t="s">
        <v>600</v>
      </c>
      <c r="M955" s="240"/>
      <c r="N955" s="240" t="s">
        <v>63</v>
      </c>
      <c r="O955" s="119" t="s">
        <v>34</v>
      </c>
      <c r="P955" s="119" t="s">
        <v>35</v>
      </c>
      <c r="Q955" s="119" t="s">
        <v>612</v>
      </c>
      <c r="R955" s="234" t="s">
        <v>2572</v>
      </c>
      <c r="S955" s="273"/>
      <c r="T955" s="274"/>
      <c r="U955" s="327" t="s">
        <v>76</v>
      </c>
      <c r="V955" s="315">
        <v>46206</v>
      </c>
      <c r="W955" s="310" t="s">
        <v>2573</v>
      </c>
      <c r="X955" s="308" t="s">
        <v>40</v>
      </c>
      <c r="Y955" s="309">
        <v>46210</v>
      </c>
      <c r="Z955" s="309">
        <v>46211</v>
      </c>
      <c r="AA955" s="316">
        <v>914597</v>
      </c>
      <c r="AB955" s="241"/>
      <c r="AC955" s="241"/>
      <c r="AD955" s="244">
        <v>0</v>
      </c>
    </row>
    <row r="956" spans="1:30" ht="18" customHeight="1">
      <c r="A956" s="237">
        <v>30798</v>
      </c>
      <c r="B956" s="121">
        <v>1</v>
      </c>
      <c r="C956" s="238">
        <v>46189</v>
      </c>
      <c r="D956" s="105">
        <f t="shared" ca="1" si="46"/>
        <v>38</v>
      </c>
      <c r="E956" s="138" t="str">
        <f t="shared" si="47"/>
        <v>ADMITIDO</v>
      </c>
      <c r="F956" s="230" t="s">
        <v>28</v>
      </c>
      <c r="G956" s="572" t="s">
        <v>29</v>
      </c>
      <c r="H956" s="117" t="s">
        <v>40</v>
      </c>
      <c r="I956" s="576" t="str">
        <f>IF(X956="ADMITIDO","ADMITIDO",IF(X956="CANCELADA","CANCELADA",IF(H956="","",IFERROR(_xlfn.XLOOKUP(H956,Listas!I:I,Listas!J:J),"OUTROS"))))</f>
        <v>ADMITIDO</v>
      </c>
      <c r="J956" s="363" t="s">
        <v>2574</v>
      </c>
      <c r="K956" s="240" t="s">
        <v>2575</v>
      </c>
      <c r="L956" s="240" t="s">
        <v>2576</v>
      </c>
      <c r="M956" s="240"/>
      <c r="N956" s="240" t="s">
        <v>119</v>
      </c>
      <c r="O956" s="119" t="s">
        <v>34</v>
      </c>
      <c r="P956" s="119" t="s">
        <v>2577</v>
      </c>
      <c r="Q956" s="119" t="s">
        <v>49</v>
      </c>
      <c r="R956" s="234"/>
      <c r="S956" s="273"/>
      <c r="T956" s="321" t="s">
        <v>2578</v>
      </c>
      <c r="U956" s="73" t="s">
        <v>38</v>
      </c>
      <c r="V956" s="216">
        <v>46189</v>
      </c>
      <c r="W956" s="323" t="s">
        <v>2579</v>
      </c>
      <c r="X956" s="119" t="s">
        <v>40</v>
      </c>
      <c r="Y956" s="120">
        <v>46192</v>
      </c>
      <c r="Z956" s="120">
        <v>46195</v>
      </c>
      <c r="AA956" s="244">
        <v>146120</v>
      </c>
      <c r="AB956" s="241"/>
      <c r="AC956" s="241"/>
      <c r="AD956" s="244">
        <v>0</v>
      </c>
    </row>
    <row r="957" spans="1:30" ht="18" customHeight="1">
      <c r="A957" s="374">
        <v>30795</v>
      </c>
      <c r="B957" s="376">
        <v>1</v>
      </c>
      <c r="C957" s="375">
        <v>46189</v>
      </c>
      <c r="D957" s="367">
        <f t="shared" ca="1" si="46"/>
        <v>38</v>
      </c>
      <c r="E957" s="368" t="str">
        <f t="shared" si="47"/>
        <v>ADMITIDO</v>
      </c>
      <c r="F957" s="371" t="s">
        <v>42</v>
      </c>
      <c r="G957" s="571" t="s">
        <v>60</v>
      </c>
      <c r="H957" s="117" t="s">
        <v>40</v>
      </c>
      <c r="I957" s="574" t="str">
        <f>IF(X957="ADMITIDO","ADMITIDO",IF(X957="CANCELADA","CANCELADA",IF(H957="","",IFERROR(_xlfn.XLOOKUP(H957,Listas!I:I,Listas!J:J),"OUTROS"))))</f>
        <v>ADMITIDO</v>
      </c>
      <c r="J957" s="414" t="s">
        <v>116</v>
      </c>
      <c r="K957" s="415" t="s">
        <v>117</v>
      </c>
      <c r="L957" s="415" t="s">
        <v>118</v>
      </c>
      <c r="M957" s="415"/>
      <c r="N957" s="415" t="s">
        <v>119</v>
      </c>
      <c r="O957" s="303" t="s">
        <v>34</v>
      </c>
      <c r="P957" s="303" t="s">
        <v>48</v>
      </c>
      <c r="Q957" s="303" t="s">
        <v>120</v>
      </c>
      <c r="R957" s="418"/>
      <c r="S957" s="419" t="s">
        <v>1533</v>
      </c>
      <c r="T957" s="345" t="s">
        <v>2580</v>
      </c>
      <c r="U957" s="326" t="s">
        <v>76</v>
      </c>
      <c r="V957" s="313">
        <v>46196</v>
      </c>
      <c r="W957" s="302" t="s">
        <v>2581</v>
      </c>
      <c r="X957" s="303" t="s">
        <v>40</v>
      </c>
      <c r="Y957" s="304">
        <v>46198</v>
      </c>
      <c r="Z957" s="304">
        <v>46202</v>
      </c>
      <c r="AA957" s="314">
        <v>146162</v>
      </c>
      <c r="AB957" s="346"/>
      <c r="AC957" s="346"/>
      <c r="AD957" s="314">
        <v>0</v>
      </c>
    </row>
    <row r="958" spans="1:30" ht="18" customHeight="1">
      <c r="A958" s="237">
        <v>30780</v>
      </c>
      <c r="B958" s="121">
        <v>1</v>
      </c>
      <c r="C958" s="238">
        <v>46189</v>
      </c>
      <c r="D958" s="105">
        <f t="shared" ca="1" si="46"/>
        <v>38</v>
      </c>
      <c r="E958" s="138" t="str">
        <f t="shared" ca="1" si="47"/>
        <v>CRÍTICO</v>
      </c>
      <c r="F958" s="230" t="s">
        <v>171</v>
      </c>
      <c r="G958" s="147" t="s">
        <v>60</v>
      </c>
      <c r="H958" s="382" t="s">
        <v>214</v>
      </c>
      <c r="I958" s="117" t="s">
        <v>1977</v>
      </c>
      <c r="J958" s="240" t="s">
        <v>172</v>
      </c>
      <c r="K958" s="240" t="s">
        <v>330</v>
      </c>
      <c r="L958" s="240" t="s">
        <v>996</v>
      </c>
      <c r="M958" s="240"/>
      <c r="N958" s="240" t="s">
        <v>63</v>
      </c>
      <c r="O958" s="119" t="s">
        <v>34</v>
      </c>
      <c r="P958" s="119" t="s">
        <v>35</v>
      </c>
      <c r="Q958" s="119" t="s">
        <v>36</v>
      </c>
      <c r="R958" s="234" t="s">
        <v>2582</v>
      </c>
      <c r="S958" s="273"/>
      <c r="T958" s="274"/>
      <c r="U958" s="73"/>
      <c r="V958" s="216"/>
      <c r="W958" s="118"/>
      <c r="X958" s="119"/>
      <c r="Y958" s="120"/>
      <c r="Z958" s="120"/>
      <c r="AA958" s="244"/>
      <c r="AB958" s="241" t="s">
        <v>2583</v>
      </c>
      <c r="AC958" s="241"/>
      <c r="AD958" s="244">
        <v>3</v>
      </c>
    </row>
    <row r="959" spans="1:30" ht="18" customHeight="1">
      <c r="A959" s="402">
        <v>30787</v>
      </c>
      <c r="B959" s="406">
        <v>1</v>
      </c>
      <c r="C959" s="403">
        <v>46190</v>
      </c>
      <c r="D959" s="380">
        <f t="shared" ca="1" si="46"/>
        <v>37</v>
      </c>
      <c r="E959" s="381" t="str">
        <f t="shared" si="47"/>
        <v>ADMITIDO</v>
      </c>
      <c r="F959" s="395" t="s">
        <v>42</v>
      </c>
      <c r="G959" s="420" t="s">
        <v>29</v>
      </c>
      <c r="H959" s="117" t="s">
        <v>40</v>
      </c>
      <c r="I959" s="578" t="str">
        <f>IF(X959="ADMITIDO","ADMITIDO",IF(X959="CANCELADA","CANCELADA",IF(H959="","",IFERROR(_xlfn.XLOOKUP(H959,Listas!I:I,Listas!J:J),"OUTROS"))))</f>
        <v>ADMITIDO</v>
      </c>
      <c r="J959" s="464" t="s">
        <v>461</v>
      </c>
      <c r="K959" s="428" t="s">
        <v>228</v>
      </c>
      <c r="L959" s="428" t="s">
        <v>807</v>
      </c>
      <c r="M959" s="428"/>
      <c r="N959" s="428" t="s">
        <v>88</v>
      </c>
      <c r="O959" s="308" t="s">
        <v>34</v>
      </c>
      <c r="P959" s="308" t="s">
        <v>48</v>
      </c>
      <c r="Q959" s="308" t="s">
        <v>49</v>
      </c>
      <c r="R959" s="431" t="s">
        <v>2198</v>
      </c>
      <c r="S959" s="432"/>
      <c r="T959" s="349" t="s">
        <v>2584</v>
      </c>
      <c r="U959" s="327" t="s">
        <v>38</v>
      </c>
      <c r="V959" s="315">
        <v>46192</v>
      </c>
      <c r="W959" s="310" t="s">
        <v>2585</v>
      </c>
      <c r="X959" s="308" t="s">
        <v>40</v>
      </c>
      <c r="Y959" s="309">
        <v>46199</v>
      </c>
      <c r="Z959" s="309">
        <v>46204</v>
      </c>
      <c r="AA959" s="316">
        <v>914519</v>
      </c>
      <c r="AB959" s="350"/>
      <c r="AC959" s="351"/>
      <c r="AD959" s="316">
        <v>0</v>
      </c>
    </row>
    <row r="960" spans="1:30" ht="18" customHeight="1">
      <c r="A960" s="237">
        <v>30807</v>
      </c>
      <c r="B960" s="121">
        <v>1</v>
      </c>
      <c r="C960" s="238">
        <v>46190</v>
      </c>
      <c r="D960" s="105">
        <f t="shared" ca="1" si="46"/>
        <v>37</v>
      </c>
      <c r="E960" s="138" t="str">
        <f t="shared" si="47"/>
        <v>ADMITIDO</v>
      </c>
      <c r="F960" s="230" t="s">
        <v>171</v>
      </c>
      <c r="G960" s="572" t="s">
        <v>43</v>
      </c>
      <c r="H960" s="117" t="s">
        <v>40</v>
      </c>
      <c r="I960" s="576" t="str">
        <f>IF(X960="ADMITIDO","ADMITIDO",IF(X960="CANCELADA","CANCELADA",IF(H960="","",IFERROR(_xlfn.XLOOKUP(H960,Listas!I:I,Listas!J:J),"OUTROS"))))</f>
        <v>ADMITIDO</v>
      </c>
      <c r="J960" s="240" t="s">
        <v>172</v>
      </c>
      <c r="K960" s="363" t="s">
        <v>1808</v>
      </c>
      <c r="L960" s="240" t="s">
        <v>1108</v>
      </c>
      <c r="M960" s="240"/>
      <c r="N960" s="240" t="s">
        <v>378</v>
      </c>
      <c r="O960" s="119" t="s">
        <v>34</v>
      </c>
      <c r="P960" s="119" t="s">
        <v>48</v>
      </c>
      <c r="Q960" s="119" t="s">
        <v>1118</v>
      </c>
      <c r="R960" s="234"/>
      <c r="S960" s="273" t="s">
        <v>1505</v>
      </c>
      <c r="T960" s="273">
        <v>11962943060</v>
      </c>
      <c r="U960" s="73" t="s">
        <v>50</v>
      </c>
      <c r="V960" s="216">
        <v>46195</v>
      </c>
      <c r="W960" s="118" t="s">
        <v>2586</v>
      </c>
      <c r="X960" s="119" t="s">
        <v>40</v>
      </c>
      <c r="Y960" s="120">
        <v>46204</v>
      </c>
      <c r="Z960" s="120">
        <v>46204</v>
      </c>
      <c r="AA960" s="244">
        <v>83356</v>
      </c>
      <c r="AB960" s="241"/>
      <c r="AC960" s="241"/>
      <c r="AD960" s="244">
        <v>0</v>
      </c>
    </row>
    <row r="961" spans="1:30" ht="18" customHeight="1">
      <c r="A961" s="402">
        <v>30806</v>
      </c>
      <c r="B961" s="406">
        <v>1</v>
      </c>
      <c r="C961" s="403">
        <v>46190</v>
      </c>
      <c r="D961" s="380">
        <f t="shared" ca="1" si="46"/>
        <v>37</v>
      </c>
      <c r="E961" s="381" t="str">
        <f t="shared" si="47"/>
        <v>ADMITIDO</v>
      </c>
      <c r="F961" s="395" t="s">
        <v>28</v>
      </c>
      <c r="G961" s="420" t="s">
        <v>240</v>
      </c>
      <c r="H961" s="117" t="s">
        <v>40</v>
      </c>
      <c r="I961" s="575" t="str">
        <f>IF(X961="ADMITIDO","ADMITIDO",IF(X961="CANCELADA","CANCELADA",IF(H961="","",IFERROR(_xlfn.XLOOKUP(H961,Listas!I:I,Listas!J:J),"OUTROS"))))</f>
        <v>ADMITIDO</v>
      </c>
      <c r="J961" s="464" t="s">
        <v>268</v>
      </c>
      <c r="K961" s="415" t="s">
        <v>423</v>
      </c>
      <c r="L961" s="415" t="s">
        <v>1878</v>
      </c>
      <c r="M961" s="415"/>
      <c r="N961" s="415" t="s">
        <v>63</v>
      </c>
      <c r="O961" s="303" t="s">
        <v>34</v>
      </c>
      <c r="P961" s="303" t="s">
        <v>35</v>
      </c>
      <c r="Q961" s="303" t="s">
        <v>1805</v>
      </c>
      <c r="R961" s="418"/>
      <c r="S961" s="419" t="s">
        <v>2587</v>
      </c>
      <c r="T961" s="347" t="s">
        <v>2588</v>
      </c>
      <c r="U961" s="326" t="s">
        <v>109</v>
      </c>
      <c r="V961" s="313" t="s">
        <v>2589</v>
      </c>
      <c r="W961" s="302" t="s">
        <v>2590</v>
      </c>
      <c r="X961" s="303" t="s">
        <v>40</v>
      </c>
      <c r="Y961" s="304">
        <v>46196</v>
      </c>
      <c r="Z961" s="304">
        <v>46197</v>
      </c>
      <c r="AA961" s="314">
        <v>914505</v>
      </c>
      <c r="AB961" s="348"/>
      <c r="AC961" s="346"/>
      <c r="AD961" s="314">
        <v>0</v>
      </c>
    </row>
    <row r="962" spans="1:30" ht="18" customHeight="1">
      <c r="A962" s="237">
        <v>30796</v>
      </c>
      <c r="B962" s="121">
        <v>1</v>
      </c>
      <c r="C962" s="238">
        <v>46190</v>
      </c>
      <c r="D962" s="105">
        <f t="shared" ca="1" si="46"/>
        <v>37</v>
      </c>
      <c r="E962" s="138" t="str">
        <f t="shared" si="47"/>
        <v>ADMITIDO</v>
      </c>
      <c r="F962" s="230" t="s">
        <v>42</v>
      </c>
      <c r="G962" s="572" t="s">
        <v>60</v>
      </c>
      <c r="H962" s="117" t="s">
        <v>40</v>
      </c>
      <c r="I962" s="576" t="str">
        <f>IF(X962="ADMITIDO","ADMITIDO",IF(X962="CANCELADA","CANCELADA",IF(H962="","",IFERROR(_xlfn.XLOOKUP(H962,Listas!I:I,Listas!J:J),"OUTROS"))))</f>
        <v>ADMITIDO</v>
      </c>
      <c r="J962" s="240" t="s">
        <v>1058</v>
      </c>
      <c r="K962" s="240" t="s">
        <v>117</v>
      </c>
      <c r="L962" s="240" t="s">
        <v>118</v>
      </c>
      <c r="M962" s="240"/>
      <c r="N962" s="240" t="s">
        <v>119</v>
      </c>
      <c r="O962" s="119" t="s">
        <v>34</v>
      </c>
      <c r="P962" s="119" t="s">
        <v>48</v>
      </c>
      <c r="Q962" s="119" t="s">
        <v>866</v>
      </c>
      <c r="R962" s="234"/>
      <c r="S962" s="273" t="s">
        <v>1533</v>
      </c>
      <c r="T962" s="274" t="s">
        <v>2591</v>
      </c>
      <c r="U962" s="73" t="s">
        <v>67</v>
      </c>
      <c r="V962" s="216">
        <v>46209</v>
      </c>
      <c r="W962" s="118" t="s">
        <v>2592</v>
      </c>
      <c r="X962" s="119" t="s">
        <v>40</v>
      </c>
      <c r="Y962" s="120">
        <v>46216</v>
      </c>
      <c r="Z962" s="120">
        <v>46217</v>
      </c>
      <c r="AA962" s="244">
        <v>146224</v>
      </c>
      <c r="AB962" s="241"/>
      <c r="AC962" s="241"/>
      <c r="AD962" s="244">
        <v>0</v>
      </c>
    </row>
    <row r="963" spans="1:30" ht="18" customHeight="1">
      <c r="A963" s="396">
        <v>30803</v>
      </c>
      <c r="B963" s="405">
        <v>1</v>
      </c>
      <c r="C963" s="404">
        <v>46190</v>
      </c>
      <c r="D963" s="386">
        <f t="shared" ca="1" si="46"/>
        <v>37</v>
      </c>
      <c r="E963" s="170" t="str">
        <f t="shared" si="47"/>
        <v>ADMITIDO</v>
      </c>
      <c r="F963" s="397" t="s">
        <v>28</v>
      </c>
      <c r="G963" s="392" t="s">
        <v>145</v>
      </c>
      <c r="H963" s="139" t="s">
        <v>40</v>
      </c>
      <c r="I963" s="139" t="str">
        <f>IF(X963="ADMITIDO","ADMITIDO",IF(X963="CANCELADA","CANCELADA",IF(H963="","",IFERROR(_xlfn.XLOOKUP(H963,Listas!I:I,Listas!J:J),"OUTROS"))))</f>
        <v>ADMITIDO</v>
      </c>
      <c r="J963" s="428" t="s">
        <v>268</v>
      </c>
      <c r="K963" s="428" t="s">
        <v>360</v>
      </c>
      <c r="L963" s="428" t="s">
        <v>2593</v>
      </c>
      <c r="M963" s="428"/>
      <c r="N963" s="428" t="s">
        <v>2594</v>
      </c>
      <c r="O963" s="308" t="s">
        <v>34</v>
      </c>
      <c r="P963" s="308" t="s">
        <v>35</v>
      </c>
      <c r="Q963" s="308" t="s">
        <v>36</v>
      </c>
      <c r="R963" s="431"/>
      <c r="S963" s="432"/>
      <c r="T963" s="352"/>
      <c r="U963" s="327" t="s">
        <v>132</v>
      </c>
      <c r="V963" s="315">
        <v>46184</v>
      </c>
      <c r="W963" s="310" t="s">
        <v>2595</v>
      </c>
      <c r="X963" s="308" t="s">
        <v>40</v>
      </c>
      <c r="Y963" s="309">
        <v>46202</v>
      </c>
      <c r="Z963" s="309">
        <v>46202</v>
      </c>
      <c r="AA963" s="316">
        <v>914490</v>
      </c>
      <c r="AB963" s="351"/>
      <c r="AC963" s="350"/>
      <c r="AD963" s="316">
        <v>0</v>
      </c>
    </row>
    <row r="964" spans="1:30" ht="18" customHeight="1">
      <c r="A964" s="396">
        <v>30804</v>
      </c>
      <c r="B964" s="405">
        <v>1</v>
      </c>
      <c r="C964" s="404">
        <v>46190</v>
      </c>
      <c r="D964" s="386">
        <f t="shared" ca="1" si="46"/>
        <v>37</v>
      </c>
      <c r="E964" s="483" t="str">
        <f t="shared" si="47"/>
        <v>ADMITIDO</v>
      </c>
      <c r="F964" s="397" t="s">
        <v>28</v>
      </c>
      <c r="G964" s="392" t="s">
        <v>145</v>
      </c>
      <c r="H964" s="117" t="s">
        <v>40</v>
      </c>
      <c r="I964" s="139" t="str">
        <f>IF(X964="ADMITIDO","ADMITIDO",IF(X964="CANCELADA","CANCELADA",IF(H964="","",IFERROR(_xlfn.XLOOKUP(H964,Listas!I:I,Listas!J:J),"OUTROS"))))</f>
        <v>ADMITIDO</v>
      </c>
      <c r="J964" s="428" t="s">
        <v>268</v>
      </c>
      <c r="K964" s="428" t="s">
        <v>335</v>
      </c>
      <c r="L964" s="428" t="s">
        <v>2593</v>
      </c>
      <c r="M964" s="428"/>
      <c r="N964" s="428" t="s">
        <v>2594</v>
      </c>
      <c r="O964" s="308" t="s">
        <v>56</v>
      </c>
      <c r="P964" s="308" t="s">
        <v>35</v>
      </c>
      <c r="Q964" s="471" t="s">
        <v>176</v>
      </c>
      <c r="R964" s="431"/>
      <c r="S964" s="432"/>
      <c r="T964" s="349"/>
      <c r="U964" s="327" t="s">
        <v>132</v>
      </c>
      <c r="V964" s="315">
        <v>46185</v>
      </c>
      <c r="W964" s="310" t="s">
        <v>2596</v>
      </c>
      <c r="X964" s="308" t="s">
        <v>40</v>
      </c>
      <c r="Y964" s="309">
        <v>46202</v>
      </c>
      <c r="Z964" s="309">
        <v>46202</v>
      </c>
      <c r="AA964" s="316">
        <v>914491</v>
      </c>
      <c r="AB964" s="350"/>
      <c r="AC964" s="241"/>
      <c r="AD964" s="244">
        <v>0</v>
      </c>
    </row>
    <row r="965" spans="1:30" ht="18" customHeight="1">
      <c r="A965" s="237">
        <v>30799</v>
      </c>
      <c r="B965" s="121">
        <v>1</v>
      </c>
      <c r="C965" s="238">
        <v>46190</v>
      </c>
      <c r="D965" s="105">
        <f t="shared" ca="1" si="46"/>
        <v>37</v>
      </c>
      <c r="E965" s="484" t="str">
        <f t="shared" si="47"/>
        <v>ADMITIDO</v>
      </c>
      <c r="F965" s="230" t="s">
        <v>28</v>
      </c>
      <c r="G965" s="147" t="s">
        <v>145</v>
      </c>
      <c r="H965" s="117" t="s">
        <v>40</v>
      </c>
      <c r="I965" s="117" t="str">
        <f>IF(X965="ADMITIDO","ADMITIDO",IF(X965="CANCELADA","CANCELADA",IF(H965="","",IFERROR(_xlfn.XLOOKUP(H965,Listas!I:I,Listas!J:J),"OUTROS"))))</f>
        <v>ADMITIDO</v>
      </c>
      <c r="J965" s="240" t="s">
        <v>268</v>
      </c>
      <c r="K965" s="240" t="s">
        <v>360</v>
      </c>
      <c r="L965" s="240" t="s">
        <v>2382</v>
      </c>
      <c r="M965" s="240"/>
      <c r="N965" s="240" t="s">
        <v>529</v>
      </c>
      <c r="O965" s="119" t="s">
        <v>34</v>
      </c>
      <c r="P965" s="119" t="s">
        <v>35</v>
      </c>
      <c r="Q965" s="334" t="s">
        <v>36</v>
      </c>
      <c r="R965" s="234"/>
      <c r="S965" s="273"/>
      <c r="T965" s="274"/>
      <c r="U965" s="139" t="s">
        <v>67</v>
      </c>
      <c r="V965" s="315">
        <v>46185</v>
      </c>
      <c r="W965" s="310" t="s">
        <v>2597</v>
      </c>
      <c r="X965" s="308" t="s">
        <v>40</v>
      </c>
      <c r="Y965" s="309">
        <v>46199</v>
      </c>
      <c r="Z965" s="309">
        <v>46202</v>
      </c>
      <c r="AA965" s="316">
        <v>914504</v>
      </c>
      <c r="AB965" s="241"/>
      <c r="AC965" s="241"/>
      <c r="AD965" s="244">
        <v>0</v>
      </c>
    </row>
    <row r="966" spans="1:30" ht="18" customHeight="1">
      <c r="A966" s="374">
        <v>30800</v>
      </c>
      <c r="B966" s="376">
        <v>1</v>
      </c>
      <c r="C966" s="375">
        <v>46190</v>
      </c>
      <c r="D966" s="367">
        <f t="shared" ca="1" si="46"/>
        <v>37</v>
      </c>
      <c r="E966" s="485" t="str">
        <f t="shared" si="47"/>
        <v>ADMITIDO</v>
      </c>
      <c r="F966" s="230" t="s">
        <v>28</v>
      </c>
      <c r="G966" s="147" t="s">
        <v>145</v>
      </c>
      <c r="H966" s="117" t="s">
        <v>40</v>
      </c>
      <c r="I966" s="117" t="str">
        <f>IF(X966="ADMITIDO","ADMITIDO",IF(X966="CANCELADA","CANCELADA",IF(H966="","",IFERROR(_xlfn.XLOOKUP(H966,Listas!I:I,Listas!J:J),"OUTROS"))))</f>
        <v>ADMITIDO</v>
      </c>
      <c r="J966" s="240" t="s">
        <v>268</v>
      </c>
      <c r="K966" s="240" t="s">
        <v>335</v>
      </c>
      <c r="L966" s="240" t="s">
        <v>2382</v>
      </c>
      <c r="M966" s="240"/>
      <c r="N966" s="240" t="s">
        <v>529</v>
      </c>
      <c r="O966" s="119" t="s">
        <v>56</v>
      </c>
      <c r="P966" s="119" t="s">
        <v>35</v>
      </c>
      <c r="Q966" s="333" t="s">
        <v>176</v>
      </c>
      <c r="R966" s="418"/>
      <c r="S966" s="273"/>
      <c r="T966" s="274">
        <v>11910360190</v>
      </c>
      <c r="U966" s="73" t="s">
        <v>67</v>
      </c>
      <c r="V966" s="216">
        <v>46183</v>
      </c>
      <c r="W966" s="118" t="s">
        <v>2598</v>
      </c>
      <c r="X966" s="119" t="s">
        <v>40</v>
      </c>
      <c r="Y966" s="120">
        <v>46199</v>
      </c>
      <c r="Z966" s="120">
        <v>46202</v>
      </c>
      <c r="AA966" s="244">
        <v>914503</v>
      </c>
      <c r="AB966" s="241"/>
      <c r="AC966" s="241"/>
      <c r="AD966" s="244">
        <v>0</v>
      </c>
    </row>
    <row r="967" spans="1:30" ht="18" customHeight="1">
      <c r="A967" s="237">
        <v>30801</v>
      </c>
      <c r="B967" s="121">
        <v>1</v>
      </c>
      <c r="C967" s="238">
        <v>46190</v>
      </c>
      <c r="D967" s="105">
        <f t="shared" ca="1" si="46"/>
        <v>37</v>
      </c>
      <c r="E967" s="484" t="str">
        <f t="shared" si="47"/>
        <v>ADMITIDO</v>
      </c>
      <c r="F967" s="230" t="s">
        <v>28</v>
      </c>
      <c r="G967" s="147" t="s">
        <v>167</v>
      </c>
      <c r="H967" s="117" t="s">
        <v>40</v>
      </c>
      <c r="I967" s="117" t="str">
        <f>IF(X967="ADMITIDO","ADMITIDO",IF(X967="CANCELADA","CANCELADA",IF(H967="","",IFERROR(_xlfn.XLOOKUP(H967,Listas!I:I,Listas!J:J),"OUTROS"))))</f>
        <v>ADMITIDO</v>
      </c>
      <c r="J967" s="240" t="s">
        <v>268</v>
      </c>
      <c r="K967" s="240" t="s">
        <v>371</v>
      </c>
      <c r="L967" s="240" t="s">
        <v>2599</v>
      </c>
      <c r="M967" s="240"/>
      <c r="N967" s="240" t="s">
        <v>391</v>
      </c>
      <c r="O967" s="119" t="s">
        <v>34</v>
      </c>
      <c r="P967" s="119" t="s">
        <v>35</v>
      </c>
      <c r="Q967" s="334" t="s">
        <v>36</v>
      </c>
      <c r="R967" s="234"/>
      <c r="S967" s="476"/>
      <c r="T967" s="274"/>
      <c r="U967" s="73" t="s">
        <v>132</v>
      </c>
      <c r="V967" s="216">
        <v>46189</v>
      </c>
      <c r="W967" s="118" t="s">
        <v>2600</v>
      </c>
      <c r="X967" s="119" t="s">
        <v>40</v>
      </c>
      <c r="Y967" s="120">
        <v>46199</v>
      </c>
      <c r="Z967" s="120">
        <v>46202</v>
      </c>
      <c r="AA967" s="244">
        <v>914482</v>
      </c>
      <c r="AB967" s="241"/>
      <c r="AC967" s="241"/>
      <c r="AD967" s="244">
        <v>0</v>
      </c>
    </row>
    <row r="968" spans="1:30" ht="18" customHeight="1">
      <c r="A968" s="396">
        <v>30802</v>
      </c>
      <c r="B968" s="405">
        <v>1</v>
      </c>
      <c r="C968" s="404">
        <v>46190</v>
      </c>
      <c r="D968" s="386">
        <f t="shared" ca="1" si="46"/>
        <v>37</v>
      </c>
      <c r="E968" s="483" t="str">
        <f t="shared" si="47"/>
        <v>ADMITIDO</v>
      </c>
      <c r="F968" s="230" t="s">
        <v>28</v>
      </c>
      <c r="G968" s="147" t="s">
        <v>145</v>
      </c>
      <c r="H968" s="117" t="s">
        <v>40</v>
      </c>
      <c r="I968" s="117" t="str">
        <f>IF(X968="ADMITIDO","ADMITIDO",IF(X968="CANCELADA","CANCELADA",IF(H968="","",IFERROR(_xlfn.XLOOKUP(H968,Listas!I:I,Listas!J:J),"OUTROS"))))</f>
        <v>ADMITIDO</v>
      </c>
      <c r="J968" s="240" t="s">
        <v>268</v>
      </c>
      <c r="K968" s="240" t="s">
        <v>318</v>
      </c>
      <c r="L968" s="240" t="s">
        <v>2599</v>
      </c>
      <c r="M968" s="240"/>
      <c r="N968" s="240" t="s">
        <v>391</v>
      </c>
      <c r="O968" s="119" t="s">
        <v>56</v>
      </c>
      <c r="P968" s="119" t="s">
        <v>35</v>
      </c>
      <c r="Q968" s="471" t="s">
        <v>176</v>
      </c>
      <c r="R968" s="431"/>
      <c r="S968" s="273"/>
      <c r="T968" s="274" t="s">
        <v>2601</v>
      </c>
      <c r="U968" s="73" t="s">
        <v>132</v>
      </c>
      <c r="V968" s="216">
        <v>46185</v>
      </c>
      <c r="W968" s="118" t="s">
        <v>2602</v>
      </c>
      <c r="X968" s="119" t="s">
        <v>40</v>
      </c>
      <c r="Y968" s="120">
        <v>46198</v>
      </c>
      <c r="Z968" s="120">
        <v>46202</v>
      </c>
      <c r="AA968" s="244">
        <v>914481</v>
      </c>
      <c r="AB968" s="241"/>
      <c r="AC968" s="241"/>
      <c r="AD968" s="244">
        <v>0</v>
      </c>
    </row>
    <row r="969" spans="1:30" ht="18" customHeight="1">
      <c r="A969" s="396">
        <v>30828</v>
      </c>
      <c r="B969" s="405">
        <v>1</v>
      </c>
      <c r="C969" s="404">
        <v>46191</v>
      </c>
      <c r="D969" s="386">
        <f t="shared" ref="D969:D991" ca="1" si="48">TODAY()-C969</f>
        <v>36</v>
      </c>
      <c r="E969" s="170" t="str">
        <f t="shared" ref="E969" si="49">IF(X969="ADMITIDO","ADMITIDO",IF(X969="CANCELADA","CANCELADA",IF(H969="","",IF(H969="ADMITIDO","ADMITIDO",IF(H969="CANCELADA","CANCELADA",IF(OR(H969="ANALISE CANCELAMENTO",H969="ANÁLISE CANCELAMENTO"),"EM ANÁLISE",IF(D969="","",IF(D969&lt;=7,"NO PRAZO",IF(D969&lt;=14,"ATENÇÃO","CRÍTICO")))))))))</f>
        <v>CANCELADA</v>
      </c>
      <c r="F969" s="397" t="s">
        <v>42</v>
      </c>
      <c r="G969" s="392" t="s">
        <v>43</v>
      </c>
      <c r="H969" s="139" t="s">
        <v>52</v>
      </c>
      <c r="I969" s="139" t="str">
        <f>IF(X969="ADMITIDO","ADMITIDO",IF(X969="CANCELADA","CANCELADA",IF(H969="","",IFERROR(_xlfn.XLOOKUP(H969,Listas!I:I,Listas!J:J),"OUTROS"))))</f>
        <v>CANCELADA</v>
      </c>
      <c r="J969" s="428" t="s">
        <v>53</v>
      </c>
      <c r="K969" s="428" t="s">
        <v>189</v>
      </c>
      <c r="L969" s="428" t="s">
        <v>869</v>
      </c>
      <c r="M969" s="428"/>
      <c r="N969" s="428" t="s">
        <v>337</v>
      </c>
      <c r="O969" s="308" t="s">
        <v>34</v>
      </c>
      <c r="P969" s="308" t="s">
        <v>57</v>
      </c>
      <c r="Q969" s="119" t="s">
        <v>98</v>
      </c>
      <c r="R969" s="234" t="s">
        <v>2603</v>
      </c>
      <c r="S969" s="273"/>
      <c r="T969" s="274"/>
      <c r="U969" s="73"/>
      <c r="V969" s="216"/>
      <c r="W969" s="118"/>
      <c r="X969" s="119"/>
      <c r="Y969" s="120"/>
      <c r="Z969" s="120"/>
      <c r="AA969" s="244"/>
      <c r="AB969" s="241"/>
      <c r="AC969" s="241" t="s">
        <v>2604</v>
      </c>
      <c r="AD969" s="244">
        <v>0</v>
      </c>
    </row>
    <row r="970" spans="1:30" ht="18" customHeight="1">
      <c r="A970" s="374">
        <v>30821</v>
      </c>
      <c r="B970" s="376">
        <v>1</v>
      </c>
      <c r="C970" s="375">
        <v>46191</v>
      </c>
      <c r="D970" s="367">
        <f t="shared" ca="1" si="48"/>
        <v>36</v>
      </c>
      <c r="E970" s="368" t="str">
        <f>IF(X970="ADMITIDO","ADMITIDO",IF(X970="CANCELADA","CANCELADA",IF(H970="","",IF(H970="ADMITIDO","ADMITIDO",IF(H970="CANCELADA","CANCELADA",IF(OR(H970="ANALISE CANCELAMENTO",H970="ANÁLISE CANCELAMENTO"),"EM ANÁLISE",IF(D970="","",IF(D970&lt;=7,"NO PRAZO",IF(D970&lt;=14,"ATENÇÃO","CRÍTICO")))))))))</f>
        <v>CANCELADA</v>
      </c>
      <c r="F970" s="371" t="s">
        <v>171</v>
      </c>
      <c r="G970" s="369" t="s">
        <v>102</v>
      </c>
      <c r="H970" s="146" t="s">
        <v>52</v>
      </c>
      <c r="I970" s="146" t="str">
        <f>IF(X970="ADMITIDO","ADMITIDO",IF(X970="CANCELADA","CANCELADA",IF(H970="","",IFERROR(_xlfn.XLOOKUP(H970,Listas!I:I,Listas!J:J),"OUTROS"))))</f>
        <v>CANCELADA</v>
      </c>
      <c r="J970" s="240" t="s">
        <v>787</v>
      </c>
      <c r="K970" s="240" t="s">
        <v>1820</v>
      </c>
      <c r="L970" s="240" t="s">
        <v>1821</v>
      </c>
      <c r="M970" s="240"/>
      <c r="N970" s="240" t="s">
        <v>999</v>
      </c>
      <c r="O970" s="119" t="s">
        <v>34</v>
      </c>
      <c r="P970" s="119" t="s">
        <v>35</v>
      </c>
      <c r="Q970" s="119" t="s">
        <v>905</v>
      </c>
      <c r="R970" s="234"/>
      <c r="S970" s="273"/>
      <c r="T970" s="274"/>
      <c r="U970" s="73"/>
      <c r="V970" s="216"/>
      <c r="W970" s="118"/>
      <c r="X970" s="119" t="s">
        <v>52</v>
      </c>
      <c r="Y970" s="120"/>
      <c r="Z970" s="120"/>
      <c r="AA970" s="244"/>
      <c r="AB970" s="241"/>
      <c r="AC970" s="241" t="s">
        <v>2605</v>
      </c>
      <c r="AD970" s="244">
        <v>0</v>
      </c>
    </row>
    <row r="971" spans="1:30" ht="18" customHeight="1">
      <c r="A971" s="374">
        <v>30814</v>
      </c>
      <c r="B971" s="376">
        <v>1</v>
      </c>
      <c r="C971" s="375">
        <v>46191</v>
      </c>
      <c r="D971" s="367">
        <f t="shared" ca="1" si="48"/>
        <v>36</v>
      </c>
      <c r="E971" s="368" t="str">
        <f>IF(X971="ADMITIDO","ADMITIDO",IF(X971="CANCELADA","CANCELADA",IF(H971="","",IF(H971="ADMITIDO","ADMITIDO",IF(H971="CANCELADA","CANCELADA",IF(OR(H971="ANALISE CANCELAMENTO",H971="ANÁLISE CANCELAMENTO"),"EM ANÁLISE",IF(D971="","",IF(D971&lt;=7,"NO PRAZO",IF(D971&lt;=14,"ATENÇÃO","CRÍTICO")))))))))</f>
        <v>ADMITIDO</v>
      </c>
      <c r="F971" s="371" t="s">
        <v>171</v>
      </c>
      <c r="G971" s="369" t="s">
        <v>60</v>
      </c>
      <c r="H971" s="117" t="s">
        <v>40</v>
      </c>
      <c r="I971" s="146" t="str">
        <f>IF(X971="ADMITIDO","ADMITIDO",IF(X971="CANCELADA","CANCELADA",IF(H971="","",IFERROR(_xlfn.XLOOKUP(H971,Listas!I:I,Listas!J:J),"OUTROS"))))</f>
        <v>ADMITIDO</v>
      </c>
      <c r="J971" s="414" t="s">
        <v>172</v>
      </c>
      <c r="K971" s="415" t="s">
        <v>318</v>
      </c>
      <c r="L971" s="415" t="s">
        <v>2606</v>
      </c>
      <c r="M971" s="415"/>
      <c r="N971" s="415" t="s">
        <v>391</v>
      </c>
      <c r="O971" s="303" t="s">
        <v>56</v>
      </c>
      <c r="P971" s="303" t="s">
        <v>35</v>
      </c>
      <c r="Q971" s="303" t="s">
        <v>176</v>
      </c>
      <c r="R971" s="418"/>
      <c r="S971" s="419"/>
      <c r="T971" s="345"/>
      <c r="U971" s="326" t="s">
        <v>109</v>
      </c>
      <c r="V971" s="313">
        <v>46191</v>
      </c>
      <c r="W971" s="302" t="s">
        <v>2607</v>
      </c>
      <c r="X971" s="303" t="s">
        <v>40</v>
      </c>
      <c r="Y971" s="304">
        <v>46195</v>
      </c>
      <c r="Z971" s="304">
        <v>46198</v>
      </c>
      <c r="AA971" s="314">
        <v>83352</v>
      </c>
      <c r="AB971" s="346"/>
      <c r="AC971" s="346"/>
      <c r="AD971" s="314">
        <v>0</v>
      </c>
    </row>
    <row r="972" spans="1:30" ht="18" customHeight="1">
      <c r="A972" s="237">
        <v>30825</v>
      </c>
      <c r="B972" s="121">
        <v>1</v>
      </c>
      <c r="C972" s="238">
        <v>46191</v>
      </c>
      <c r="D972" s="105">
        <f t="shared" ca="1" si="48"/>
        <v>36</v>
      </c>
      <c r="E972" s="138" t="str">
        <f>IF(X972="ADMITIDO","ADMITIDO",IF(X972="CANCELADA","CANCELADA",IF(H972="","",IF(H972="ADMITIDO","ADMITIDO",IF(H972="CANCELADA","CANCELADA",IF(OR(H972="ANALISE CANCELAMENTO",H972="ANÁLISE CANCELAMENTO"),"EM ANÁLISE",IF(D972="","",IF(D972&lt;=7,"NO PRAZO",IF(D972&lt;=14,"ATENÇÃO","CRÍTICO")))))))))</f>
        <v>CANCELADA</v>
      </c>
      <c r="F972" s="230" t="s">
        <v>42</v>
      </c>
      <c r="G972" s="147" t="s">
        <v>663</v>
      </c>
      <c r="H972" s="117" t="s">
        <v>52</v>
      </c>
      <c r="I972" s="117" t="str">
        <f>IF(X972="ADMITIDO","ADMITIDO",IF(X972="CANCELADA","CANCELADA",IF(H972="","",IFERROR(_xlfn.XLOOKUP(H972,Listas!I:I,Listas!J:J),"OUTROS"))))</f>
        <v>CANCELADA</v>
      </c>
      <c r="J972" s="240" t="s">
        <v>44</v>
      </c>
      <c r="K972" s="240" t="s">
        <v>228</v>
      </c>
      <c r="L972" s="240" t="s">
        <v>2608</v>
      </c>
      <c r="M972" s="240"/>
      <c r="N972" s="240" t="s">
        <v>88</v>
      </c>
      <c r="O972" s="119" t="s">
        <v>34</v>
      </c>
      <c r="P972" s="119" t="s">
        <v>210</v>
      </c>
      <c r="Q972" s="119" t="s">
        <v>432</v>
      </c>
      <c r="R972" s="234" t="s">
        <v>2609</v>
      </c>
      <c r="S972" s="273"/>
      <c r="T972" s="274"/>
      <c r="U972" s="73"/>
      <c r="V972" s="216"/>
      <c r="W972" s="118"/>
      <c r="X972" s="119"/>
      <c r="Y972" s="120"/>
      <c r="Z972" s="120"/>
      <c r="AA972" s="244"/>
      <c r="AB972" s="241"/>
      <c r="AC972" s="241" t="s">
        <v>2040</v>
      </c>
      <c r="AD972" s="244">
        <v>0</v>
      </c>
    </row>
    <row r="973" spans="1:30" ht="18" customHeight="1">
      <c r="A973" s="402">
        <v>30815</v>
      </c>
      <c r="B973" s="406">
        <v>1</v>
      </c>
      <c r="C973" s="403">
        <v>46191</v>
      </c>
      <c r="D973" s="380">
        <f t="shared" ca="1" si="48"/>
        <v>36</v>
      </c>
      <c r="E973" s="381" t="str">
        <f>IF(X973="ADMITIDO","ADMITIDO",IF(X973="CANCELADA","CANCELADA",IF(H973="","",IF(H973="ADMITIDO","ADMITIDO",IF(H973="CANCELADA","CANCELADA",IF(OR(H973="ANALISE CANCELAMENTO",H973="ANÁLISE CANCELAMENTO"),"EM ANÁLISE",IF(D973="","",IF(D973&lt;=7,"NO PRAZO",IF(D973&lt;=14,"ATENÇÃO","CRÍTICO")))))))))</f>
        <v>CANCELADA</v>
      </c>
      <c r="F973" s="395" t="s">
        <v>119</v>
      </c>
      <c r="G973" s="390" t="s">
        <v>821</v>
      </c>
      <c r="H973" s="382" t="s">
        <v>52</v>
      </c>
      <c r="I973" s="382" t="str">
        <f>IF(X973="ADMITIDO","ADMITIDO",IF(X973="CANCELADA","CANCELADA",IF(H973="","",IFERROR(_xlfn.XLOOKUP(H973,Listas!I:I,Listas!J:J),"OUTROS"))))</f>
        <v>CANCELADA</v>
      </c>
      <c r="J973" s="428" t="s">
        <v>2610</v>
      </c>
      <c r="K973" s="428" t="s">
        <v>2611</v>
      </c>
      <c r="L973" s="428" t="s">
        <v>2612</v>
      </c>
      <c r="M973" s="428"/>
      <c r="N973" s="428" t="s">
        <v>119</v>
      </c>
      <c r="O973" s="308" t="s">
        <v>34</v>
      </c>
      <c r="P973" s="308" t="s">
        <v>48</v>
      </c>
      <c r="Q973" s="308" t="s">
        <v>441</v>
      </c>
      <c r="R973" s="431" t="s">
        <v>2613</v>
      </c>
      <c r="S973" s="432"/>
      <c r="T973" s="349"/>
      <c r="U973" s="327"/>
      <c r="V973" s="315"/>
      <c r="W973" s="310"/>
      <c r="X973" s="308"/>
      <c r="Y973" s="309"/>
      <c r="Z973" s="309"/>
      <c r="AA973" s="316"/>
      <c r="AB973" s="350" t="s">
        <v>2614</v>
      </c>
      <c r="AC973" s="351" t="s">
        <v>2615</v>
      </c>
      <c r="AD973" s="316">
        <v>1</v>
      </c>
    </row>
    <row r="974" spans="1:30" ht="18" customHeight="1">
      <c r="A974" s="237">
        <v>30817</v>
      </c>
      <c r="B974" s="121">
        <v>1</v>
      </c>
      <c r="C974" s="238">
        <v>46191</v>
      </c>
      <c r="D974" s="105">
        <f t="shared" ca="1" si="48"/>
        <v>36</v>
      </c>
      <c r="E974" s="138" t="str">
        <f t="shared" ref="E974" si="50">IF(X974="ADMITIDO","ADMITIDO",IF(X974="CANCELADA","CANCELADA",IF(H974="","",IF(H974="ADMITIDO","ADMITIDO",IF(H974="CANCELADA","CANCELADA",IF(OR(H974="ANALISE CANCELAMENTO",H974="ANÁLISE CANCELAMENTO"),"EM ANÁLISE",IF(D974="","",IF(D974&lt;=7,"NO PRAZO",IF(D974&lt;=14,"ATENÇÃO","CRÍTICO")))))))))</f>
        <v>ADMITIDO</v>
      </c>
      <c r="F974" s="230" t="s">
        <v>42</v>
      </c>
      <c r="G974" s="147" t="s">
        <v>69</v>
      </c>
      <c r="H974" s="117" t="s">
        <v>40</v>
      </c>
      <c r="I974" s="117" t="str">
        <f>IF(X974="ADMITIDO","ADMITIDO",IF(X974="CANCELADA","CANCELADA",IF(H974="","",IFERROR(_xlfn.XLOOKUP(H974,Listas!I:I,Listas!J:J),"OUTROS"))))</f>
        <v>ADMITIDO</v>
      </c>
      <c r="J974" s="363" t="s">
        <v>53</v>
      </c>
      <c r="K974" s="240" t="s">
        <v>70</v>
      </c>
      <c r="L974" s="240" t="s">
        <v>588</v>
      </c>
      <c r="M974" s="240"/>
      <c r="N974" s="240" t="s">
        <v>63</v>
      </c>
      <c r="O974" s="119" t="s">
        <v>34</v>
      </c>
      <c r="P974" s="119" t="s">
        <v>589</v>
      </c>
      <c r="Q974" s="119" t="s">
        <v>532</v>
      </c>
      <c r="R974" s="234"/>
      <c r="S974" s="273"/>
      <c r="T974" s="274"/>
      <c r="U974" s="189" t="s">
        <v>76</v>
      </c>
      <c r="V974" s="328">
        <v>46195</v>
      </c>
      <c r="W974" s="305" t="s">
        <v>2616</v>
      </c>
      <c r="X974" s="306" t="s">
        <v>40</v>
      </c>
      <c r="Y974" s="307">
        <v>46196</v>
      </c>
      <c r="Z974" s="307">
        <v>46198</v>
      </c>
      <c r="AA974" s="329">
        <v>914507</v>
      </c>
      <c r="AB974" s="241"/>
      <c r="AC974" s="241"/>
      <c r="AD974" s="244">
        <v>0</v>
      </c>
    </row>
    <row r="975" spans="1:30" ht="18" customHeight="1">
      <c r="A975" s="374">
        <v>30816</v>
      </c>
      <c r="B975" s="376">
        <v>1</v>
      </c>
      <c r="C975" s="375">
        <v>46191</v>
      </c>
      <c r="D975" s="367">
        <f t="shared" ca="1" si="48"/>
        <v>36</v>
      </c>
      <c r="E975" s="368" t="str">
        <f>IF(X975="ADMITIDO","ADMITIDO",IF(X975="CANCELADA","CANCELADA",IF(H975="","",IF(H975="ADMITIDO","ADMITIDO",IF(H975="CANCELADA","CANCELADA",IF(OR(H975="ANALISE CANCELAMENTO",H975="ANÁLISE CANCELAMENTO"),"EM ANÁLISE",IF(D975="","",IF(D975&lt;=7,"NO PRAZO",IF(D975&lt;=14,"ATENÇÃO","CRÍTICO")))))))))</f>
        <v>ADMITIDO</v>
      </c>
      <c r="F975" s="371" t="s">
        <v>28</v>
      </c>
      <c r="G975" s="369" t="s">
        <v>240</v>
      </c>
      <c r="H975" s="117" t="s">
        <v>40</v>
      </c>
      <c r="I975" s="146" t="str">
        <f>IF(X975="ADMITIDO","ADMITIDO",IF(X975="CANCELADA","CANCELADA",IF(H975="","",IFERROR(_xlfn.XLOOKUP(H975,Listas!I:I,Listas!J:J),"OUTROS"))))</f>
        <v>ADMITIDO</v>
      </c>
      <c r="J975" s="414" t="s">
        <v>268</v>
      </c>
      <c r="K975" s="415" t="s">
        <v>423</v>
      </c>
      <c r="L975" s="415" t="s">
        <v>424</v>
      </c>
      <c r="M975" s="415"/>
      <c r="N975" s="415" t="s">
        <v>243</v>
      </c>
      <c r="O975" s="303" t="s">
        <v>34</v>
      </c>
      <c r="P975" s="303" t="s">
        <v>35</v>
      </c>
      <c r="Q975" s="303" t="s">
        <v>36</v>
      </c>
      <c r="R975" s="418"/>
      <c r="S975" s="419" t="s">
        <v>2587</v>
      </c>
      <c r="T975" s="347" t="s">
        <v>2617</v>
      </c>
      <c r="U975" s="326" t="s">
        <v>76</v>
      </c>
      <c r="V975" s="313" t="s">
        <v>2589</v>
      </c>
      <c r="W975" s="302" t="s">
        <v>2618</v>
      </c>
      <c r="X975" s="303" t="s">
        <v>40</v>
      </c>
      <c r="Y975" s="304">
        <v>46196</v>
      </c>
      <c r="Z975" s="304">
        <v>46198</v>
      </c>
      <c r="AA975" s="314">
        <v>914500</v>
      </c>
      <c r="AB975" s="348"/>
      <c r="AC975" s="346"/>
      <c r="AD975" s="314">
        <v>0</v>
      </c>
    </row>
    <row r="976" spans="1:30" ht="18" customHeight="1">
      <c r="A976" s="237">
        <v>30826</v>
      </c>
      <c r="B976" s="121">
        <v>1</v>
      </c>
      <c r="C976" s="238">
        <v>46191</v>
      </c>
      <c r="D976" s="105">
        <f t="shared" ca="1" si="48"/>
        <v>36</v>
      </c>
      <c r="E976" s="138" t="str">
        <f ca="1">IF(X976="ADMITIDO","ADMITIDO",IF(X976="CANCELADA","CANCELADA",IF(H976="","",IF(H976="ADMITIDO","ADMITIDO",IF(H976="CANCELADA","CANCELADA",IF(OR(H976="ANALISE CANCELAMENTO",H976="ANÁLISE CANCELAMENTO"),"EM ANÁLISE",IF(D976="","",IF(D976&lt;=7,"NO PRAZO",IF(D976&lt;=14,"ATENÇÃO","CRÍTICO")))))))))</f>
        <v>CRÍTICO</v>
      </c>
      <c r="F976" s="230" t="s">
        <v>42</v>
      </c>
      <c r="G976" s="147" t="s">
        <v>663</v>
      </c>
      <c r="H976" s="117" t="s">
        <v>181</v>
      </c>
      <c r="I976" s="117" t="str">
        <f>IF(X976="ADMITIDO","ADMITIDO",IF(X976="CANCELADA","CANCELADA",IF(H976="","",IFERROR(_xlfn.XLOOKUP(H976,Listas!I:I,Listas!J:J),"OUTROS"))))</f>
        <v>DOCUMENTAÇÃO</v>
      </c>
      <c r="J976" s="240" t="s">
        <v>44</v>
      </c>
      <c r="K976" s="240" t="s">
        <v>228</v>
      </c>
      <c r="L976" s="240" t="s">
        <v>807</v>
      </c>
      <c r="M976" s="240"/>
      <c r="N976" s="240" t="s">
        <v>88</v>
      </c>
      <c r="O976" s="119" t="s">
        <v>34</v>
      </c>
      <c r="P976" s="119" t="s">
        <v>57</v>
      </c>
      <c r="Q976" s="119" t="s">
        <v>94</v>
      </c>
      <c r="R976" s="234"/>
      <c r="S976" s="273"/>
      <c r="T976" s="274" t="s">
        <v>2619</v>
      </c>
      <c r="U976" s="73" t="s">
        <v>38</v>
      </c>
      <c r="V976" s="216" t="s">
        <v>2620</v>
      </c>
      <c r="W976" s="275" t="s">
        <v>2621</v>
      </c>
      <c r="X976" s="119" t="s">
        <v>810</v>
      </c>
      <c r="Y976" s="120"/>
      <c r="Z976" s="120"/>
      <c r="AA976" s="244"/>
      <c r="AB976" s="241" t="s">
        <v>2622</v>
      </c>
      <c r="AC976" s="241"/>
      <c r="AD976" s="244">
        <v>1</v>
      </c>
    </row>
    <row r="977" spans="1:30" ht="18" customHeight="1">
      <c r="A977" s="402">
        <v>30820</v>
      </c>
      <c r="B977" s="406">
        <v>1</v>
      </c>
      <c r="C977" s="403">
        <v>46191</v>
      </c>
      <c r="D977" s="380">
        <f t="shared" ca="1" si="48"/>
        <v>36</v>
      </c>
      <c r="E977" s="381" t="str">
        <f>IF(X977="ADMITIDO","ADMITIDO",IF(X977="CANCELADA","CANCELADA",IF(H977="","",IF(H977="ADMITIDO","ADMITIDO",IF(H977="CANCELADA","CANCELADA",IF(OR(H977="ANALISE CANCELAMENTO",H977="ANÁLISE CANCELAMENTO"),"EM ANÁLISE",IF(D977="","",IF(D977&lt;=7,"NO PRAZO",IF(D977&lt;=14,"ATENÇÃO","CRÍTICO")))))))))</f>
        <v>ADMITIDO</v>
      </c>
      <c r="F977" s="395" t="s">
        <v>28</v>
      </c>
      <c r="G977" s="390" t="s">
        <v>102</v>
      </c>
      <c r="H977" s="117" t="s">
        <v>40</v>
      </c>
      <c r="I977" s="382" t="str">
        <f>IF(X977="ADMITIDO","ADMITIDO",IF(X977="CANCELADA","CANCELADA",IF(H977="","",IFERROR(_xlfn.XLOOKUP(H977,Listas!I:I,Listas!J:J),"OUTROS"))))</f>
        <v>ADMITIDO</v>
      </c>
      <c r="J977" s="435" t="s">
        <v>268</v>
      </c>
      <c r="K977" s="435" t="s">
        <v>1820</v>
      </c>
      <c r="L977" s="435" t="s">
        <v>750</v>
      </c>
      <c r="M977" s="435"/>
      <c r="N977" s="435" t="s">
        <v>63</v>
      </c>
      <c r="O977" s="306" t="s">
        <v>34</v>
      </c>
      <c r="P977" s="306" t="s">
        <v>35</v>
      </c>
      <c r="Q977" s="306" t="s">
        <v>36</v>
      </c>
      <c r="R977" s="436"/>
      <c r="S977" s="437" t="s">
        <v>1533</v>
      </c>
      <c r="T977" s="438" t="s">
        <v>2623</v>
      </c>
      <c r="U977" s="189" t="s">
        <v>109</v>
      </c>
      <c r="V977" s="328">
        <v>46199</v>
      </c>
      <c r="W977" s="305" t="s">
        <v>2624</v>
      </c>
      <c r="X977" s="306" t="s">
        <v>40</v>
      </c>
      <c r="Y977" s="307">
        <v>46203</v>
      </c>
      <c r="Z977" s="307">
        <v>46205</v>
      </c>
      <c r="AA977" s="329">
        <v>914554</v>
      </c>
      <c r="AB977" s="439"/>
      <c r="AC977" s="439"/>
      <c r="AD977" s="329">
        <v>0</v>
      </c>
    </row>
    <row r="978" spans="1:30" ht="18" customHeight="1">
      <c r="A978" s="237">
        <v>30810</v>
      </c>
      <c r="B978" s="121">
        <v>1</v>
      </c>
      <c r="C978" s="238">
        <v>46191</v>
      </c>
      <c r="D978" s="105">
        <f t="shared" ca="1" si="48"/>
        <v>36</v>
      </c>
      <c r="E978" s="138" t="str">
        <f>IF(X978="ADMITIDO","ADMITIDO",IF(X978="CANCELADA","CANCELADA",IF(H978="","",IF(H978="ADMITIDO","ADMITIDO",IF(H978="CANCELADA","CANCELADA",IF(OR(H978="ANALISE CANCELAMENTO",H978="ANÁLISE CANCELAMENTO"),"EM ANÁLISE",IF(D978="","",IF(D978&lt;=7,"NO PRAZO",IF(D978&lt;=14,"ATENÇÃO","CRÍTICO")))))))))</f>
        <v>ADMITIDO</v>
      </c>
      <c r="F978" s="230" t="s">
        <v>42</v>
      </c>
      <c r="G978" s="147" t="s">
        <v>60</v>
      </c>
      <c r="H978" s="117" t="s">
        <v>334</v>
      </c>
      <c r="I978" s="117" t="str">
        <f>IF(X978="ADMITIDO","ADMITIDO",IF(X978="CANCELADA","CANCELADA",IF(H978="","",IFERROR(_xlfn.XLOOKUP(H978,Listas!I:I,Listas!J:J),"OUTROS"))))</f>
        <v>ADMITIDO</v>
      </c>
      <c r="J978" s="240" t="s">
        <v>53</v>
      </c>
      <c r="K978" s="240" t="s">
        <v>61</v>
      </c>
      <c r="L978" s="240" t="s">
        <v>600</v>
      </c>
      <c r="M978" s="240"/>
      <c r="N978" s="240" t="s">
        <v>63</v>
      </c>
      <c r="O978" s="119" t="s">
        <v>34</v>
      </c>
      <c r="P978" s="119" t="s">
        <v>72</v>
      </c>
      <c r="Q978" s="119" t="s">
        <v>73</v>
      </c>
      <c r="R978" s="234"/>
      <c r="S978" s="273" t="s">
        <v>1533</v>
      </c>
      <c r="T978" s="274" t="s">
        <v>2625</v>
      </c>
      <c r="U978" s="73" t="s">
        <v>67</v>
      </c>
      <c r="V978" s="216">
        <v>46216</v>
      </c>
      <c r="W978" s="118" t="s">
        <v>2626</v>
      </c>
      <c r="X978" s="119" t="s">
        <v>40</v>
      </c>
      <c r="Y978" s="120">
        <v>46224</v>
      </c>
      <c r="Z978" s="120">
        <v>46225</v>
      </c>
      <c r="AA978" s="244">
        <v>146267</v>
      </c>
      <c r="AB978" s="241" t="s">
        <v>2627</v>
      </c>
      <c r="AC978" s="241"/>
      <c r="AD978" s="244">
        <v>1</v>
      </c>
    </row>
    <row r="979" spans="1:30" ht="18" customHeight="1">
      <c r="A979" s="237">
        <v>30811</v>
      </c>
      <c r="B979" s="121">
        <v>1</v>
      </c>
      <c r="C979" s="238">
        <v>46191</v>
      </c>
      <c r="D979" s="105">
        <f t="shared" ca="1" si="48"/>
        <v>36</v>
      </c>
      <c r="E979" s="138" t="str">
        <f t="shared" ref="E979" ca="1" si="51">IF(X979="ADMITIDO","ADMITIDO",IF(X979="CANCELADA","CANCELADA",IF(H979="","",IF(H979="ADMITIDO","ADMITIDO",IF(H979="CANCELADA","CANCELADA",IF(OR(H979="ANALISE CANCELAMENTO",H979="ANÁLISE CANCELAMENTO"),"EM ANÁLISE",IF(D979="","",IF(D979&lt;=7,"NO PRAZO",IF(D979&lt;=14,"ATENÇÃO","CRÍTICO")))))))))</f>
        <v>CRÍTICO</v>
      </c>
      <c r="F979" s="230" t="s">
        <v>42</v>
      </c>
      <c r="G979" s="147" t="s">
        <v>60</v>
      </c>
      <c r="H979" s="117" t="s">
        <v>91</v>
      </c>
      <c r="I979" s="117" t="str">
        <f>IF(X979="ADMITIDO","ADMITIDO",IF(X979="CANCELADA","CANCELADA",IF(H979="","",IFERROR(_xlfn.XLOOKUP(H979,Listas!I:I,Listas!J:J),"OUTROS"))))</f>
        <v>TRIAGEM</v>
      </c>
      <c r="J979" s="240" t="s">
        <v>53</v>
      </c>
      <c r="K979" s="240" t="s">
        <v>61</v>
      </c>
      <c r="L979" s="240" t="s">
        <v>600</v>
      </c>
      <c r="M979" s="240"/>
      <c r="N979" s="240" t="s">
        <v>63</v>
      </c>
      <c r="O979" s="119" t="s">
        <v>34</v>
      </c>
      <c r="P979" s="119" t="s">
        <v>72</v>
      </c>
      <c r="Q979" s="119" t="s">
        <v>73</v>
      </c>
      <c r="R979" s="234"/>
      <c r="S979" s="273"/>
      <c r="T979" s="274"/>
      <c r="U979" s="73"/>
      <c r="V979" s="216"/>
      <c r="W979" s="118"/>
      <c r="X979" s="119"/>
      <c r="Y979" s="120"/>
      <c r="Z979" s="120"/>
      <c r="AA979" s="244"/>
      <c r="AB979" s="241"/>
      <c r="AC979" s="241"/>
      <c r="AD979" s="244">
        <v>0</v>
      </c>
    </row>
    <row r="980" spans="1:30" ht="18" customHeight="1">
      <c r="A980" s="237">
        <v>30812</v>
      </c>
      <c r="B980" s="121">
        <v>1</v>
      </c>
      <c r="C980" s="238">
        <v>46191</v>
      </c>
      <c r="D980" s="105">
        <f t="shared" ca="1" si="48"/>
        <v>36</v>
      </c>
      <c r="E980" s="138" t="str">
        <f ca="1">IF(X980="ADMITIDO","ADMITIDO",IF(X980="CANCELADA","CANCELADA",IF(H980="","",IF(H980="ADMITIDO","ADMITIDO",IF(H980="CANCELADA","CANCELADA",IF(OR(H980="ANALISE CANCELAMENTO",H980="ANÁLISE CANCELAMENTO"),"EM ANÁLISE",IF(D980="","",IF(D980&lt;=7,"NO PRAZO",IF(D980&lt;=14,"ATENÇÃO","CRÍTICO")))))))))</f>
        <v>CRÍTICO</v>
      </c>
      <c r="F980" s="230" t="s">
        <v>42</v>
      </c>
      <c r="G980" s="147" t="s">
        <v>60</v>
      </c>
      <c r="H980" s="117" t="s">
        <v>91</v>
      </c>
      <c r="I980" s="117" t="str">
        <f>IF(X980="ADMITIDO","ADMITIDO",IF(X980="CANCELADA","CANCELADA",IF(H980="","",IFERROR(_xlfn.XLOOKUP(H980,Listas!I:I,Listas!J:J),"OUTROS"))))</f>
        <v>TRIAGEM</v>
      </c>
      <c r="J980" s="240" t="s">
        <v>53</v>
      </c>
      <c r="K980" s="240" t="s">
        <v>61</v>
      </c>
      <c r="L980" s="240" t="s">
        <v>600</v>
      </c>
      <c r="M980" s="240"/>
      <c r="N980" s="240" t="s">
        <v>63</v>
      </c>
      <c r="O980" s="119" t="s">
        <v>34</v>
      </c>
      <c r="P980" s="119" t="s">
        <v>219</v>
      </c>
      <c r="Q980" s="119" t="s">
        <v>73</v>
      </c>
      <c r="R980" s="234"/>
      <c r="S980" s="273"/>
      <c r="T980" s="274"/>
      <c r="U980" s="73"/>
      <c r="V980" s="216"/>
      <c r="W980" s="118"/>
      <c r="X980" s="119"/>
      <c r="Y980" s="120"/>
      <c r="Z980" s="120"/>
      <c r="AA980" s="244"/>
      <c r="AB980" s="241"/>
      <c r="AC980" s="241"/>
      <c r="AD980" s="244">
        <v>0</v>
      </c>
    </row>
    <row r="981" spans="1:30" ht="18" customHeight="1">
      <c r="A981" s="396">
        <v>30832</v>
      </c>
      <c r="B981" s="405">
        <v>1</v>
      </c>
      <c r="C981" s="404">
        <v>46191</v>
      </c>
      <c r="D981" s="386">
        <f t="shared" ca="1" si="48"/>
        <v>36</v>
      </c>
      <c r="E981" s="170" t="str">
        <f>IF(X981="ADMITIDO","ADMITIDO",IF(X981="CANCELADA","CANCELADA",IF(H981="","",IF(H981="ADMITIDO","ADMITIDO",IF(H981="CANCELADA","CANCELADA",IF(OR(H981="ANALISE CANCELAMENTO",H981="ANÁLISE CANCELAMENTO"),"EM ANÁLISE",IF(D981="","",IF(D981&lt;=7,"NO PRAZO",IF(D981&lt;=14,"ATENÇÃO","CRÍTICO")))))))))</f>
        <v>ADMITIDO</v>
      </c>
      <c r="F981" s="397" t="s">
        <v>28</v>
      </c>
      <c r="G981" s="392" t="s">
        <v>29</v>
      </c>
      <c r="H981" s="117" t="s">
        <v>40</v>
      </c>
      <c r="I981" s="139" t="str">
        <f>IF(X981="ADMITIDO","ADMITIDO",IF(X981="CANCELADA","CANCELADA",IF(H981="","",IFERROR(_xlfn.XLOOKUP(H981,Listas!I:I,Listas!J:J),"OUTROS"))))</f>
        <v>ADMITIDO</v>
      </c>
      <c r="J981" s="519" t="s">
        <v>609</v>
      </c>
      <c r="K981" s="428" t="s">
        <v>86</v>
      </c>
      <c r="L981" s="428" t="s">
        <v>610</v>
      </c>
      <c r="M981" s="464"/>
      <c r="N981" s="464" t="s">
        <v>611</v>
      </c>
      <c r="O981" s="306" t="s">
        <v>34</v>
      </c>
      <c r="P981" s="306" t="s">
        <v>35</v>
      </c>
      <c r="Q981" s="306" t="s">
        <v>1805</v>
      </c>
      <c r="R981" s="436"/>
      <c r="S981" s="432"/>
      <c r="T981" s="352" t="s">
        <v>2628</v>
      </c>
      <c r="U981" s="327" t="s">
        <v>38</v>
      </c>
      <c r="V981" s="315">
        <v>46198</v>
      </c>
      <c r="W981" s="310" t="s">
        <v>2629</v>
      </c>
      <c r="X981" s="308" t="s">
        <v>40</v>
      </c>
      <c r="Y981" s="309">
        <v>46204</v>
      </c>
      <c r="Z981" s="309">
        <v>46205</v>
      </c>
      <c r="AA981" s="316">
        <v>914538</v>
      </c>
      <c r="AB981" s="351"/>
      <c r="AC981" s="351"/>
      <c r="AD981" s="316">
        <v>0</v>
      </c>
    </row>
    <row r="982" spans="1:30" ht="18" customHeight="1">
      <c r="A982" s="402">
        <v>30808</v>
      </c>
      <c r="B982" s="406">
        <v>1</v>
      </c>
      <c r="C982" s="403">
        <v>46191</v>
      </c>
      <c r="D982" s="380">
        <f t="shared" ca="1" si="48"/>
        <v>36</v>
      </c>
      <c r="E982" s="381" t="str">
        <f>IF(X982="ADMITIDO","ADMITIDO",IF(X982="CANCELADA","CANCELADA",IF(H982="","",IF(H982="ADMITIDO","ADMITIDO",IF(H982="CANCELADA","CANCELADA",IF(OR(H982="ANALISE CANCELAMENTO",H982="ANÁLISE CANCELAMENTO"),"EM ANÁLISE",IF(D982="","",IF(D982&lt;=7,"NO PRAZO",IF(D982&lt;=14,"ATENÇÃO","CRÍTICO")))))))))</f>
        <v>ADMITIDO</v>
      </c>
      <c r="F982" s="395" t="s">
        <v>171</v>
      </c>
      <c r="G982" s="390" t="s">
        <v>102</v>
      </c>
      <c r="H982" s="117" t="s">
        <v>40</v>
      </c>
      <c r="I982" s="382" t="str">
        <f>IF(X982="ADMITIDO","ADMITIDO",IF(X982="CANCELADA","CANCELADA",IF(H982="","",IFERROR(_xlfn.XLOOKUP(H982,Listas!I:I,Listas!J:J),"OUTROS"))))</f>
        <v>ADMITIDO</v>
      </c>
      <c r="J982" s="435" t="s">
        <v>172</v>
      </c>
      <c r="K982" s="435" t="s">
        <v>371</v>
      </c>
      <c r="L982" s="435" t="s">
        <v>895</v>
      </c>
      <c r="M982" s="435"/>
      <c r="N982" s="415" t="s">
        <v>391</v>
      </c>
      <c r="O982" s="303" t="s">
        <v>34</v>
      </c>
      <c r="P982" s="303" t="s">
        <v>35</v>
      </c>
      <c r="Q982" s="303" t="s">
        <v>362</v>
      </c>
      <c r="R982" s="418" t="s">
        <v>2630</v>
      </c>
      <c r="S982" s="478"/>
      <c r="T982" s="438"/>
      <c r="U982" s="189" t="s">
        <v>76</v>
      </c>
      <c r="V982" s="328">
        <v>46203</v>
      </c>
      <c r="W982" s="305" t="s">
        <v>2631</v>
      </c>
      <c r="X982" s="306" t="s">
        <v>40</v>
      </c>
      <c r="Y982" s="307">
        <v>46205</v>
      </c>
      <c r="Z982" s="307">
        <v>46210</v>
      </c>
      <c r="AA982" s="329">
        <v>83368</v>
      </c>
      <c r="AB982" s="439"/>
      <c r="AC982" s="439"/>
      <c r="AD982" s="329">
        <v>0</v>
      </c>
    </row>
    <row r="983" spans="1:30" ht="18" customHeight="1">
      <c r="A983" s="237">
        <v>30809</v>
      </c>
      <c r="B983" s="121">
        <v>1</v>
      </c>
      <c r="C983" s="238">
        <v>46191</v>
      </c>
      <c r="D983" s="105">
        <f t="shared" ca="1" si="48"/>
        <v>36</v>
      </c>
      <c r="E983" s="138" t="str">
        <f ca="1">IF(X983="ADMITIDO","ADMITIDO",IF(X983="CANCELADA","CANCELADA",IF(H983="","",IF(H983="ADMITIDO","ADMITIDO",IF(H983="CANCELADA","CANCELADA",IF(OR(H983="ANALISE CANCELAMENTO",H983="ANÁLISE CANCELAMENTO"),"EM ANÁLISE",IF(D983="","",IF(D983&lt;=7,"NO PRAZO",IF(D983&lt;=14,"ATENÇÃO","CRÍTICO")))))))))</f>
        <v>CRÍTICO</v>
      </c>
      <c r="F983" s="230" t="s">
        <v>42</v>
      </c>
      <c r="G983" s="147" t="s">
        <v>60</v>
      </c>
      <c r="H983" s="117" t="s">
        <v>214</v>
      </c>
      <c r="I983" s="117" t="str">
        <f>IF(X983="ADMITIDO","ADMITIDO",IF(X983="CANCELADA","CANCELADA",IF(H983="","",IFERROR(_xlfn.XLOOKUP(H983,Listas!I:I,Listas!J:J),"OUTROS"))))</f>
        <v>TRIAGEM</v>
      </c>
      <c r="J983" s="240" t="s">
        <v>53</v>
      </c>
      <c r="K983" s="240" t="s">
        <v>61</v>
      </c>
      <c r="L983" s="240" t="s">
        <v>255</v>
      </c>
      <c r="M983" s="240"/>
      <c r="N983" s="240" t="s">
        <v>63</v>
      </c>
      <c r="O983" s="119" t="s">
        <v>34</v>
      </c>
      <c r="P983" s="119" t="s">
        <v>219</v>
      </c>
      <c r="Q983" s="119" t="s">
        <v>73</v>
      </c>
      <c r="R983" s="234" t="s">
        <v>2632</v>
      </c>
      <c r="S983" s="273" t="s">
        <v>1612</v>
      </c>
      <c r="T983" s="274"/>
      <c r="U983" s="73"/>
      <c r="V983" s="216"/>
      <c r="W983" s="118"/>
      <c r="X983" s="119"/>
      <c r="Y983" s="120"/>
      <c r="Z983" s="120"/>
      <c r="AA983" s="244"/>
      <c r="AB983" s="241"/>
      <c r="AC983" s="241"/>
      <c r="AD983" s="244">
        <v>0</v>
      </c>
    </row>
    <row r="984" spans="1:30" ht="18" customHeight="1">
      <c r="A984" s="396">
        <v>30818</v>
      </c>
      <c r="B984" s="405">
        <v>1</v>
      </c>
      <c r="C984" s="404">
        <v>46191</v>
      </c>
      <c r="D984" s="386">
        <f t="shared" ca="1" si="48"/>
        <v>36</v>
      </c>
      <c r="E984" s="170" t="str">
        <f t="shared" ref="E984" ca="1" si="52">IF(X984="ADMITIDO","ADMITIDO",IF(X984="CANCELADA","CANCELADA",IF(H984="","",IF(H984="ADMITIDO","ADMITIDO",IF(H984="CANCELADA","CANCELADA",IF(OR(H984="ANALISE CANCELAMENTO",H984="ANÁLISE CANCELAMENTO"),"EM ANÁLISE",IF(D984="","",IF(D984&lt;=7,"NO PRAZO",IF(D984&lt;=14,"ATENÇÃO","CRÍTICO")))))))))</f>
        <v>CRÍTICO</v>
      </c>
      <c r="F984" s="397" t="s">
        <v>28</v>
      </c>
      <c r="G984" s="392" t="s">
        <v>29</v>
      </c>
      <c r="H984" s="139" t="s">
        <v>259</v>
      </c>
      <c r="I984" s="139" t="str">
        <f>IF(X984="ADMITIDO","ADMITIDO",IF(X984="CANCELADA","CANCELADA",IF(H984="","",IFERROR(_xlfn.XLOOKUP(H984,Listas!I:I,Listas!J:J),"OUTROS"))))</f>
        <v>TRIAGEM</v>
      </c>
      <c r="J984" s="519" t="s">
        <v>146</v>
      </c>
      <c r="K984" s="428" t="s">
        <v>86</v>
      </c>
      <c r="L984" s="428" t="s">
        <v>1232</v>
      </c>
      <c r="M984" s="427"/>
      <c r="N984" s="427" t="s">
        <v>88</v>
      </c>
      <c r="O984" s="308" t="s">
        <v>34</v>
      </c>
      <c r="P984" s="308" t="s">
        <v>35</v>
      </c>
      <c r="Q984" s="308" t="s">
        <v>362</v>
      </c>
      <c r="R984" s="234"/>
      <c r="S984" s="273"/>
      <c r="T984" s="274"/>
      <c r="U984" s="73"/>
      <c r="V984" s="216"/>
      <c r="W984" s="118"/>
      <c r="X984" s="119"/>
      <c r="Y984" s="309"/>
      <c r="Z984" s="309"/>
      <c r="AA984" s="316"/>
      <c r="AB984" s="351" t="s">
        <v>2633</v>
      </c>
      <c r="AC984" s="351"/>
      <c r="AD984" s="316">
        <v>2</v>
      </c>
    </row>
    <row r="985" spans="1:30" ht="18" customHeight="1">
      <c r="A985" s="396">
        <v>30819</v>
      </c>
      <c r="B985" s="405">
        <v>1</v>
      </c>
      <c r="C985" s="404">
        <v>46191</v>
      </c>
      <c r="D985" s="386">
        <f t="shared" ca="1" si="48"/>
        <v>36</v>
      </c>
      <c r="E985" s="170" t="str">
        <f t="shared" ref="E985:E991" si="53">IF(X985="ADMITIDO","ADMITIDO",IF(X985="CANCELADA","CANCELADA",IF(H985="","",IF(H985="ADMITIDO","ADMITIDO",IF(H985="CANCELADA","CANCELADA",IF(OR(H985="ANALISE CANCELAMENTO",H985="ANÁLISE CANCELAMENTO"),"EM ANÁLISE",IF(D985="","",IF(D985&lt;=7,"NO PRAZO",IF(D985&lt;=14,"ATENÇÃO","CRÍTICO")))))))))</f>
        <v>ADMITIDO</v>
      </c>
      <c r="F985" s="397" t="s">
        <v>28</v>
      </c>
      <c r="G985" s="392" t="s">
        <v>29</v>
      </c>
      <c r="H985" s="139" t="s">
        <v>40</v>
      </c>
      <c r="I985" s="139" t="str">
        <f>IF(X985="ADMITIDO","ADMITIDO",IF(X985="CANCELADA","CANCELADA",IF(H985="","",IFERROR(_xlfn.XLOOKUP(H985,Listas!I:I,Listas!J:J),"OUTROS"))))</f>
        <v>ADMITIDO</v>
      </c>
      <c r="J985" s="427" t="s">
        <v>146</v>
      </c>
      <c r="K985" s="428" t="s">
        <v>86</v>
      </c>
      <c r="L985" s="428" t="s">
        <v>1232</v>
      </c>
      <c r="M985" s="428"/>
      <c r="N985" s="428" t="s">
        <v>88</v>
      </c>
      <c r="O985" s="308" t="s">
        <v>34</v>
      </c>
      <c r="P985" s="308" t="s">
        <v>35</v>
      </c>
      <c r="Q985" s="308" t="s">
        <v>362</v>
      </c>
      <c r="R985" s="431"/>
      <c r="S985" s="432"/>
      <c r="T985" s="352" t="s">
        <v>2634</v>
      </c>
      <c r="U985" s="327" t="s">
        <v>38</v>
      </c>
      <c r="V985" s="315">
        <v>46197</v>
      </c>
      <c r="W985" s="310" t="s">
        <v>2635</v>
      </c>
      <c r="X985" s="308" t="s">
        <v>40</v>
      </c>
      <c r="Y985" s="309">
        <v>46199</v>
      </c>
      <c r="Z985" s="309">
        <v>46200</v>
      </c>
      <c r="AA985" s="316">
        <v>914534</v>
      </c>
      <c r="AB985" s="351"/>
      <c r="AC985" s="351"/>
      <c r="AD985" s="316">
        <v>0</v>
      </c>
    </row>
    <row r="986" spans="1:30" ht="18" customHeight="1">
      <c r="A986" s="402">
        <v>30829</v>
      </c>
      <c r="B986" s="406">
        <v>1</v>
      </c>
      <c r="C986" s="403">
        <v>46191</v>
      </c>
      <c r="D986" s="380">
        <f t="shared" ca="1" si="48"/>
        <v>36</v>
      </c>
      <c r="E986" s="381" t="str">
        <f t="shared" si="53"/>
        <v>CANCELADA</v>
      </c>
      <c r="F986" s="395" t="s">
        <v>28</v>
      </c>
      <c r="G986" s="390" t="s">
        <v>43</v>
      </c>
      <c r="H986" s="382" t="s">
        <v>52</v>
      </c>
      <c r="I986" s="382" t="str">
        <f>IF(X986="ADMITIDO","ADMITIDO",IF(X986="CANCELADA","CANCELADA",IF(H986="","",IFERROR(_xlfn.XLOOKUP(H986,Listas!I:I,Listas!J:J),"OUTROS"))))</f>
        <v>CANCELADA</v>
      </c>
      <c r="J986" s="415" t="s">
        <v>268</v>
      </c>
      <c r="K986" s="415" t="s">
        <v>383</v>
      </c>
      <c r="L986" s="415" t="s">
        <v>286</v>
      </c>
      <c r="M986" s="415"/>
      <c r="N986" s="415" t="s">
        <v>33</v>
      </c>
      <c r="O986" s="303" t="s">
        <v>56</v>
      </c>
      <c r="P986" s="303" t="s">
        <v>35</v>
      </c>
      <c r="Q986" s="303" t="s">
        <v>357</v>
      </c>
      <c r="R986" s="418" t="s">
        <v>2636</v>
      </c>
      <c r="S986" s="273"/>
      <c r="T986" s="274"/>
      <c r="U986" s="73"/>
      <c r="V986" s="216"/>
      <c r="W986" s="118"/>
      <c r="X986" s="119" t="s">
        <v>52</v>
      </c>
      <c r="Y986" s="120"/>
      <c r="Z986" s="120"/>
      <c r="AA986" s="244"/>
      <c r="AB986" s="241"/>
      <c r="AC986" s="241" t="s">
        <v>1845</v>
      </c>
      <c r="AD986" s="244">
        <v>0</v>
      </c>
    </row>
    <row r="987" spans="1:30" ht="18" customHeight="1">
      <c r="A987" s="237">
        <v>30824</v>
      </c>
      <c r="B987" s="121">
        <v>1</v>
      </c>
      <c r="C987" s="238">
        <v>46191</v>
      </c>
      <c r="D987" s="105">
        <f t="shared" ca="1" si="48"/>
        <v>36</v>
      </c>
      <c r="E987" s="138" t="str">
        <f t="shared" ca="1" si="53"/>
        <v>CRÍTICO</v>
      </c>
      <c r="F987" s="230" t="s">
        <v>171</v>
      </c>
      <c r="G987" s="147" t="s">
        <v>102</v>
      </c>
      <c r="H987" s="117" t="s">
        <v>259</v>
      </c>
      <c r="I987" s="117" t="str">
        <f>IF(X987="ADMITIDO","ADMITIDO",IF(X987="CANCELADA","CANCELADA",IF(H987="","",IFERROR(_xlfn.XLOOKUP(H987,Listas!I:I,Listas!J:J),"OUTROS"))))</f>
        <v>TRIAGEM</v>
      </c>
      <c r="J987" s="240" t="s">
        <v>172</v>
      </c>
      <c r="K987" s="240" t="s">
        <v>371</v>
      </c>
      <c r="L987" s="240" t="s">
        <v>372</v>
      </c>
      <c r="M987" s="240"/>
      <c r="N987" s="240" t="s">
        <v>672</v>
      </c>
      <c r="O987" s="119" t="s">
        <v>34</v>
      </c>
      <c r="P987" s="119" t="s">
        <v>35</v>
      </c>
      <c r="Q987" s="119" t="s">
        <v>36</v>
      </c>
      <c r="R987" s="273" t="s">
        <v>2637</v>
      </c>
      <c r="S987" s="273" t="s">
        <v>1612</v>
      </c>
      <c r="T987" s="345" t="s">
        <v>2638</v>
      </c>
      <c r="U987" s="326" t="s">
        <v>76</v>
      </c>
      <c r="V987" s="313">
        <v>46209</v>
      </c>
      <c r="W987" s="302" t="s">
        <v>2639</v>
      </c>
      <c r="X987" s="303" t="s">
        <v>284</v>
      </c>
      <c r="Y987" s="304"/>
      <c r="Z987" s="304"/>
      <c r="AA987" s="314"/>
      <c r="AB987" s="346"/>
      <c r="AC987" s="346"/>
      <c r="AD987" s="314">
        <v>0</v>
      </c>
    </row>
    <row r="988" spans="1:30" ht="18" customHeight="1">
      <c r="A988" s="396">
        <v>30813</v>
      </c>
      <c r="B988" s="405">
        <v>1</v>
      </c>
      <c r="C988" s="404">
        <v>46191</v>
      </c>
      <c r="D988" s="386">
        <f t="shared" ca="1" si="48"/>
        <v>36</v>
      </c>
      <c r="E988" s="170" t="str">
        <f t="shared" si="53"/>
        <v>ADMITIDO</v>
      </c>
      <c r="F988" s="397" t="s">
        <v>42</v>
      </c>
      <c r="G988" s="392" t="s">
        <v>663</v>
      </c>
      <c r="H988" s="139" t="s">
        <v>40</v>
      </c>
      <c r="I988" s="139" t="str">
        <f>IF(X988="ADMITIDO","ADMITIDO",IF(X988="CANCELADA","CANCELADA",IF(H988="","",IFERROR(_xlfn.XLOOKUP(H988,Listas!I:I,Listas!J:J),"OUTROS"))))</f>
        <v>ADMITIDO</v>
      </c>
      <c r="J988" s="428" t="s">
        <v>53</v>
      </c>
      <c r="K988" s="428" t="s">
        <v>54</v>
      </c>
      <c r="L988" s="428" t="s">
        <v>1037</v>
      </c>
      <c r="M988" s="428"/>
      <c r="N988" s="428" t="s">
        <v>93</v>
      </c>
      <c r="O988" s="308" t="s">
        <v>34</v>
      </c>
      <c r="P988" s="308" t="s">
        <v>48</v>
      </c>
      <c r="Q988" s="308" t="s">
        <v>441</v>
      </c>
      <c r="R988" s="431"/>
      <c r="S988" s="273"/>
      <c r="T988" s="274" t="s">
        <v>2640</v>
      </c>
      <c r="U988" s="73" t="s">
        <v>38</v>
      </c>
      <c r="V988" s="216" t="s">
        <v>2641</v>
      </c>
      <c r="W988" s="236" t="s">
        <v>2642</v>
      </c>
      <c r="X988" s="119" t="s">
        <v>40</v>
      </c>
      <c r="Y988" s="120">
        <v>46202</v>
      </c>
      <c r="Z988" s="120">
        <v>46203</v>
      </c>
      <c r="AA988" s="244">
        <v>146168</v>
      </c>
      <c r="AB988" s="241"/>
      <c r="AC988" s="241"/>
      <c r="AD988" s="244">
        <v>0</v>
      </c>
    </row>
    <row r="989" spans="1:30" ht="18" customHeight="1">
      <c r="A989" s="396">
        <v>30822</v>
      </c>
      <c r="B989" s="405">
        <v>1</v>
      </c>
      <c r="C989" s="404">
        <v>46191</v>
      </c>
      <c r="D989" s="386">
        <f t="shared" ca="1" si="48"/>
        <v>36</v>
      </c>
      <c r="E989" s="170" t="str">
        <f t="shared" si="53"/>
        <v>ADMITIDO</v>
      </c>
      <c r="F989" s="397" t="s">
        <v>171</v>
      </c>
      <c r="G989" s="392" t="s">
        <v>43</v>
      </c>
      <c r="H989" s="139" t="s">
        <v>40</v>
      </c>
      <c r="I989" s="139" t="str">
        <f>IF(X989="ADMITIDO","ADMITIDO",IF(X989="CANCELADA","CANCELADA",IF(H989="","",IFERROR(_xlfn.XLOOKUP(H989,Listas!I:I,Listas!J:J),"OUTROS"))))</f>
        <v>ADMITIDO</v>
      </c>
      <c r="J989" s="427" t="s">
        <v>787</v>
      </c>
      <c r="K989" s="428" t="s">
        <v>360</v>
      </c>
      <c r="L989" s="428" t="s">
        <v>336</v>
      </c>
      <c r="M989" s="428"/>
      <c r="N989" s="428" t="s">
        <v>337</v>
      </c>
      <c r="O989" s="308" t="s">
        <v>34</v>
      </c>
      <c r="P989" s="308" t="s">
        <v>35</v>
      </c>
      <c r="Q989" s="308" t="s">
        <v>36</v>
      </c>
      <c r="R989" s="431"/>
      <c r="S989" s="432" t="s">
        <v>2643</v>
      </c>
      <c r="T989" s="349">
        <v>15991365189</v>
      </c>
      <c r="U989" s="189" t="s">
        <v>67</v>
      </c>
      <c r="V989" s="328">
        <v>46192</v>
      </c>
      <c r="W989" s="305" t="s">
        <v>2644</v>
      </c>
      <c r="X989" s="308" t="s">
        <v>40</v>
      </c>
      <c r="Y989" s="309">
        <v>46200</v>
      </c>
      <c r="Z989" s="309">
        <v>46200</v>
      </c>
      <c r="AA989" s="316">
        <v>83358</v>
      </c>
      <c r="AB989" s="350" t="s">
        <v>2645</v>
      </c>
      <c r="AC989" s="351"/>
      <c r="AD989" s="316">
        <v>0</v>
      </c>
    </row>
    <row r="990" spans="1:30" ht="18" customHeight="1">
      <c r="A990" s="237">
        <v>30831</v>
      </c>
      <c r="B990" s="121">
        <v>1</v>
      </c>
      <c r="C990" s="238">
        <v>46191</v>
      </c>
      <c r="D990" s="105">
        <f t="shared" ca="1" si="48"/>
        <v>36</v>
      </c>
      <c r="E990" s="138" t="str">
        <f t="shared" si="53"/>
        <v>ADMITIDO</v>
      </c>
      <c r="F990" s="230" t="s">
        <v>28</v>
      </c>
      <c r="G990" s="147" t="s">
        <v>29</v>
      </c>
      <c r="H990" s="117" t="s">
        <v>40</v>
      </c>
      <c r="I990" s="117" t="str">
        <f>IF(X990="ADMITIDO","ADMITIDO",IF(X990="CANCELADA","CANCELADA",IF(H990="","",IFERROR(_xlfn.XLOOKUP(H990,Listas!I:I,Listas!J:J),"OUTROS"))))</f>
        <v>ADMITIDO</v>
      </c>
      <c r="J990" s="363" t="s">
        <v>146</v>
      </c>
      <c r="K990" s="240" t="s">
        <v>203</v>
      </c>
      <c r="L990" s="240" t="s">
        <v>147</v>
      </c>
      <c r="M990" s="240"/>
      <c r="N990" s="240" t="s">
        <v>148</v>
      </c>
      <c r="O990" s="119" t="s">
        <v>56</v>
      </c>
      <c r="P990" s="119" t="s">
        <v>35</v>
      </c>
      <c r="Q990" s="119" t="s">
        <v>176</v>
      </c>
      <c r="R990" s="234"/>
      <c r="S990" s="273"/>
      <c r="T990" s="324" t="s">
        <v>2646</v>
      </c>
      <c r="U990" s="73" t="s">
        <v>38</v>
      </c>
      <c r="V990" s="216" t="s">
        <v>2589</v>
      </c>
      <c r="W990" s="118" t="s">
        <v>2647</v>
      </c>
      <c r="X990" s="334" t="s">
        <v>40</v>
      </c>
      <c r="Y990" s="120">
        <v>46197</v>
      </c>
      <c r="Z990" s="120">
        <v>46198</v>
      </c>
      <c r="AA990" s="244">
        <v>914502</v>
      </c>
      <c r="AB990" s="312"/>
      <c r="AC990" s="241"/>
      <c r="AD990" s="244">
        <v>0</v>
      </c>
    </row>
    <row r="991" spans="1:30" ht="18" customHeight="1">
      <c r="A991" s="396">
        <v>30823</v>
      </c>
      <c r="B991" s="405">
        <v>1</v>
      </c>
      <c r="C991" s="404">
        <v>46191</v>
      </c>
      <c r="D991" s="386">
        <f t="shared" ca="1" si="48"/>
        <v>36</v>
      </c>
      <c r="E991" s="170" t="str">
        <f t="shared" si="53"/>
        <v>ADMITIDO</v>
      </c>
      <c r="F991" s="397" t="s">
        <v>28</v>
      </c>
      <c r="G991" s="392" t="s">
        <v>102</v>
      </c>
      <c r="H991" s="139" t="s">
        <v>181</v>
      </c>
      <c r="I991" s="139" t="str">
        <f>IF(X991="ADMITIDO","ADMITIDO",IF(X991="CANCELADA","CANCELADA",IF(H991="","",IFERROR(_xlfn.XLOOKUP(H991,Listas!I:I,Listas!J:J),"OUTROS"))))</f>
        <v>ADMITIDO</v>
      </c>
      <c r="J991" s="240" t="s">
        <v>268</v>
      </c>
      <c r="K991" s="240" t="s">
        <v>1820</v>
      </c>
      <c r="L991" s="240" t="s">
        <v>953</v>
      </c>
      <c r="M991" s="240"/>
      <c r="N991" s="240" t="s">
        <v>63</v>
      </c>
      <c r="O991" s="119" t="s">
        <v>34</v>
      </c>
      <c r="P991" s="119" t="s">
        <v>35</v>
      </c>
      <c r="Q991" s="119" t="s">
        <v>36</v>
      </c>
      <c r="R991" s="273"/>
      <c r="S991" s="437" t="s">
        <v>1533</v>
      </c>
      <c r="T991" s="274"/>
      <c r="U991" s="327" t="s">
        <v>109</v>
      </c>
      <c r="V991" s="315">
        <v>46219</v>
      </c>
      <c r="W991" s="310" t="s">
        <v>2648</v>
      </c>
      <c r="X991" s="308" t="s">
        <v>40</v>
      </c>
      <c r="Y991" s="309">
        <v>46223</v>
      </c>
      <c r="Z991" s="309">
        <v>46224</v>
      </c>
      <c r="AA991" s="316">
        <v>914659</v>
      </c>
      <c r="AB991" s="241" t="s">
        <v>2649</v>
      </c>
      <c r="AC991" s="241"/>
      <c r="AD991" s="244">
        <v>1</v>
      </c>
    </row>
    <row r="992" spans="1:30" ht="18" customHeight="1">
      <c r="A992" s="237">
        <v>30837</v>
      </c>
      <c r="B992" s="121">
        <v>1</v>
      </c>
      <c r="C992" s="238">
        <v>46192</v>
      </c>
      <c r="D992" s="105">
        <f t="shared" ref="D992:D1001" ca="1" si="54">TODAY()-C992</f>
        <v>35</v>
      </c>
      <c r="E992" s="138" t="str">
        <f t="shared" ref="E992:E1004" si="55">IF(X992="ADMITIDO","ADMITIDO",IF(X992="CANCELADA","CANCELADA",IF(H992="","",IF(H992="ADMITIDO","ADMITIDO",IF(H992="CANCELADA","CANCELADA",IF(OR(H992="ANALISE CANCELAMENTO",H992="ANÁLISE CANCELAMENTO"),"EM ANÁLISE",IF(D992="","",IF(D992&lt;=7,"NO PRAZO",IF(D992&lt;=14,"ATENÇÃO","CRÍTICO")))))))))</f>
        <v>ADMITIDO</v>
      </c>
      <c r="F992" s="230" t="s">
        <v>42</v>
      </c>
      <c r="G992" s="147" t="s">
        <v>43</v>
      </c>
      <c r="H992" s="117" t="s">
        <v>40</v>
      </c>
      <c r="I992" s="117" t="str">
        <f>IF(X992="ADMITIDO","ADMITIDO",IF(X992="CANCELADA","CANCELADA",IF(H992="","",IFERROR(_xlfn.XLOOKUP(H992,Listas!I:I,Listas!J:J),"OUTROS"))))</f>
        <v>ADMITIDO</v>
      </c>
      <c r="J992" s="240" t="s">
        <v>53</v>
      </c>
      <c r="K992" s="240" t="s">
        <v>45</v>
      </c>
      <c r="L992" s="240" t="s">
        <v>156</v>
      </c>
      <c r="M992" s="240"/>
      <c r="N992" s="240" t="s">
        <v>97</v>
      </c>
      <c r="O992" s="119" t="s">
        <v>2650</v>
      </c>
      <c r="P992" s="119" t="s">
        <v>57</v>
      </c>
      <c r="Q992" s="119" t="s">
        <v>94</v>
      </c>
      <c r="R992" s="234"/>
      <c r="S992" s="273" t="s">
        <v>1430</v>
      </c>
      <c r="T992" s="273">
        <v>11961255543</v>
      </c>
      <c r="U992" s="73" t="s">
        <v>50</v>
      </c>
      <c r="V992" s="216">
        <v>46205</v>
      </c>
      <c r="W992" s="118" t="s">
        <v>2651</v>
      </c>
      <c r="X992" s="119" t="s">
        <v>40</v>
      </c>
      <c r="Y992" s="120">
        <v>46211</v>
      </c>
      <c r="Z992" s="120">
        <v>46213</v>
      </c>
      <c r="AA992" s="244">
        <v>914590</v>
      </c>
      <c r="AB992" s="241" t="s">
        <v>2652</v>
      </c>
      <c r="AC992" s="241"/>
      <c r="AD992" s="244">
        <v>0</v>
      </c>
    </row>
    <row r="993" spans="1:30" ht="18" customHeight="1">
      <c r="A993" s="374">
        <v>30839</v>
      </c>
      <c r="B993" s="376">
        <v>1</v>
      </c>
      <c r="C993" s="375">
        <v>46192</v>
      </c>
      <c r="D993" s="367">
        <f t="shared" ca="1" si="54"/>
        <v>35</v>
      </c>
      <c r="E993" s="368" t="str">
        <f t="shared" si="55"/>
        <v>ADMITIDO</v>
      </c>
      <c r="F993" s="371" t="s">
        <v>42</v>
      </c>
      <c r="G993" s="369" t="s">
        <v>43</v>
      </c>
      <c r="H993" s="146" t="s">
        <v>40</v>
      </c>
      <c r="I993" s="146" t="str">
        <f>IF(X993="ADMITIDO","ADMITIDO",IF(X993="CANCELADA","CANCELADA",IF(H993="","",IFERROR(_xlfn.XLOOKUP(H993,Listas!I:I,Listas!J:J),"OUTROS"))))</f>
        <v>ADMITIDO</v>
      </c>
      <c r="J993" s="240" t="s">
        <v>53</v>
      </c>
      <c r="K993" s="240" t="s">
        <v>45</v>
      </c>
      <c r="L993" s="240" t="s">
        <v>156</v>
      </c>
      <c r="M993" s="240"/>
      <c r="N993" s="240" t="s">
        <v>97</v>
      </c>
      <c r="O993" s="119" t="s">
        <v>34</v>
      </c>
      <c r="P993" s="119" t="s">
        <v>57</v>
      </c>
      <c r="Q993" s="119" t="s">
        <v>308</v>
      </c>
      <c r="R993" s="234" t="s">
        <v>2653</v>
      </c>
      <c r="S993" s="273" t="s">
        <v>1934</v>
      </c>
      <c r="T993" s="273">
        <v>11997968355</v>
      </c>
      <c r="U993" s="73" t="s">
        <v>50</v>
      </c>
      <c r="V993" s="216">
        <v>46209</v>
      </c>
      <c r="W993" s="118" t="s">
        <v>2654</v>
      </c>
      <c r="X993" s="119" t="s">
        <v>40</v>
      </c>
      <c r="Y993" s="120">
        <v>46213</v>
      </c>
      <c r="Z993" s="120">
        <v>46216</v>
      </c>
      <c r="AA993" s="244">
        <v>914608</v>
      </c>
      <c r="AB993" s="241" t="s">
        <v>2655</v>
      </c>
      <c r="AC993" s="241"/>
      <c r="AD993" s="244">
        <v>0</v>
      </c>
    </row>
    <row r="994" spans="1:30" ht="18" customHeight="1">
      <c r="A994" s="374">
        <v>30834</v>
      </c>
      <c r="B994" s="376">
        <v>1</v>
      </c>
      <c r="C994" s="375">
        <v>46192</v>
      </c>
      <c r="D994" s="367">
        <f t="shared" ca="1" si="54"/>
        <v>35</v>
      </c>
      <c r="E994" s="368" t="str">
        <f t="shared" si="55"/>
        <v>ADMITIDO</v>
      </c>
      <c r="F994" s="371" t="s">
        <v>42</v>
      </c>
      <c r="G994" s="369" t="s">
        <v>29</v>
      </c>
      <c r="H994" s="146" t="s">
        <v>40</v>
      </c>
      <c r="I994" s="480" t="str">
        <f>IF(X994="ADMITIDO","ADMITIDO",IF(X994="CANCELADA","CANCELADA",IF(H994="","",IFERROR(_xlfn.XLOOKUP(H994,Listas!I:I,Listas!J:J),"OUTROS"))))</f>
        <v>ADMITIDO</v>
      </c>
      <c r="J994" s="414" t="s">
        <v>992</v>
      </c>
      <c r="K994" s="415" t="s">
        <v>228</v>
      </c>
      <c r="L994" s="415" t="s">
        <v>229</v>
      </c>
      <c r="M994" s="415"/>
      <c r="N994" s="415" t="s">
        <v>88</v>
      </c>
      <c r="O994" s="303" t="s">
        <v>34</v>
      </c>
      <c r="P994" s="303" t="s">
        <v>35</v>
      </c>
      <c r="Q994" s="303" t="s">
        <v>287</v>
      </c>
      <c r="R994" s="418" t="s">
        <v>2198</v>
      </c>
      <c r="S994" s="273"/>
      <c r="T994" s="274" t="s">
        <v>2656</v>
      </c>
      <c r="U994" s="73" t="s">
        <v>38</v>
      </c>
      <c r="V994" s="216" t="s">
        <v>2657</v>
      </c>
      <c r="W994" s="118" t="s">
        <v>2658</v>
      </c>
      <c r="X994" s="119" t="s">
        <v>40</v>
      </c>
      <c r="Y994" s="120">
        <v>46198</v>
      </c>
      <c r="Z994" s="120">
        <v>46199</v>
      </c>
      <c r="AA994" s="244">
        <v>146148</v>
      </c>
      <c r="AB994" s="241"/>
      <c r="AC994" s="241"/>
      <c r="AD994" s="244">
        <v>0</v>
      </c>
    </row>
    <row r="995" spans="1:30" ht="18" customHeight="1">
      <c r="A995" s="374">
        <v>30840</v>
      </c>
      <c r="B995" s="376">
        <v>1</v>
      </c>
      <c r="C995" s="375">
        <v>46192</v>
      </c>
      <c r="D995" s="367">
        <f t="shared" ca="1" si="54"/>
        <v>35</v>
      </c>
      <c r="E995" s="368" t="str">
        <f t="shared" si="55"/>
        <v>ADMITIDO</v>
      </c>
      <c r="F995" s="371" t="s">
        <v>28</v>
      </c>
      <c r="G995" s="369" t="s">
        <v>102</v>
      </c>
      <c r="H995" s="146" t="s">
        <v>40</v>
      </c>
      <c r="I995" s="146" t="str">
        <f>IF(X995="ADMITIDO","ADMITIDO",IF(X995="CANCELADA","CANCELADA",IF(H995="","",IFERROR(_xlfn.XLOOKUP(H995,Listas!I:I,Listas!J:J),"OUTROS"))))</f>
        <v>ADMITIDO</v>
      </c>
      <c r="J995" s="415" t="s">
        <v>670</v>
      </c>
      <c r="K995" s="415" t="s">
        <v>371</v>
      </c>
      <c r="L995" s="415" t="s">
        <v>671</v>
      </c>
      <c r="M995" s="415"/>
      <c r="N995" s="240" t="s">
        <v>672</v>
      </c>
      <c r="O995" s="119" t="s">
        <v>34</v>
      </c>
      <c r="P995" s="119" t="s">
        <v>35</v>
      </c>
      <c r="Q995" s="119" t="s">
        <v>36</v>
      </c>
      <c r="R995" s="273"/>
      <c r="S995" s="476" t="s">
        <v>1533</v>
      </c>
      <c r="T995" s="274" t="s">
        <v>2659</v>
      </c>
      <c r="U995" s="73" t="s">
        <v>76</v>
      </c>
      <c r="V995" s="216">
        <v>46220</v>
      </c>
      <c r="W995" s="118" t="s">
        <v>2660</v>
      </c>
      <c r="X995" s="119" t="s">
        <v>40</v>
      </c>
      <c r="Y995" s="120">
        <v>46225</v>
      </c>
      <c r="Z995" s="120">
        <v>46226</v>
      </c>
      <c r="AA995" s="244"/>
      <c r="AB995" s="241"/>
      <c r="AC995" s="241"/>
      <c r="AD995" s="244">
        <v>0</v>
      </c>
    </row>
    <row r="996" spans="1:30" ht="18" customHeight="1">
      <c r="A996" s="486">
        <v>30833</v>
      </c>
      <c r="B996" s="487">
        <v>1</v>
      </c>
      <c r="C996" s="488">
        <v>46192</v>
      </c>
      <c r="D996" s="489">
        <f t="shared" ca="1" si="54"/>
        <v>35</v>
      </c>
      <c r="E996" s="490" t="str">
        <f t="shared" ca="1" si="55"/>
        <v>CRÍTICO</v>
      </c>
      <c r="F996" s="491" t="s">
        <v>42</v>
      </c>
      <c r="G996" s="492" t="s">
        <v>102</v>
      </c>
      <c r="H996" s="493" t="s">
        <v>181</v>
      </c>
      <c r="I996" s="493" t="str">
        <f>IF(X996="ADMITIDO","ADMITIDO",IF(X996="CANCELADA","CANCELADA",IF(H996="","",IFERROR(_xlfn.XLOOKUP(H996,Listas!I:I,Listas!J:J),"OUTROS"))))</f>
        <v>DOCUMENTAÇÃO</v>
      </c>
      <c r="J996" s="494" t="s">
        <v>53</v>
      </c>
      <c r="K996" s="494" t="s">
        <v>103</v>
      </c>
      <c r="L996" s="494" t="s">
        <v>273</v>
      </c>
      <c r="M996" s="600"/>
      <c r="N996" s="464" t="s">
        <v>274</v>
      </c>
      <c r="O996" s="306" t="s">
        <v>34</v>
      </c>
      <c r="P996" s="306" t="s">
        <v>48</v>
      </c>
      <c r="Q996" s="306" t="s">
        <v>79</v>
      </c>
      <c r="R996" s="437"/>
      <c r="S996" s="419" t="s">
        <v>1533</v>
      </c>
      <c r="T996" s="345" t="s">
        <v>2661</v>
      </c>
      <c r="U996" s="326" t="s">
        <v>67</v>
      </c>
      <c r="V996" s="313">
        <v>46226</v>
      </c>
      <c r="W996" s="302" t="s">
        <v>2662</v>
      </c>
      <c r="X996" s="303" t="s">
        <v>284</v>
      </c>
      <c r="Y996" s="304"/>
      <c r="Z996" s="304"/>
      <c r="AA996" s="314"/>
      <c r="AB996" s="346"/>
      <c r="AC996" s="346"/>
      <c r="AD996" s="314">
        <v>0</v>
      </c>
    </row>
    <row r="997" spans="1:30" ht="18" customHeight="1">
      <c r="A997" s="396">
        <v>30838</v>
      </c>
      <c r="B997" s="405">
        <v>1</v>
      </c>
      <c r="C997" s="404">
        <v>46192</v>
      </c>
      <c r="D997" s="386">
        <f t="shared" ca="1" si="54"/>
        <v>35</v>
      </c>
      <c r="E997" s="170" t="str">
        <f t="shared" si="55"/>
        <v>ADMITIDO</v>
      </c>
      <c r="F997" s="397" t="s">
        <v>28</v>
      </c>
      <c r="G997" s="392" t="s">
        <v>60</v>
      </c>
      <c r="H997" s="146" t="s">
        <v>40</v>
      </c>
      <c r="I997" s="139" t="str">
        <f>IF(X997="ADMITIDO","ADMITIDO",IF(X997="CANCELADA","CANCELADA",IF(H997="","",IFERROR(_xlfn.XLOOKUP(H997,Listas!I:I,Listas!J:J),"OUTROS"))))</f>
        <v>ADMITIDO</v>
      </c>
      <c r="J997" s="428" t="s">
        <v>586</v>
      </c>
      <c r="K997" s="428" t="s">
        <v>318</v>
      </c>
      <c r="L997" s="428" t="s">
        <v>1173</v>
      </c>
      <c r="M997" s="428"/>
      <c r="N997" s="240" t="s">
        <v>1174</v>
      </c>
      <c r="O997" s="119" t="s">
        <v>56</v>
      </c>
      <c r="P997" s="119" t="s">
        <v>35</v>
      </c>
      <c r="Q997" s="119" t="s">
        <v>176</v>
      </c>
      <c r="R997" s="234"/>
      <c r="S997" s="273" t="s">
        <v>1533</v>
      </c>
      <c r="T997" s="274" t="s">
        <v>2663</v>
      </c>
      <c r="U997" s="73" t="s">
        <v>67</v>
      </c>
      <c r="V997" s="216">
        <v>46203</v>
      </c>
      <c r="W997" s="118" t="s">
        <v>2664</v>
      </c>
      <c r="X997" s="119" t="s">
        <v>40</v>
      </c>
      <c r="Y997" s="120">
        <v>46205</v>
      </c>
      <c r="Z997" s="120">
        <v>46207</v>
      </c>
      <c r="AA997" s="244">
        <v>914575</v>
      </c>
      <c r="AB997" s="241"/>
      <c r="AC997" s="241"/>
      <c r="AD997" s="244">
        <v>0</v>
      </c>
    </row>
    <row r="998" spans="1:30" ht="18" customHeight="1">
      <c r="A998" s="396">
        <v>30843</v>
      </c>
      <c r="B998" s="405">
        <v>1</v>
      </c>
      <c r="C998" s="404">
        <v>46192</v>
      </c>
      <c r="D998" s="386">
        <f t="shared" ca="1" si="54"/>
        <v>35</v>
      </c>
      <c r="E998" s="170" t="str">
        <f t="shared" si="55"/>
        <v>ADMITIDO</v>
      </c>
      <c r="F998" s="397" t="s">
        <v>42</v>
      </c>
      <c r="G998" s="392" t="s">
        <v>167</v>
      </c>
      <c r="H998" s="146" t="s">
        <v>40</v>
      </c>
      <c r="I998" s="139" t="str">
        <f>IF(X998="ADMITIDO","ADMITIDO",IF(X998="CANCELADA","CANCELADA",IF(H998="","",IFERROR(_xlfn.XLOOKUP(H998,Listas!I:I,Listas!J:J),"OUTROS"))))</f>
        <v>ADMITIDO</v>
      </c>
      <c r="J998" s="427" t="s">
        <v>53</v>
      </c>
      <c r="K998" s="428" t="s">
        <v>699</v>
      </c>
      <c r="L998" s="428" t="s">
        <v>2665</v>
      </c>
      <c r="M998" s="428"/>
      <c r="N998" s="428" t="s">
        <v>2666</v>
      </c>
      <c r="O998" s="308" t="s">
        <v>34</v>
      </c>
      <c r="P998" s="308" t="s">
        <v>57</v>
      </c>
      <c r="Q998" s="308" t="s">
        <v>98</v>
      </c>
      <c r="R998" s="431"/>
      <c r="S998" s="432"/>
      <c r="T998" s="352"/>
      <c r="U998" s="327" t="s">
        <v>132</v>
      </c>
      <c r="V998" s="315">
        <v>46192</v>
      </c>
      <c r="W998" s="310" t="s">
        <v>2667</v>
      </c>
      <c r="X998" s="308" t="s">
        <v>40</v>
      </c>
      <c r="Y998" s="309">
        <v>46197</v>
      </c>
      <c r="Z998" s="309">
        <v>46197</v>
      </c>
      <c r="AA998" s="316">
        <v>146154</v>
      </c>
      <c r="AB998" s="351" t="s">
        <v>2668</v>
      </c>
      <c r="AC998" s="351"/>
      <c r="AD998" s="316">
        <v>0</v>
      </c>
    </row>
    <row r="999" spans="1:30" ht="18" customHeight="1">
      <c r="A999" s="237">
        <v>30843</v>
      </c>
      <c r="B999" s="121">
        <v>1</v>
      </c>
      <c r="C999" s="238">
        <v>46192</v>
      </c>
      <c r="D999" s="105">
        <f t="shared" ca="1" si="54"/>
        <v>35</v>
      </c>
      <c r="E999" s="138" t="str">
        <f t="shared" si="55"/>
        <v>ADMITIDO</v>
      </c>
      <c r="F999" s="230" t="s">
        <v>42</v>
      </c>
      <c r="G999" s="147" t="s">
        <v>167</v>
      </c>
      <c r="H999" s="146" t="s">
        <v>40</v>
      </c>
      <c r="I999" s="117" t="str">
        <f>IF(X999="ADMITIDO","ADMITIDO",IF(X999="CANCELADA","CANCELADA",IF(H999="","",IFERROR(_xlfn.XLOOKUP(H999,Listas!I:I,Listas!J:J),"OUTROS"))))</f>
        <v>ADMITIDO</v>
      </c>
      <c r="J999" s="363" t="s">
        <v>53</v>
      </c>
      <c r="K999" s="240" t="s">
        <v>699</v>
      </c>
      <c r="L999" s="240" t="s">
        <v>2665</v>
      </c>
      <c r="M999" s="240"/>
      <c r="N999" s="240" t="s">
        <v>2666</v>
      </c>
      <c r="O999" s="119" t="s">
        <v>34</v>
      </c>
      <c r="P999" s="119" t="s">
        <v>57</v>
      </c>
      <c r="Q999" s="119" t="s">
        <v>98</v>
      </c>
      <c r="R999" s="234"/>
      <c r="S999" s="273"/>
      <c r="T999" s="274"/>
      <c r="U999" s="326" t="s">
        <v>132</v>
      </c>
      <c r="V999" s="313">
        <v>46195</v>
      </c>
      <c r="W999" s="302" t="s">
        <v>2669</v>
      </c>
      <c r="X999" s="303" t="s">
        <v>40</v>
      </c>
      <c r="Y999" s="304">
        <v>46197</v>
      </c>
      <c r="Z999" s="304">
        <v>46197</v>
      </c>
      <c r="AA999" s="314">
        <v>146155</v>
      </c>
      <c r="AB999" s="241" t="s">
        <v>2668</v>
      </c>
      <c r="AC999" s="241"/>
      <c r="AD999" s="244"/>
    </row>
    <row r="1000" spans="1:30" ht="18" customHeight="1">
      <c r="A1000" s="402">
        <v>30844</v>
      </c>
      <c r="B1000" s="406">
        <v>1</v>
      </c>
      <c r="C1000" s="403">
        <v>46192</v>
      </c>
      <c r="D1000" s="380">
        <f t="shared" ca="1" si="54"/>
        <v>35</v>
      </c>
      <c r="E1000" s="381" t="str">
        <f t="shared" si="55"/>
        <v>ADMITIDO</v>
      </c>
      <c r="F1000" s="395" t="s">
        <v>42</v>
      </c>
      <c r="G1000" s="390" t="s">
        <v>167</v>
      </c>
      <c r="H1000" s="146" t="s">
        <v>40</v>
      </c>
      <c r="I1000" s="382" t="str">
        <f>IF(X1000="ADMITIDO","ADMITIDO",IF(X1000="CANCELADA","CANCELADA",IF(H1000="","",IFERROR(_xlfn.XLOOKUP(H1000,Listas!I:I,Listas!J:J),"OUTROS"))))</f>
        <v>ADMITIDO</v>
      </c>
      <c r="J1000" s="240" t="s">
        <v>44</v>
      </c>
      <c r="K1000" s="240" t="s">
        <v>699</v>
      </c>
      <c r="L1000" s="240" t="s">
        <v>2665</v>
      </c>
      <c r="M1000" s="240"/>
      <c r="N1000" s="240" t="s">
        <v>2666</v>
      </c>
      <c r="O1000" s="119" t="s">
        <v>34</v>
      </c>
      <c r="P1000" s="119" t="s">
        <v>57</v>
      </c>
      <c r="Q1000" s="119" t="s">
        <v>98</v>
      </c>
      <c r="R1000" s="234"/>
      <c r="S1000" s="273"/>
      <c r="T1000" s="324"/>
      <c r="U1000" s="73" t="s">
        <v>132</v>
      </c>
      <c r="V1000" s="216">
        <v>46192</v>
      </c>
      <c r="W1000" s="118" t="s">
        <v>2670</v>
      </c>
      <c r="X1000" s="119" t="s">
        <v>40</v>
      </c>
      <c r="Y1000" s="120">
        <v>46202</v>
      </c>
      <c r="Z1000" s="120">
        <v>46204</v>
      </c>
      <c r="AA1000" s="244"/>
      <c r="AB1000" s="312" t="s">
        <v>2671</v>
      </c>
      <c r="AC1000" s="241"/>
      <c r="AD1000" s="244">
        <v>0</v>
      </c>
    </row>
    <row r="1001" spans="1:30" ht="18" customHeight="1">
      <c r="A1001" s="237">
        <v>30841</v>
      </c>
      <c r="B1001" s="121">
        <v>1</v>
      </c>
      <c r="C1001" s="238">
        <v>46192</v>
      </c>
      <c r="D1001" s="105">
        <f t="shared" ca="1" si="54"/>
        <v>35</v>
      </c>
      <c r="E1001" s="138" t="str">
        <f t="shared" si="55"/>
        <v>ADMITIDO</v>
      </c>
      <c r="F1001" s="230" t="s">
        <v>28</v>
      </c>
      <c r="G1001" s="147" t="s">
        <v>167</v>
      </c>
      <c r="H1001" s="146" t="s">
        <v>40</v>
      </c>
      <c r="I1001" s="117" t="str">
        <f>IF(X1001="ADMITIDO","ADMITIDO",IF(X1001="CANCELADA","CANCELADA",IF(H1001="","",IFERROR(_xlfn.XLOOKUP(H1001,Listas!I:I,Listas!J:J),"OUTROS"))))</f>
        <v>ADMITIDO</v>
      </c>
      <c r="J1001" s="363" t="s">
        <v>268</v>
      </c>
      <c r="K1001" s="240" t="s">
        <v>699</v>
      </c>
      <c r="L1001" s="240" t="s">
        <v>2665</v>
      </c>
      <c r="M1001" s="240"/>
      <c r="N1001" s="240" t="s">
        <v>2666</v>
      </c>
      <c r="O1001" s="119" t="s">
        <v>34</v>
      </c>
      <c r="P1001" s="119" t="s">
        <v>35</v>
      </c>
      <c r="Q1001" s="119" t="s">
        <v>612</v>
      </c>
      <c r="R1001" s="234"/>
      <c r="S1001" s="273"/>
      <c r="T1001" s="274" t="s">
        <v>2672</v>
      </c>
      <c r="U1001" s="327" t="s">
        <v>132</v>
      </c>
      <c r="V1001" s="315">
        <v>46192</v>
      </c>
      <c r="W1001" s="310" t="s">
        <v>2673</v>
      </c>
      <c r="X1001" s="308" t="s">
        <v>40</v>
      </c>
      <c r="Y1001" s="309">
        <v>46197</v>
      </c>
      <c r="Z1001" s="309">
        <v>46167</v>
      </c>
      <c r="AA1001" s="316">
        <v>914523</v>
      </c>
      <c r="AB1001" s="241" t="s">
        <v>2674</v>
      </c>
      <c r="AC1001" s="241"/>
      <c r="AD1001" s="244">
        <v>0</v>
      </c>
    </row>
    <row r="1002" spans="1:30" ht="18" customHeight="1">
      <c r="A1002" s="237">
        <v>30841</v>
      </c>
      <c r="B1002" s="121">
        <v>1</v>
      </c>
      <c r="C1002" s="238">
        <v>46192</v>
      </c>
      <c r="D1002" s="105">
        <v>3</v>
      </c>
      <c r="E1002" s="381" t="str">
        <f t="shared" si="55"/>
        <v>ADMITIDO</v>
      </c>
      <c r="F1002" s="230" t="s">
        <v>28</v>
      </c>
      <c r="G1002" s="147" t="s">
        <v>167</v>
      </c>
      <c r="H1002" s="146" t="s">
        <v>40</v>
      </c>
      <c r="I1002" s="117" t="str">
        <f>IF(X1002="ADMITIDO","ADMITIDO",IF(X1002="CANCELADA","CANCELADA",IF(H1002="","",IFERROR(_xlfn.XLOOKUP(H1002,Listas!I:I,Listas!J:J),"OUTROS"))))</f>
        <v>ADMITIDO</v>
      </c>
      <c r="J1002" s="363" t="s">
        <v>268</v>
      </c>
      <c r="K1002" s="240" t="s">
        <v>699</v>
      </c>
      <c r="L1002" s="240" t="s">
        <v>2665</v>
      </c>
      <c r="M1002" s="240"/>
      <c r="N1002" s="240" t="s">
        <v>2666</v>
      </c>
      <c r="O1002" s="119" t="s">
        <v>34</v>
      </c>
      <c r="P1002" s="119" t="s">
        <v>35</v>
      </c>
      <c r="Q1002" s="119" t="s">
        <v>612</v>
      </c>
      <c r="R1002" s="234"/>
      <c r="S1002" s="273"/>
      <c r="T1002" s="274" t="s">
        <v>2675</v>
      </c>
      <c r="U1002" s="73" t="s">
        <v>132</v>
      </c>
      <c r="V1002" s="216">
        <v>46192</v>
      </c>
      <c r="W1002" s="118" t="s">
        <v>2676</v>
      </c>
      <c r="X1002" s="119" t="s">
        <v>40</v>
      </c>
      <c r="Y1002" s="120">
        <v>46199</v>
      </c>
      <c r="Z1002" s="120">
        <v>46199</v>
      </c>
      <c r="AA1002" s="244">
        <v>914530</v>
      </c>
      <c r="AB1002" s="241" t="s">
        <v>2677</v>
      </c>
      <c r="AC1002" s="241"/>
      <c r="AD1002" s="244"/>
    </row>
    <row r="1003" spans="1:30" ht="18" customHeight="1">
      <c r="A1003" s="237">
        <v>30842</v>
      </c>
      <c r="B1003" s="121">
        <v>1</v>
      </c>
      <c r="C1003" s="238">
        <v>46192</v>
      </c>
      <c r="D1003" s="105">
        <f ca="1">TODAY()-C1003</f>
        <v>35</v>
      </c>
      <c r="E1003" s="138" t="str">
        <f>IF(X1003="ADMITIDO","ADMITIDO",IF(X1003="CANCELADA","CANCELADA",IF(H1003="","",IF(H1003="ADMITIDO","ADMITIDO",IF(H1003="CANCELADA","CANCELADA",IF(OR(H1003="ANALISE CANCELAMENTO",H1003="ANÁLISE CANCELAMENTO"),"EM ANÁLISE",IF(D1003="","",IF(D1003&lt;=7,"NO PRAZO",IF(D1003&lt;=14,"ATENÇÃO","CRÍTICO")))))))))</f>
        <v>ADMITIDO</v>
      </c>
      <c r="F1003" s="230" t="s">
        <v>28</v>
      </c>
      <c r="G1003" s="147" t="s">
        <v>167</v>
      </c>
      <c r="H1003" s="117" t="s">
        <v>40</v>
      </c>
      <c r="I1003" s="117" t="str">
        <f>IF(X1003="ADMITIDO","ADMITIDO",IF(X1003="CANCELADA","CANCELADA",IF(H1003="","",IFERROR(_xlfn.XLOOKUP(H1003,Listas!I:I,Listas!J:J),"OUTROS"))))</f>
        <v>ADMITIDO</v>
      </c>
      <c r="J1003" s="363" t="s">
        <v>268</v>
      </c>
      <c r="K1003" s="240" t="s">
        <v>699</v>
      </c>
      <c r="L1003" s="240" t="s">
        <v>2665</v>
      </c>
      <c r="M1003" s="240"/>
      <c r="N1003" s="240" t="s">
        <v>2666</v>
      </c>
      <c r="O1003" s="119" t="s">
        <v>56</v>
      </c>
      <c r="P1003" s="119" t="s">
        <v>35</v>
      </c>
      <c r="Q1003" s="119" t="s">
        <v>760</v>
      </c>
      <c r="R1003" s="234"/>
      <c r="S1003" s="273"/>
      <c r="T1003" s="274"/>
      <c r="U1003" s="73" t="s">
        <v>132</v>
      </c>
      <c r="V1003" s="216">
        <v>46192</v>
      </c>
      <c r="W1003" s="118" t="s">
        <v>2678</v>
      </c>
      <c r="X1003" s="119" t="s">
        <v>40</v>
      </c>
      <c r="Y1003" s="120">
        <v>46197</v>
      </c>
      <c r="Z1003" s="120">
        <v>46197</v>
      </c>
      <c r="AA1003" s="244">
        <v>914522</v>
      </c>
      <c r="AB1003" s="241" t="s">
        <v>2679</v>
      </c>
      <c r="AC1003" s="241"/>
      <c r="AD1003" s="244">
        <v>0</v>
      </c>
    </row>
    <row r="1004" spans="1:30" ht="18" customHeight="1">
      <c r="A1004" s="237">
        <v>30842</v>
      </c>
      <c r="B1004" s="121">
        <v>1</v>
      </c>
      <c r="C1004" s="238">
        <v>46192</v>
      </c>
      <c r="D1004" s="105">
        <v>3</v>
      </c>
      <c r="E1004" s="381" t="str">
        <f t="shared" si="55"/>
        <v>ADMITIDO</v>
      </c>
      <c r="F1004" s="230" t="s">
        <v>28</v>
      </c>
      <c r="G1004" s="147" t="s">
        <v>167</v>
      </c>
      <c r="H1004" s="117" t="s">
        <v>40</v>
      </c>
      <c r="I1004" s="117" t="str">
        <f>IF(X1004="ADMITIDO","ADMITIDO",IF(X1004="CANCELADA","CANCELADA",IF(H1004="","",IFERROR(_xlfn.XLOOKUP(H1004,Listas!I:I,Listas!J:J),"OUTROS"))))</f>
        <v>ADMITIDO</v>
      </c>
      <c r="J1004" s="363" t="s">
        <v>268</v>
      </c>
      <c r="K1004" s="240" t="s">
        <v>699</v>
      </c>
      <c r="L1004" s="240" t="s">
        <v>2665</v>
      </c>
      <c r="M1004" s="240"/>
      <c r="N1004" s="240" t="s">
        <v>2666</v>
      </c>
      <c r="O1004" s="119" t="s">
        <v>56</v>
      </c>
      <c r="P1004" s="119" t="s">
        <v>35</v>
      </c>
      <c r="Q1004" s="119" t="s">
        <v>760</v>
      </c>
      <c r="R1004" s="234"/>
      <c r="S1004" s="273"/>
      <c r="T1004" s="274"/>
      <c r="U1004" s="73" t="s">
        <v>132</v>
      </c>
      <c r="V1004" s="216">
        <v>46192</v>
      </c>
      <c r="W1004" s="118" t="s">
        <v>2680</v>
      </c>
      <c r="X1004" s="119" t="s">
        <v>40</v>
      </c>
      <c r="Y1004" s="120">
        <v>46197</v>
      </c>
      <c r="Z1004" s="120">
        <v>46197</v>
      </c>
      <c r="AA1004" s="244">
        <v>914521</v>
      </c>
      <c r="AB1004" s="241" t="s">
        <v>2679</v>
      </c>
      <c r="AC1004" s="241"/>
      <c r="AD1004" s="244">
        <v>0</v>
      </c>
    </row>
    <row r="1005" spans="1:30" ht="18" customHeight="1">
      <c r="A1005" s="237">
        <v>30845</v>
      </c>
      <c r="B1005" s="121">
        <v>1</v>
      </c>
      <c r="C1005" s="238">
        <v>46192</v>
      </c>
      <c r="D1005" s="105">
        <f t="shared" ref="D1005:D1010" ca="1" si="56">TODAY()-C1005</f>
        <v>35</v>
      </c>
      <c r="E1005" s="138" t="str">
        <f t="shared" ref="E1005:E1010" si="57">IF(X1005="ADMITIDO","ADMITIDO",IF(X1005="CANCELADA","CANCELADA",IF(H1005="","",IF(H1005="ADMITIDO","ADMITIDO",IF(H1005="CANCELADA","CANCELADA",IF(OR(H1005="ANALISE CANCELAMENTO",H1005="ANÁLISE CANCELAMENTO"),"EM ANÁLISE",IF(D1005="","",IF(D1005&lt;=7,"NO PRAZO",IF(D1005&lt;=14,"ATENÇÃO","CRÍTICO")))))))))</f>
        <v>ADMITIDO</v>
      </c>
      <c r="F1005" s="230" t="s">
        <v>42</v>
      </c>
      <c r="G1005" s="147" t="s">
        <v>167</v>
      </c>
      <c r="H1005" s="117" t="s">
        <v>40</v>
      </c>
      <c r="I1005" s="117" t="str">
        <f>IF(X1005="ADMITIDO","ADMITIDO",IF(X1005="CANCELADA","CANCELADA",IF(H1005="","",IFERROR(_xlfn.XLOOKUP(H1005,Listas!I:I,Listas!J:J),"OUTROS"))))</f>
        <v>ADMITIDO</v>
      </c>
      <c r="J1005" s="363" t="s">
        <v>782</v>
      </c>
      <c r="K1005" s="240" t="s">
        <v>699</v>
      </c>
      <c r="L1005" s="240" t="s">
        <v>2665</v>
      </c>
      <c r="M1005" s="240"/>
      <c r="N1005" s="240" t="s">
        <v>2666</v>
      </c>
      <c r="O1005" s="119" t="s">
        <v>34</v>
      </c>
      <c r="P1005" s="119" t="s">
        <v>57</v>
      </c>
      <c r="Q1005" s="119" t="s">
        <v>98</v>
      </c>
      <c r="R1005" s="234"/>
      <c r="S1005" s="273"/>
      <c r="T1005" s="274"/>
      <c r="U1005" s="73" t="s">
        <v>132</v>
      </c>
      <c r="V1005" s="216">
        <v>46195</v>
      </c>
      <c r="W1005" s="118" t="s">
        <v>2681</v>
      </c>
      <c r="X1005" s="119" t="s">
        <v>40</v>
      </c>
      <c r="Y1005" s="120">
        <v>46197</v>
      </c>
      <c r="Z1005" s="120">
        <v>46197</v>
      </c>
      <c r="AA1005" s="244">
        <v>146156</v>
      </c>
      <c r="AB1005" s="241" t="s">
        <v>2682</v>
      </c>
      <c r="AC1005" s="241"/>
      <c r="AD1005" s="244">
        <v>0</v>
      </c>
    </row>
    <row r="1006" spans="1:30" ht="18" customHeight="1">
      <c r="A1006" s="237">
        <v>30776</v>
      </c>
      <c r="B1006" s="121">
        <v>1</v>
      </c>
      <c r="C1006" s="238">
        <v>46192</v>
      </c>
      <c r="D1006" s="105">
        <f t="shared" ca="1" si="56"/>
        <v>35</v>
      </c>
      <c r="E1006" s="138" t="str">
        <f t="shared" si="57"/>
        <v>ADMITIDO</v>
      </c>
      <c r="F1006" s="230" t="s">
        <v>28</v>
      </c>
      <c r="G1006" s="147" t="s">
        <v>145</v>
      </c>
      <c r="H1006" s="117" t="s">
        <v>40</v>
      </c>
      <c r="I1006" s="117" t="str">
        <f>IF(X1006="ADMITIDO","ADMITIDO",IF(X1006="CANCELADA","CANCELADA",IF(H1006="","",IFERROR(_xlfn.XLOOKUP(H1006,Listas!I:I,Listas!J:J),"OUTROS"))))</f>
        <v>ADMITIDO</v>
      </c>
      <c r="J1006" s="363" t="s">
        <v>586</v>
      </c>
      <c r="K1006" s="240" t="s">
        <v>1820</v>
      </c>
      <c r="L1006" s="240" t="s">
        <v>2683</v>
      </c>
      <c r="M1006" s="240"/>
      <c r="N1006" s="240" t="s">
        <v>391</v>
      </c>
      <c r="O1006" s="119" t="s">
        <v>34</v>
      </c>
      <c r="P1006" s="119" t="s">
        <v>35</v>
      </c>
      <c r="Q1006" s="119" t="s">
        <v>36</v>
      </c>
      <c r="R1006" s="234"/>
      <c r="S1006" s="273"/>
      <c r="T1006" s="274"/>
      <c r="U1006" s="326" t="s">
        <v>132</v>
      </c>
      <c r="V1006" s="313">
        <v>46192</v>
      </c>
      <c r="W1006" s="302" t="s">
        <v>2684</v>
      </c>
      <c r="X1006" s="303" t="s">
        <v>40</v>
      </c>
      <c r="Y1006" s="304">
        <v>46199</v>
      </c>
      <c r="Z1006" s="304">
        <v>46204</v>
      </c>
      <c r="AA1006" s="314">
        <v>914526</v>
      </c>
      <c r="AB1006" s="241"/>
      <c r="AC1006" s="241"/>
      <c r="AD1006" s="244">
        <v>0</v>
      </c>
    </row>
    <row r="1007" spans="1:30" ht="18" customHeight="1">
      <c r="A1007" s="402">
        <v>30776</v>
      </c>
      <c r="B1007" s="406">
        <v>1</v>
      </c>
      <c r="C1007" s="403">
        <v>46193</v>
      </c>
      <c r="D1007" s="380">
        <f t="shared" ca="1" si="56"/>
        <v>34</v>
      </c>
      <c r="E1007" s="381" t="str">
        <f t="shared" si="57"/>
        <v>ADMITIDO</v>
      </c>
      <c r="F1007" s="395" t="s">
        <v>28</v>
      </c>
      <c r="G1007" s="390" t="s">
        <v>145</v>
      </c>
      <c r="H1007" s="117" t="s">
        <v>40</v>
      </c>
      <c r="I1007" s="382" t="str">
        <f>IF(X1007="ADMITIDO","ADMITIDO",IF(X1007="CANCELADA","CANCELADA",IF(H1007="","",IFERROR(_xlfn.XLOOKUP(H1007,Listas!I:I,Listas!J:J),"OUTROS"))))</f>
        <v>ADMITIDO</v>
      </c>
      <c r="J1007" s="240" t="s">
        <v>85</v>
      </c>
      <c r="K1007" s="240" t="s">
        <v>1820</v>
      </c>
      <c r="L1007" s="240" t="s">
        <v>2683</v>
      </c>
      <c r="M1007" s="240"/>
      <c r="N1007" s="240" t="s">
        <v>391</v>
      </c>
      <c r="O1007" s="119" t="s">
        <v>34</v>
      </c>
      <c r="P1007" s="119" t="s">
        <v>2685</v>
      </c>
      <c r="Q1007" s="119" t="s">
        <v>36</v>
      </c>
      <c r="R1007" s="234"/>
      <c r="S1007" s="273"/>
      <c r="T1007" s="324"/>
      <c r="U1007" s="73" t="s">
        <v>132</v>
      </c>
      <c r="V1007" s="216">
        <v>46195</v>
      </c>
      <c r="W1007" s="118" t="s">
        <v>2686</v>
      </c>
      <c r="X1007" s="119" t="s">
        <v>40</v>
      </c>
      <c r="Y1007" s="120">
        <v>46203</v>
      </c>
      <c r="Z1007" s="120">
        <v>46204</v>
      </c>
      <c r="AA1007" s="244">
        <v>914528</v>
      </c>
      <c r="AB1007" s="312"/>
      <c r="AC1007" s="241"/>
      <c r="AD1007" s="244"/>
    </row>
    <row r="1008" spans="1:30" ht="18" customHeight="1">
      <c r="A1008" s="237">
        <v>30836</v>
      </c>
      <c r="B1008" s="121">
        <v>1</v>
      </c>
      <c r="C1008" s="238">
        <v>46192</v>
      </c>
      <c r="D1008" s="105">
        <f t="shared" ca="1" si="56"/>
        <v>35</v>
      </c>
      <c r="E1008" s="138" t="str">
        <f t="shared" si="57"/>
        <v>ADMITIDO</v>
      </c>
      <c r="F1008" s="371" t="s">
        <v>42</v>
      </c>
      <c r="G1008" s="369" t="s">
        <v>43</v>
      </c>
      <c r="H1008" s="146" t="s">
        <v>40</v>
      </c>
      <c r="I1008" s="146" t="str">
        <f>IF(X1008="ADMITIDO","ADMITIDO",IF(X1008="CANCELADA","CANCELADA",IF(H1008="","",IFERROR(_xlfn.XLOOKUP(H1008,Listas!I:I,Listas!J:J),"OUTROS"))))</f>
        <v>ADMITIDO</v>
      </c>
      <c r="J1008" s="414" t="s">
        <v>53</v>
      </c>
      <c r="K1008" s="415" t="s">
        <v>45</v>
      </c>
      <c r="L1008" s="415" t="s">
        <v>96</v>
      </c>
      <c r="M1008" s="415"/>
      <c r="N1008" s="415" t="s">
        <v>97</v>
      </c>
      <c r="O1008" s="303" t="s">
        <v>34</v>
      </c>
      <c r="P1008" s="303" t="s">
        <v>57</v>
      </c>
      <c r="Q1008" s="119" t="s">
        <v>151</v>
      </c>
      <c r="R1008" s="234"/>
      <c r="S1008" s="273" t="s">
        <v>772</v>
      </c>
      <c r="T1008" s="274">
        <v>11961372917</v>
      </c>
      <c r="U1008" s="327" t="s">
        <v>50</v>
      </c>
      <c r="V1008" s="315">
        <v>46195</v>
      </c>
      <c r="W1008" s="310" t="s">
        <v>2687</v>
      </c>
      <c r="X1008" s="308" t="s">
        <v>40</v>
      </c>
      <c r="Y1008" s="309">
        <v>46197</v>
      </c>
      <c r="Z1008" s="357">
        <v>46197</v>
      </c>
      <c r="AA1008" s="316">
        <v>914506</v>
      </c>
      <c r="AB1008" s="241"/>
      <c r="AC1008" s="241"/>
      <c r="AD1008" s="244">
        <v>0</v>
      </c>
    </row>
    <row r="1009" spans="1:30" ht="18" customHeight="1">
      <c r="A1009" s="402">
        <v>30827</v>
      </c>
      <c r="B1009" s="406">
        <v>1</v>
      </c>
      <c r="C1009" s="403">
        <v>46192</v>
      </c>
      <c r="D1009" s="380">
        <f t="shared" ca="1" si="56"/>
        <v>35</v>
      </c>
      <c r="E1009" s="482" t="str">
        <f t="shared" si="57"/>
        <v>CANCELADA</v>
      </c>
      <c r="F1009" s="230" t="s">
        <v>28</v>
      </c>
      <c r="G1009" s="147" t="s">
        <v>145</v>
      </c>
      <c r="H1009" s="117" t="s">
        <v>52</v>
      </c>
      <c r="I1009" s="117" t="str">
        <f>IF(X1009="ADMITIDO","ADMITIDO",IF(X1009="CANCELADA","CANCELADA",IF(H1009="","",IFERROR(_xlfn.XLOOKUP(H1009,Listas!I:I,Listas!J:J),"OUTROS"))))</f>
        <v>CANCELADA</v>
      </c>
      <c r="J1009" s="240" t="s">
        <v>268</v>
      </c>
      <c r="K1009" s="240" t="s">
        <v>360</v>
      </c>
      <c r="L1009" s="240" t="s">
        <v>2382</v>
      </c>
      <c r="M1009" s="240"/>
      <c r="N1009" s="240" t="s">
        <v>529</v>
      </c>
      <c r="O1009" s="119" t="s">
        <v>34</v>
      </c>
      <c r="P1009" s="119" t="s">
        <v>35</v>
      </c>
      <c r="Q1009" s="334" t="s">
        <v>36</v>
      </c>
      <c r="R1009" s="234"/>
      <c r="S1009" s="273"/>
      <c r="T1009" s="274"/>
      <c r="U1009" s="73"/>
      <c r="V1009" s="216"/>
      <c r="W1009" s="118"/>
      <c r="X1009" s="119"/>
      <c r="Y1009" s="120"/>
      <c r="Z1009" s="120"/>
      <c r="AA1009" s="244"/>
      <c r="AB1009" s="241" t="s">
        <v>2688</v>
      </c>
      <c r="AC1009" s="241"/>
      <c r="AD1009" s="244">
        <v>1</v>
      </c>
    </row>
    <row r="1010" spans="1:30" ht="18" customHeight="1">
      <c r="A1010" s="374">
        <v>30846</v>
      </c>
      <c r="B1010" s="376">
        <v>1</v>
      </c>
      <c r="C1010" s="375">
        <v>46192</v>
      </c>
      <c r="D1010" s="367">
        <f t="shared" ca="1" si="56"/>
        <v>35</v>
      </c>
      <c r="E1010" s="368" t="str">
        <f t="shared" si="57"/>
        <v>ADMITIDO</v>
      </c>
      <c r="F1010" s="395" t="s">
        <v>42</v>
      </c>
      <c r="G1010" s="390" t="s">
        <v>69</v>
      </c>
      <c r="H1010" s="382" t="s">
        <v>40</v>
      </c>
      <c r="I1010" s="382" t="str">
        <f>IF(X1010="ADMITIDO","ADMITIDO",IF(X1010="CANCELADA","CANCELADA",IF(H1010="","",IFERROR(_xlfn.XLOOKUP(H1010,Listas!I:I,Listas!J:J),"OUTROS"))))</f>
        <v>ADMITIDO</v>
      </c>
      <c r="J1010" s="464" t="s">
        <v>53</v>
      </c>
      <c r="K1010" s="435" t="s">
        <v>158</v>
      </c>
      <c r="L1010" s="435" t="s">
        <v>1061</v>
      </c>
      <c r="M1010" s="435"/>
      <c r="N1010" s="435" t="s">
        <v>63</v>
      </c>
      <c r="O1010" s="308" t="s">
        <v>34</v>
      </c>
      <c r="P1010" s="308" t="s">
        <v>35</v>
      </c>
      <c r="Q1010" s="119" t="s">
        <v>36</v>
      </c>
      <c r="R1010" s="234"/>
      <c r="S1010" s="273"/>
      <c r="T1010" s="274" t="s">
        <v>2689</v>
      </c>
      <c r="U1010" s="73" t="s">
        <v>67</v>
      </c>
      <c r="V1010" s="216">
        <v>46196</v>
      </c>
      <c r="W1010" s="118" t="s">
        <v>2690</v>
      </c>
      <c r="X1010" s="119" t="s">
        <v>40</v>
      </c>
      <c r="Y1010" s="120">
        <v>46199</v>
      </c>
      <c r="Z1010" s="120">
        <v>46202</v>
      </c>
      <c r="AA1010" s="244">
        <v>146166</v>
      </c>
      <c r="AB1010" s="241"/>
      <c r="AC1010" s="241"/>
      <c r="AD1010" s="244">
        <v>0</v>
      </c>
    </row>
    <row r="1011" spans="1:30" ht="18" customHeight="1">
      <c r="A1011" s="486">
        <v>30835</v>
      </c>
      <c r="B1011" s="487">
        <v>1</v>
      </c>
      <c r="C1011" s="488">
        <v>46195</v>
      </c>
      <c r="D1011" s="489">
        <f t="shared" ref="D1011:D1072" ca="1" si="58">TODAY()-C1011</f>
        <v>32</v>
      </c>
      <c r="E1011" s="490" t="s">
        <v>40</v>
      </c>
      <c r="F1011" s="491" t="s">
        <v>42</v>
      </c>
      <c r="G1011" s="492" t="s">
        <v>43</v>
      </c>
      <c r="H1011" s="493" t="s">
        <v>40</v>
      </c>
      <c r="I1011" s="493" t="str">
        <f>IF(X1011="ADMITIDO","ADMITIDO",IF(X1011="CANCELADA","CANCELADA",IF(H1011="","",IFERROR(_xlfn.XLOOKUP(H1011,Listas!I:I,Listas!J:J),"OUTROS"))))</f>
        <v>ADMITIDO</v>
      </c>
      <c r="J1011" s="569" t="s">
        <v>405</v>
      </c>
      <c r="K1011" s="240" t="s">
        <v>45</v>
      </c>
      <c r="L1011" s="240" t="s">
        <v>156</v>
      </c>
      <c r="M1011" s="600"/>
      <c r="N1011" s="494" t="s">
        <v>97</v>
      </c>
      <c r="O1011" s="334" t="s">
        <v>34</v>
      </c>
      <c r="P1011" s="119" t="s">
        <v>57</v>
      </c>
      <c r="Q1011" s="119" t="s">
        <v>308</v>
      </c>
      <c r="R1011" s="234" t="s">
        <v>2691</v>
      </c>
      <c r="S1011" s="273" t="s">
        <v>2692</v>
      </c>
      <c r="T1011" s="273">
        <v>11988840886</v>
      </c>
      <c r="U1011" s="73" t="s">
        <v>50</v>
      </c>
      <c r="V1011" s="216">
        <v>46213</v>
      </c>
      <c r="W1011" s="118" t="s">
        <v>2693</v>
      </c>
      <c r="X1011" s="119" t="s">
        <v>40</v>
      </c>
      <c r="Y1011" s="120">
        <v>46220</v>
      </c>
      <c r="Z1011" s="120">
        <v>46223</v>
      </c>
      <c r="AA1011" s="244">
        <v>916243</v>
      </c>
      <c r="AB1011" s="241"/>
      <c r="AC1011" s="241"/>
      <c r="AD1011" s="244">
        <v>2</v>
      </c>
    </row>
    <row r="1012" spans="1:30" ht="18" customHeight="1">
      <c r="A1012" s="402">
        <v>30862</v>
      </c>
      <c r="B1012" s="406">
        <v>1</v>
      </c>
      <c r="C1012" s="403">
        <v>46195</v>
      </c>
      <c r="D1012" s="380">
        <f t="shared" ca="1" si="58"/>
        <v>32</v>
      </c>
      <c r="E1012" s="381" t="str">
        <f t="shared" ref="E1012:E1072" ca="1" si="59">IF(X1012="ADMITIDO","ADMITIDO",IF(X1012="CANCELADA","CANCELADA",IF(H1012="","",IF(H1012="ADMITIDO","ADMITIDO",IF(H1012="CANCELADA","CANCELADA",IF(OR(H1012="ANALISE CANCELAMENTO",H1012="ANÁLISE CANCELAMENTO"),"EM ANÁLISE",IF(D1012="","",IF(D1012&lt;=7,"NO PRAZO",IF(D1012&lt;=14,"ATENÇÃO","CRÍTICO")))))))))</f>
        <v>CRÍTICO</v>
      </c>
      <c r="F1012" s="395" t="s">
        <v>42</v>
      </c>
      <c r="G1012" s="390" t="s">
        <v>240</v>
      </c>
      <c r="H1012" s="382" t="s">
        <v>91</v>
      </c>
      <c r="I1012" s="382" t="str">
        <f>IF(X1012="ADMITIDO","ADMITIDO",IF(X1012="CANCELADA","CANCELADA",IF(H1012="","",IFERROR(_xlfn.XLOOKUP(H1012,Listas!I:I,Listas!J:J),"OUTROS"))))</f>
        <v>TRIAGEM</v>
      </c>
      <c r="J1012" s="435" t="s">
        <v>53</v>
      </c>
      <c r="K1012" s="435" t="s">
        <v>241</v>
      </c>
      <c r="L1012" s="435" t="s">
        <v>407</v>
      </c>
      <c r="M1012" s="435"/>
      <c r="N1012" s="435" t="s">
        <v>243</v>
      </c>
      <c r="O1012" s="303" t="s">
        <v>34</v>
      </c>
      <c r="P1012" s="303" t="s">
        <v>48</v>
      </c>
      <c r="Q1012" s="303" t="s">
        <v>49</v>
      </c>
      <c r="R1012" s="418"/>
      <c r="S1012" s="419"/>
      <c r="T1012" s="345"/>
      <c r="U1012" s="326"/>
      <c r="V1012" s="313"/>
      <c r="W1012" s="302"/>
      <c r="X1012" s="303"/>
      <c r="Y1012" s="304"/>
      <c r="Z1012" s="304"/>
      <c r="AA1012" s="314"/>
      <c r="AB1012" s="346"/>
      <c r="AC1012" s="346"/>
      <c r="AD1012" s="314">
        <v>0</v>
      </c>
    </row>
    <row r="1013" spans="1:30" ht="18" customHeight="1">
      <c r="A1013" s="237">
        <v>30867</v>
      </c>
      <c r="B1013" s="121">
        <v>1</v>
      </c>
      <c r="C1013" s="238">
        <v>46195</v>
      </c>
      <c r="D1013" s="105">
        <f t="shared" ca="1" si="58"/>
        <v>32</v>
      </c>
      <c r="E1013" s="138" t="str">
        <f t="shared" ca="1" si="59"/>
        <v>CRÍTICO</v>
      </c>
      <c r="F1013" s="230" t="s">
        <v>42</v>
      </c>
      <c r="G1013" s="147" t="s">
        <v>29</v>
      </c>
      <c r="H1013" s="117" t="s">
        <v>91</v>
      </c>
      <c r="I1013" s="117" t="str">
        <f>IF(X1013="ADMITIDO","ADMITIDO",IF(X1013="CANCELADA","CANCELADA",IF(H1013="","",IFERROR(_xlfn.XLOOKUP(H1013,Listas!I:I,Listas!J:J),"OUTROS"))))</f>
        <v>TRIAGEM</v>
      </c>
      <c r="J1013" s="240" t="s">
        <v>227</v>
      </c>
      <c r="K1013" s="240" t="s">
        <v>228</v>
      </c>
      <c r="L1013" s="240" t="s">
        <v>229</v>
      </c>
      <c r="M1013" s="240"/>
      <c r="N1013" s="240" t="s">
        <v>88</v>
      </c>
      <c r="O1013" s="119" t="s">
        <v>34</v>
      </c>
      <c r="P1013" s="119" t="s">
        <v>48</v>
      </c>
      <c r="Q1013" s="119" t="s">
        <v>120</v>
      </c>
      <c r="R1013" s="332" t="s">
        <v>2694</v>
      </c>
      <c r="S1013" s="273"/>
      <c r="T1013" s="539"/>
      <c r="U1013" s="73"/>
      <c r="V1013" s="216"/>
      <c r="W1013" s="118"/>
      <c r="X1013" s="119"/>
      <c r="Y1013" s="120"/>
      <c r="Z1013" s="120"/>
      <c r="AA1013" s="244"/>
      <c r="AB1013" s="241"/>
      <c r="AC1013" s="241"/>
      <c r="AD1013" s="244">
        <v>2</v>
      </c>
    </row>
    <row r="1014" spans="1:30" ht="18" customHeight="1">
      <c r="A1014" s="237">
        <v>30868</v>
      </c>
      <c r="B1014" s="121">
        <v>1</v>
      </c>
      <c r="C1014" s="238">
        <v>46195</v>
      </c>
      <c r="D1014" s="105">
        <f t="shared" ca="1" si="58"/>
        <v>32</v>
      </c>
      <c r="E1014" s="138" t="str">
        <f t="shared" si="59"/>
        <v>ADMITIDO</v>
      </c>
      <c r="F1014" s="230" t="s">
        <v>42</v>
      </c>
      <c r="G1014" s="147" t="s">
        <v>663</v>
      </c>
      <c r="H1014" s="117" t="s">
        <v>40</v>
      </c>
      <c r="I1014" s="117" t="str">
        <f>IF(X1014="ADMITIDO","ADMITIDO",IF(X1014="CANCELADA","CANCELADA",IF(H1014="","",IFERROR(_xlfn.XLOOKUP(H1014,Listas!I:I,Listas!J:J),"OUTROS"))))</f>
        <v>ADMITIDO</v>
      </c>
      <c r="J1014" s="240" t="s">
        <v>227</v>
      </c>
      <c r="K1014" s="240" t="s">
        <v>228</v>
      </c>
      <c r="L1014" s="240" t="s">
        <v>229</v>
      </c>
      <c r="M1014" s="240"/>
      <c r="N1014" s="240" t="s">
        <v>88</v>
      </c>
      <c r="O1014" s="119" t="s">
        <v>56</v>
      </c>
      <c r="P1014" s="119" t="s">
        <v>35</v>
      </c>
      <c r="Q1014" s="119" t="s">
        <v>357</v>
      </c>
      <c r="R1014" s="234"/>
      <c r="S1014" s="432"/>
      <c r="T1014" s="274" t="s">
        <v>2695</v>
      </c>
      <c r="U1014" s="73" t="s">
        <v>38</v>
      </c>
      <c r="V1014" s="216">
        <v>46216</v>
      </c>
      <c r="W1014" s="118" t="s">
        <v>2696</v>
      </c>
      <c r="X1014" s="119" t="s">
        <v>40</v>
      </c>
      <c r="Y1014" s="120">
        <v>46218</v>
      </c>
      <c r="Z1014" s="120">
        <v>46219</v>
      </c>
      <c r="AA1014" s="244">
        <v>146240</v>
      </c>
      <c r="AB1014" s="241"/>
      <c r="AC1014" s="241"/>
      <c r="AD1014" s="244">
        <v>0</v>
      </c>
    </row>
    <row r="1015" spans="1:30" ht="18" customHeight="1">
      <c r="A1015" s="237">
        <v>30868</v>
      </c>
      <c r="B1015" s="121">
        <v>1</v>
      </c>
      <c r="C1015" s="238">
        <v>46195</v>
      </c>
      <c r="D1015" s="105">
        <f t="shared" ca="1" si="58"/>
        <v>32</v>
      </c>
      <c r="E1015" s="138" t="str">
        <f t="shared" si="59"/>
        <v>ADMITIDO</v>
      </c>
      <c r="F1015" s="230" t="s">
        <v>42</v>
      </c>
      <c r="G1015" s="147" t="s">
        <v>663</v>
      </c>
      <c r="H1015" s="117" t="s">
        <v>40</v>
      </c>
      <c r="I1015" s="117" t="str">
        <f>IF(X1015="ADMITIDO","ADMITIDO",IF(X1015="CANCELADA","CANCELADA",IF(H1015="","",IFERROR(_xlfn.XLOOKUP(H1015,Listas!I:I,Listas!J:J),"OUTROS"))))</f>
        <v>ADMITIDO</v>
      </c>
      <c r="J1015" s="240" t="s">
        <v>227</v>
      </c>
      <c r="K1015" s="240" t="s">
        <v>228</v>
      </c>
      <c r="L1015" s="240" t="s">
        <v>229</v>
      </c>
      <c r="M1015" s="240"/>
      <c r="N1015" s="240" t="s">
        <v>88</v>
      </c>
      <c r="O1015" s="119" t="s">
        <v>56</v>
      </c>
      <c r="P1015" s="119" t="s">
        <v>35</v>
      </c>
      <c r="Q1015" s="119" t="s">
        <v>357</v>
      </c>
      <c r="R1015" s="234"/>
      <c r="S1015" s="479" t="s">
        <v>2697</v>
      </c>
      <c r="T1015" s="274" t="s">
        <v>2698</v>
      </c>
      <c r="U1015" s="73" t="s">
        <v>38</v>
      </c>
      <c r="V1015" s="216">
        <v>46213</v>
      </c>
      <c r="W1015" s="251" t="s">
        <v>2699</v>
      </c>
      <c r="X1015" s="119" t="s">
        <v>40</v>
      </c>
      <c r="Y1015" s="120">
        <v>46218</v>
      </c>
      <c r="Z1015" s="120">
        <v>46219</v>
      </c>
      <c r="AA1015" s="244">
        <v>146228</v>
      </c>
      <c r="AB1015" s="241"/>
      <c r="AC1015" s="241"/>
      <c r="AD1015" s="244">
        <v>0</v>
      </c>
    </row>
    <row r="1016" spans="1:30" ht="18" customHeight="1">
      <c r="A1016" s="396">
        <v>30865</v>
      </c>
      <c r="B1016" s="405">
        <v>1</v>
      </c>
      <c r="C1016" s="404">
        <v>46195</v>
      </c>
      <c r="D1016" s="386">
        <f t="shared" ca="1" si="58"/>
        <v>32</v>
      </c>
      <c r="E1016" s="170" t="str">
        <f t="shared" si="59"/>
        <v>CANCELADA</v>
      </c>
      <c r="F1016" s="397" t="s">
        <v>42</v>
      </c>
      <c r="G1016" s="392" t="s">
        <v>69</v>
      </c>
      <c r="H1016" s="117" t="s">
        <v>52</v>
      </c>
      <c r="I1016" s="139" t="str">
        <f>IF(X1016="ADMITIDO","ADMITIDO",IF(X1016="CANCELADA","CANCELADA",IF(H1016="","",IFERROR(_xlfn.XLOOKUP(H1016,Listas!I:I,Listas!J:J),"OUTROS"))))</f>
        <v>CANCELADA</v>
      </c>
      <c r="J1016" s="428" t="s">
        <v>2700</v>
      </c>
      <c r="K1016" s="428" t="s">
        <v>158</v>
      </c>
      <c r="L1016" s="428" t="s">
        <v>270</v>
      </c>
      <c r="M1016" s="428"/>
      <c r="N1016" s="428" t="s">
        <v>63</v>
      </c>
      <c r="O1016" s="308" t="s">
        <v>34</v>
      </c>
      <c r="P1016" s="308" t="s">
        <v>72</v>
      </c>
      <c r="Q1016" s="308" t="s">
        <v>73</v>
      </c>
      <c r="R1016" s="431"/>
      <c r="S1016" s="432"/>
      <c r="T1016" s="352"/>
      <c r="U1016" s="327"/>
      <c r="V1016" s="315"/>
      <c r="W1016" s="310"/>
      <c r="X1016" s="308" t="s">
        <v>52</v>
      </c>
      <c r="Y1016" s="309"/>
      <c r="Z1016" s="309"/>
      <c r="AA1016" s="316"/>
      <c r="AB1016" s="351"/>
      <c r="AC1016" s="351" t="s">
        <v>2701</v>
      </c>
      <c r="AD1016" s="316">
        <v>0</v>
      </c>
    </row>
    <row r="1017" spans="1:30" ht="18" customHeight="1">
      <c r="A1017" s="237">
        <v>30860</v>
      </c>
      <c r="B1017" s="121">
        <v>1</v>
      </c>
      <c r="C1017" s="238">
        <v>46195</v>
      </c>
      <c r="D1017" s="105">
        <f t="shared" ca="1" si="58"/>
        <v>32</v>
      </c>
      <c r="E1017" s="138" t="str">
        <f t="shared" ca="1" si="59"/>
        <v>CRÍTICO</v>
      </c>
      <c r="F1017" s="230" t="s">
        <v>42</v>
      </c>
      <c r="G1017" s="147" t="s">
        <v>240</v>
      </c>
      <c r="H1017" s="117" t="s">
        <v>91</v>
      </c>
      <c r="I1017" s="117" t="str">
        <f>IF(X1017="ADMITIDO","ADMITIDO",IF(X1017="CANCELADA","CANCELADA",IF(H1017="","",IFERROR(_xlfn.XLOOKUP(H1017,Listas!I:I,Listas!J:J),"OUTROS"))))</f>
        <v>TRIAGEM</v>
      </c>
      <c r="J1017" s="240" t="s">
        <v>53</v>
      </c>
      <c r="K1017" s="240" t="s">
        <v>241</v>
      </c>
      <c r="L1017" s="240" t="s">
        <v>1715</v>
      </c>
      <c r="M1017" s="240"/>
      <c r="N1017" s="240" t="s">
        <v>243</v>
      </c>
      <c r="O1017" s="119" t="s">
        <v>34</v>
      </c>
      <c r="P1017" s="119" t="s">
        <v>48</v>
      </c>
      <c r="Q1017" s="119" t="s">
        <v>49</v>
      </c>
      <c r="R1017" s="234"/>
      <c r="S1017" s="273"/>
      <c r="T1017" s="274"/>
      <c r="U1017" s="73"/>
      <c r="V1017" s="216"/>
      <c r="W1017" s="118"/>
      <c r="X1017" s="119"/>
      <c r="Y1017" s="120"/>
      <c r="Z1017" s="120"/>
      <c r="AA1017" s="244"/>
      <c r="AB1017" s="241"/>
      <c r="AC1017" s="241"/>
      <c r="AD1017" s="244">
        <v>0</v>
      </c>
    </row>
    <row r="1018" spans="1:30" ht="18" customHeight="1">
      <c r="A1018" s="237">
        <v>30861</v>
      </c>
      <c r="B1018" s="121">
        <v>1</v>
      </c>
      <c r="C1018" s="238">
        <v>46195</v>
      </c>
      <c r="D1018" s="105">
        <f t="shared" ca="1" si="58"/>
        <v>32</v>
      </c>
      <c r="E1018" s="138" t="str">
        <f t="shared" ca="1" si="59"/>
        <v>CRÍTICO</v>
      </c>
      <c r="F1018" s="230" t="s">
        <v>42</v>
      </c>
      <c r="G1018" s="147" t="s">
        <v>240</v>
      </c>
      <c r="H1018" s="117" t="s">
        <v>181</v>
      </c>
      <c r="I1018" s="117" t="str">
        <f>IF(X1018="ADMITIDO","ADMITIDO",IF(X1018="CANCELADA","CANCELADA",IF(H1018="","",IFERROR(_xlfn.XLOOKUP(H1018,Listas!I:I,Listas!J:J),"OUTROS"))))</f>
        <v>DOCUMENTAÇÃO</v>
      </c>
      <c r="J1018" s="240" t="s">
        <v>53</v>
      </c>
      <c r="K1018" s="240" t="s">
        <v>241</v>
      </c>
      <c r="L1018" s="240" t="s">
        <v>1715</v>
      </c>
      <c r="M1018" s="240"/>
      <c r="N1018" s="240" t="s">
        <v>243</v>
      </c>
      <c r="O1018" s="119" t="s">
        <v>34</v>
      </c>
      <c r="P1018" s="119" t="s">
        <v>48</v>
      </c>
      <c r="Q1018" s="119" t="s">
        <v>49</v>
      </c>
      <c r="R1018" s="234"/>
      <c r="S1018" s="273" t="s">
        <v>65</v>
      </c>
      <c r="T1018" s="274"/>
      <c r="U1018" s="73" t="s">
        <v>76</v>
      </c>
      <c r="V1018" s="216">
        <v>46225</v>
      </c>
      <c r="W1018" s="118" t="s">
        <v>2702</v>
      </c>
      <c r="X1018" s="119" t="s">
        <v>284</v>
      </c>
      <c r="Y1018" s="120"/>
      <c r="Z1018" s="120"/>
      <c r="AA1018" s="244"/>
      <c r="AB1018" s="241"/>
      <c r="AC1018" s="241"/>
      <c r="AD1018" s="244">
        <v>0</v>
      </c>
    </row>
    <row r="1019" spans="1:30" ht="18" customHeight="1">
      <c r="A1019" s="237">
        <v>30866</v>
      </c>
      <c r="B1019" s="121">
        <v>1</v>
      </c>
      <c r="C1019" s="238">
        <v>46195</v>
      </c>
      <c r="D1019" s="105">
        <f t="shared" ca="1" si="58"/>
        <v>32</v>
      </c>
      <c r="E1019" s="138" t="str">
        <f t="shared" si="59"/>
        <v>CANCELADA</v>
      </c>
      <c r="F1019" s="230" t="s">
        <v>42</v>
      </c>
      <c r="G1019" s="147" t="s">
        <v>69</v>
      </c>
      <c r="H1019" s="117" t="s">
        <v>52</v>
      </c>
      <c r="I1019" s="117" t="str">
        <f>IF(X1019="ADMITIDO","ADMITIDO",IF(X1019="CANCELADA","CANCELADA",IF(H1019="","",IFERROR(_xlfn.XLOOKUP(H1019,Listas!I:I,Listas!J:J),"OUTROS"))))</f>
        <v>CANCELADA</v>
      </c>
      <c r="J1019" s="240" t="s">
        <v>44</v>
      </c>
      <c r="K1019" s="240" t="s">
        <v>158</v>
      </c>
      <c r="L1019" s="240" t="s">
        <v>2703</v>
      </c>
      <c r="M1019" s="240"/>
      <c r="N1019" s="240"/>
      <c r="O1019" s="119" t="s">
        <v>34</v>
      </c>
      <c r="P1019" s="119" t="s">
        <v>57</v>
      </c>
      <c r="Q1019" s="119" t="s">
        <v>98</v>
      </c>
      <c r="R1019" s="234"/>
      <c r="S1019" s="273"/>
      <c r="T1019" s="274"/>
      <c r="U1019" s="73"/>
      <c r="V1019" s="216"/>
      <c r="W1019" s="118"/>
      <c r="X1019" s="119"/>
      <c r="Y1019" s="120"/>
      <c r="Z1019" s="120"/>
      <c r="AA1019" s="244"/>
      <c r="AB1019" s="241" t="s">
        <v>2704</v>
      </c>
      <c r="AC1019" s="241" t="s">
        <v>2705</v>
      </c>
      <c r="AD1019" s="244">
        <v>1</v>
      </c>
    </row>
    <row r="1020" spans="1:30" ht="18" customHeight="1">
      <c r="A1020" s="374">
        <v>30864</v>
      </c>
      <c r="B1020" s="376">
        <v>1</v>
      </c>
      <c r="C1020" s="375">
        <v>46195</v>
      </c>
      <c r="D1020" s="367">
        <f t="shared" ca="1" si="58"/>
        <v>32</v>
      </c>
      <c r="E1020" s="368" t="str">
        <f t="shared" si="59"/>
        <v>ADMITIDO</v>
      </c>
      <c r="F1020" s="371" t="s">
        <v>42</v>
      </c>
      <c r="G1020" s="369" t="s">
        <v>240</v>
      </c>
      <c r="H1020" s="117" t="s">
        <v>40</v>
      </c>
      <c r="I1020" s="146" t="str">
        <f>IF(X1020="ADMITIDO","ADMITIDO",IF(X1020="CANCELADA","CANCELADA",IF(H1020="","",IFERROR(_xlfn.XLOOKUP(H1020,Listas!I:I,Listas!J:J),"OUTROS"))))</f>
        <v>ADMITIDO</v>
      </c>
      <c r="J1020" s="415" t="s">
        <v>53</v>
      </c>
      <c r="K1020" s="415" t="s">
        <v>241</v>
      </c>
      <c r="L1020" s="415" t="s">
        <v>307</v>
      </c>
      <c r="M1020" s="415"/>
      <c r="N1020" s="415" t="s">
        <v>243</v>
      </c>
      <c r="O1020" s="303" t="s">
        <v>34</v>
      </c>
      <c r="P1020" s="303" t="s">
        <v>57</v>
      </c>
      <c r="Q1020" s="303" t="s">
        <v>366</v>
      </c>
      <c r="R1020" s="418"/>
      <c r="S1020" s="419" t="s">
        <v>2706</v>
      </c>
      <c r="T1020" s="345"/>
      <c r="U1020" s="326" t="s">
        <v>132</v>
      </c>
      <c r="V1020" s="313">
        <v>46210</v>
      </c>
      <c r="W1020" s="302" t="s">
        <v>2707</v>
      </c>
      <c r="X1020" s="303" t="s">
        <v>40</v>
      </c>
      <c r="Y1020" s="304">
        <v>46219</v>
      </c>
      <c r="Z1020" s="304">
        <v>46223</v>
      </c>
      <c r="AA1020" s="314">
        <v>146250</v>
      </c>
      <c r="AB1020" s="346" t="s">
        <v>2708</v>
      </c>
      <c r="AC1020" s="346"/>
      <c r="AD1020" s="314">
        <v>1</v>
      </c>
    </row>
    <row r="1021" spans="1:30" ht="18" customHeight="1">
      <c r="A1021" s="237">
        <v>30863</v>
      </c>
      <c r="B1021" s="121">
        <v>1</v>
      </c>
      <c r="C1021" s="238">
        <v>46195</v>
      </c>
      <c r="D1021" s="105">
        <f t="shared" ca="1" si="58"/>
        <v>32</v>
      </c>
      <c r="E1021" s="138" t="str">
        <f t="shared" si="59"/>
        <v>ADMITIDO</v>
      </c>
      <c r="F1021" s="230" t="s">
        <v>171</v>
      </c>
      <c r="G1021" s="147" t="s">
        <v>663</v>
      </c>
      <c r="H1021" s="117" t="s">
        <v>40</v>
      </c>
      <c r="I1021" s="117" t="str">
        <f>IF(X1021="ADMITIDO","ADMITIDO",IF(X1021="CANCELADA","CANCELADA",IF(H1021="","",IFERROR(_xlfn.XLOOKUP(H1021,Listas!I:I,Listas!J:J),"OUTROS"))))</f>
        <v>ADMITIDO</v>
      </c>
      <c r="J1021" s="240" t="s">
        <v>172</v>
      </c>
      <c r="K1021" s="240" t="s">
        <v>31</v>
      </c>
      <c r="L1021" s="240" t="s">
        <v>1018</v>
      </c>
      <c r="M1021" s="240"/>
      <c r="N1021" s="240" t="s">
        <v>205</v>
      </c>
      <c r="O1021" s="119" t="s">
        <v>34</v>
      </c>
      <c r="P1021" s="119" t="s">
        <v>35</v>
      </c>
      <c r="Q1021" s="119" t="s">
        <v>36</v>
      </c>
      <c r="R1021" s="234"/>
      <c r="S1021" s="273"/>
      <c r="T1021" s="274" t="s">
        <v>2709</v>
      </c>
      <c r="U1021" s="73" t="s">
        <v>38</v>
      </c>
      <c r="V1021" s="216">
        <v>46203</v>
      </c>
      <c r="W1021" s="297" t="s">
        <v>2710</v>
      </c>
      <c r="X1021" s="119" t="s">
        <v>40</v>
      </c>
      <c r="Y1021" s="120">
        <v>46204</v>
      </c>
      <c r="Z1021" s="120">
        <v>46205</v>
      </c>
      <c r="AA1021" s="244">
        <v>83364</v>
      </c>
      <c r="AB1021" s="241"/>
      <c r="AC1021" s="241"/>
      <c r="AD1021" s="244">
        <v>0</v>
      </c>
    </row>
    <row r="1022" spans="1:30" ht="18" customHeight="1">
      <c r="A1022" s="396">
        <v>30852</v>
      </c>
      <c r="B1022" s="405">
        <v>1</v>
      </c>
      <c r="C1022" s="404">
        <v>46195</v>
      </c>
      <c r="D1022" s="386">
        <f t="shared" ca="1" si="58"/>
        <v>32</v>
      </c>
      <c r="E1022" s="170" t="str">
        <f t="shared" si="59"/>
        <v>ADMITIDO</v>
      </c>
      <c r="F1022" s="397" t="s">
        <v>171</v>
      </c>
      <c r="G1022" s="392" t="s">
        <v>60</v>
      </c>
      <c r="H1022" s="139" t="s">
        <v>40</v>
      </c>
      <c r="I1022" s="139" t="str">
        <f>IF(X1022="ADMITIDO","ADMITIDO",IF(X1022="CANCELADA","CANCELADA",IF(H1022="","",IFERROR(_xlfn.XLOOKUP(H1022,Listas!I:I,Listas!J:J),"OUTROS"))))</f>
        <v>ADMITIDO</v>
      </c>
      <c r="J1022" s="427" t="s">
        <v>514</v>
      </c>
      <c r="K1022" s="428" t="s">
        <v>986</v>
      </c>
      <c r="L1022" s="428" t="s">
        <v>2711</v>
      </c>
      <c r="M1022" s="428"/>
      <c r="N1022" s="428" t="s">
        <v>63</v>
      </c>
      <c r="O1022" s="308" t="s">
        <v>56</v>
      </c>
      <c r="P1022" s="308" t="s">
        <v>35</v>
      </c>
      <c r="Q1022" s="308" t="s">
        <v>176</v>
      </c>
      <c r="R1022" s="431" t="s">
        <v>2712</v>
      </c>
      <c r="S1022" s="440" t="s">
        <v>1533</v>
      </c>
      <c r="T1022" s="352" t="s">
        <v>2713</v>
      </c>
      <c r="U1022" s="327" t="s">
        <v>132</v>
      </c>
      <c r="V1022" s="315">
        <v>46197</v>
      </c>
      <c r="W1022" s="310" t="s">
        <v>2714</v>
      </c>
      <c r="X1022" s="308" t="s">
        <v>40</v>
      </c>
      <c r="Y1022" s="309">
        <v>46202</v>
      </c>
      <c r="Z1022" s="309">
        <v>46204</v>
      </c>
      <c r="AA1022" s="316">
        <v>83360</v>
      </c>
      <c r="AB1022" s="351"/>
      <c r="AC1022" s="351"/>
      <c r="AD1022" s="316">
        <v>0</v>
      </c>
    </row>
    <row r="1023" spans="1:30" ht="18" customHeight="1">
      <c r="A1023" s="374">
        <v>30851</v>
      </c>
      <c r="B1023" s="376">
        <v>1</v>
      </c>
      <c r="C1023" s="375">
        <v>46195</v>
      </c>
      <c r="D1023" s="367">
        <f t="shared" ca="1" si="58"/>
        <v>32</v>
      </c>
      <c r="E1023" s="368" t="str">
        <f t="shared" si="59"/>
        <v>ADMITIDO</v>
      </c>
      <c r="F1023" s="371" t="s">
        <v>42</v>
      </c>
      <c r="G1023" s="369" t="s">
        <v>552</v>
      </c>
      <c r="H1023" s="117" t="s">
        <v>40</v>
      </c>
      <c r="I1023" s="146" t="str">
        <f>IF(X1023="ADMITIDO","ADMITIDO",IF(X1023="CANCELADA","CANCELADA",IF(H1023="","",IFERROR(_xlfn.XLOOKUP(H1023,Listas!I:I,Listas!J:J),"OUTROS"))))</f>
        <v>ADMITIDO</v>
      </c>
      <c r="J1023" s="414" t="s">
        <v>44</v>
      </c>
      <c r="K1023" s="415" t="s">
        <v>553</v>
      </c>
      <c r="L1023" s="415" t="s">
        <v>1875</v>
      </c>
      <c r="M1023" s="415"/>
      <c r="N1023" s="240" t="s">
        <v>1876</v>
      </c>
      <c r="O1023" s="119" t="s">
        <v>34</v>
      </c>
      <c r="P1023" s="119" t="s">
        <v>57</v>
      </c>
      <c r="Q1023" s="119" t="s">
        <v>432</v>
      </c>
      <c r="R1023" s="234"/>
      <c r="S1023" s="273"/>
      <c r="T1023" s="352"/>
      <c r="U1023" s="327"/>
      <c r="V1023" s="315"/>
      <c r="W1023" s="310" t="s">
        <v>2715</v>
      </c>
      <c r="X1023" s="308" t="s">
        <v>40</v>
      </c>
      <c r="Y1023" s="309">
        <v>46197</v>
      </c>
      <c r="Z1023" s="309">
        <v>46198</v>
      </c>
      <c r="AA1023" s="316">
        <v>914524</v>
      </c>
      <c r="AB1023" s="351"/>
      <c r="AC1023" s="351"/>
      <c r="AD1023" s="316">
        <v>0</v>
      </c>
    </row>
    <row r="1024" spans="1:30" ht="18" customHeight="1">
      <c r="A1024" s="486">
        <v>30855</v>
      </c>
      <c r="B1024" s="487">
        <v>1</v>
      </c>
      <c r="C1024" s="488">
        <v>46195</v>
      </c>
      <c r="D1024" s="489">
        <f t="shared" ca="1" si="58"/>
        <v>32</v>
      </c>
      <c r="E1024" s="490" t="s">
        <v>40</v>
      </c>
      <c r="F1024" s="491" t="s">
        <v>42</v>
      </c>
      <c r="G1024" s="492" t="s">
        <v>43</v>
      </c>
      <c r="H1024" s="493" t="s">
        <v>40</v>
      </c>
      <c r="I1024" s="493" t="str">
        <f>IF(X1024="ADMITIDO","ADMITIDO",IF(X1024="CANCELADA","CANCELADA",IF(H1024="","",IFERROR(_xlfn.XLOOKUP(H1024,Listas!I:I,Listas!J:J),"OUTROS"))))</f>
        <v>ADMITIDO</v>
      </c>
      <c r="J1024" s="569" t="s">
        <v>53</v>
      </c>
      <c r="K1024" s="240" t="s">
        <v>45</v>
      </c>
      <c r="L1024" s="1" t="s">
        <v>2716</v>
      </c>
      <c r="M1024" s="601"/>
      <c r="N1024" s="363" t="s">
        <v>33</v>
      </c>
      <c r="O1024" s="119" t="s">
        <v>34</v>
      </c>
      <c r="P1024" s="119" t="s">
        <v>57</v>
      </c>
      <c r="Q1024" s="119" t="s">
        <v>98</v>
      </c>
      <c r="R1024" s="234"/>
      <c r="S1024" s="273" t="s">
        <v>2717</v>
      </c>
      <c r="T1024" s="274">
        <v>11986378054</v>
      </c>
      <c r="U1024" s="73" t="s">
        <v>50</v>
      </c>
      <c r="V1024" s="216">
        <v>46211</v>
      </c>
      <c r="W1024" s="118" t="s">
        <v>2718</v>
      </c>
      <c r="X1024" s="119" t="s">
        <v>40</v>
      </c>
      <c r="Y1024" s="120">
        <v>46220</v>
      </c>
      <c r="Z1024" s="120">
        <v>46223</v>
      </c>
      <c r="AA1024" s="552">
        <v>146251</v>
      </c>
      <c r="AB1024" s="241"/>
      <c r="AC1024" s="241"/>
      <c r="AD1024" s="244">
        <v>0</v>
      </c>
    </row>
    <row r="1025" spans="1:30" ht="18" customHeight="1">
      <c r="A1025" s="396">
        <v>30858</v>
      </c>
      <c r="B1025" s="405">
        <v>1</v>
      </c>
      <c r="C1025" s="404">
        <v>46195</v>
      </c>
      <c r="D1025" s="386">
        <f t="shared" ca="1" si="58"/>
        <v>32</v>
      </c>
      <c r="E1025" s="170" t="str">
        <f t="shared" si="59"/>
        <v>ADMITIDO</v>
      </c>
      <c r="F1025" s="397" t="s">
        <v>42</v>
      </c>
      <c r="G1025" s="392" t="s">
        <v>43</v>
      </c>
      <c r="H1025" s="139" t="s">
        <v>40</v>
      </c>
      <c r="I1025" s="139" t="str">
        <f>IF(X1025="ADMITIDO","ADMITIDO",IF(X1025="CANCELADA","CANCELADA",IF(H1025="","",IFERROR(_xlfn.XLOOKUP(H1025,Listas!I:I,Listas!J:J),"OUTROS"))))</f>
        <v>ADMITIDO</v>
      </c>
      <c r="J1025" s="428" t="s">
        <v>53</v>
      </c>
      <c r="K1025" s="428" t="s">
        <v>45</v>
      </c>
      <c r="L1025" s="415" t="s">
        <v>2719</v>
      </c>
      <c r="M1025" s="415"/>
      <c r="N1025" s="240" t="s">
        <v>33</v>
      </c>
      <c r="O1025" s="119" t="s">
        <v>34</v>
      </c>
      <c r="P1025" s="119" t="s">
        <v>57</v>
      </c>
      <c r="Q1025" s="119" t="s">
        <v>98</v>
      </c>
      <c r="R1025" s="234"/>
      <c r="S1025" s="273" t="s">
        <v>1702</v>
      </c>
      <c r="T1025" s="273">
        <v>11965413828</v>
      </c>
      <c r="U1025" s="73" t="s">
        <v>50</v>
      </c>
      <c r="V1025" s="216">
        <v>46209</v>
      </c>
      <c r="W1025" s="118" t="s">
        <v>2720</v>
      </c>
      <c r="X1025" s="119" t="s">
        <v>40</v>
      </c>
      <c r="Y1025" s="120">
        <v>46213</v>
      </c>
      <c r="Z1025" s="120">
        <v>46216</v>
      </c>
      <c r="AA1025" s="244">
        <v>146199</v>
      </c>
      <c r="AB1025" s="241" t="s">
        <v>2655</v>
      </c>
      <c r="AC1025" s="241"/>
      <c r="AD1025" s="244">
        <v>0</v>
      </c>
    </row>
    <row r="1026" spans="1:30" ht="18" customHeight="1">
      <c r="A1026" s="237">
        <v>30859</v>
      </c>
      <c r="B1026" s="121">
        <v>1</v>
      </c>
      <c r="C1026" s="238">
        <v>46195</v>
      </c>
      <c r="D1026" s="105">
        <f t="shared" ca="1" si="58"/>
        <v>32</v>
      </c>
      <c r="E1026" s="138" t="str">
        <f t="shared" si="59"/>
        <v>ADMITIDO</v>
      </c>
      <c r="F1026" s="230" t="s">
        <v>42</v>
      </c>
      <c r="G1026" s="147" t="s">
        <v>43</v>
      </c>
      <c r="H1026" s="117" t="s">
        <v>40</v>
      </c>
      <c r="I1026" s="117" t="str">
        <f>IF(X1026="ADMITIDO","ADMITIDO",IF(X1026="CANCELADA","CANCELADA",IF(H1026="","",IFERROR(_xlfn.XLOOKUP(H1026,Listas!I:I,Listas!J:J),"OUTROS"))))</f>
        <v>ADMITIDO</v>
      </c>
      <c r="J1026" s="240" t="s">
        <v>53</v>
      </c>
      <c r="K1026" s="518" t="s">
        <v>45</v>
      </c>
      <c r="L1026" s="528" t="s">
        <v>2719</v>
      </c>
      <c r="M1026"/>
      <c r="N1026" s="363" t="s">
        <v>33</v>
      </c>
      <c r="O1026" s="119" t="s">
        <v>34</v>
      </c>
      <c r="P1026" s="119" t="s">
        <v>48</v>
      </c>
      <c r="Q1026" s="119" t="s">
        <v>120</v>
      </c>
      <c r="R1026" s="234"/>
      <c r="S1026" s="273" t="s">
        <v>373</v>
      </c>
      <c r="T1026" s="273">
        <v>11922887387</v>
      </c>
      <c r="U1026" s="73" t="s">
        <v>50</v>
      </c>
      <c r="V1026" s="216">
        <v>46209</v>
      </c>
      <c r="W1026" s="118" t="s">
        <v>2721</v>
      </c>
      <c r="X1026" s="119" t="s">
        <v>40</v>
      </c>
      <c r="Y1026" s="120">
        <v>46213</v>
      </c>
      <c r="Z1026" s="120">
        <v>46216</v>
      </c>
      <c r="AA1026" s="244">
        <v>146201</v>
      </c>
      <c r="AB1026" s="241" t="s">
        <v>2655</v>
      </c>
      <c r="AC1026" s="241"/>
      <c r="AD1026" s="244">
        <v>0</v>
      </c>
    </row>
    <row r="1027" spans="1:30" ht="18" customHeight="1">
      <c r="A1027" s="237">
        <v>30853</v>
      </c>
      <c r="B1027" s="121">
        <v>1</v>
      </c>
      <c r="C1027" s="238">
        <v>46195</v>
      </c>
      <c r="D1027" s="105">
        <f t="shared" ca="1" si="58"/>
        <v>32</v>
      </c>
      <c r="E1027" s="138" t="str">
        <f t="shared" si="59"/>
        <v>ADMITIDO</v>
      </c>
      <c r="F1027" s="230" t="s">
        <v>42</v>
      </c>
      <c r="G1027" s="147" t="s">
        <v>69</v>
      </c>
      <c r="H1027" s="117" t="s">
        <v>40</v>
      </c>
      <c r="I1027" s="117" t="str">
        <f>IF(X1027="ADMITIDO","ADMITIDO",IF(X1027="CANCELADA","CANCELADA",IF(H1027="","",IFERROR(_xlfn.XLOOKUP(H1027,Listas!I:I,Listas!J:J),"OUTROS"))))</f>
        <v>ADMITIDO</v>
      </c>
      <c r="J1027" s="240" t="s">
        <v>53</v>
      </c>
      <c r="K1027" s="240" t="s">
        <v>70</v>
      </c>
      <c r="L1027" s="428" t="s">
        <v>769</v>
      </c>
      <c r="M1027" s="428"/>
      <c r="N1027" s="240" t="s">
        <v>63</v>
      </c>
      <c r="O1027" s="119" t="s">
        <v>34</v>
      </c>
      <c r="P1027" s="119" t="s">
        <v>48</v>
      </c>
      <c r="Q1027" s="119" t="s">
        <v>49</v>
      </c>
      <c r="R1027" s="234"/>
      <c r="S1027" s="273"/>
      <c r="T1027" s="274"/>
      <c r="U1027" s="73" t="s">
        <v>132</v>
      </c>
      <c r="V1027" s="216">
        <v>46211</v>
      </c>
      <c r="W1027" s="118" t="s">
        <v>2722</v>
      </c>
      <c r="X1027" s="119" t="s">
        <v>40</v>
      </c>
      <c r="Y1027" s="120">
        <v>46216</v>
      </c>
      <c r="Z1027" s="120">
        <v>46217</v>
      </c>
      <c r="AA1027" s="244">
        <v>914626</v>
      </c>
      <c r="AB1027" s="118" t="s">
        <v>2723</v>
      </c>
      <c r="AC1027" s="241"/>
      <c r="AD1027" s="244">
        <v>1</v>
      </c>
    </row>
    <row r="1028" spans="1:30" ht="18" customHeight="1">
      <c r="A1028" s="374">
        <v>30854</v>
      </c>
      <c r="B1028" s="376">
        <v>1</v>
      </c>
      <c r="C1028" s="375">
        <v>46195</v>
      </c>
      <c r="D1028" s="367">
        <f t="shared" ca="1" si="58"/>
        <v>32</v>
      </c>
      <c r="E1028" s="368" t="str">
        <f t="shared" si="59"/>
        <v>CANCELADA</v>
      </c>
      <c r="F1028" s="371" t="s">
        <v>42</v>
      </c>
      <c r="G1028" s="369" t="s">
        <v>69</v>
      </c>
      <c r="H1028" s="146" t="s">
        <v>52</v>
      </c>
      <c r="I1028" s="146" t="str">
        <f>IF(X1028="ADMITIDO","ADMITIDO",IF(X1028="CANCELADA","CANCELADA",IF(H1028="","",IFERROR(_xlfn.XLOOKUP(H1028,Listas!I:I,Listas!J:J),"OUTROS"))))</f>
        <v>CANCELADA</v>
      </c>
      <c r="J1028" s="240" t="s">
        <v>53</v>
      </c>
      <c r="K1028" s="240" t="s">
        <v>70</v>
      </c>
      <c r="L1028" s="240" t="s">
        <v>769</v>
      </c>
      <c r="M1028" s="240"/>
      <c r="N1028" s="240" t="s">
        <v>63</v>
      </c>
      <c r="O1028" s="119" t="s">
        <v>34</v>
      </c>
      <c r="P1028" s="119" t="s">
        <v>48</v>
      </c>
      <c r="Q1028" s="119" t="s">
        <v>49</v>
      </c>
      <c r="R1028" s="234"/>
      <c r="S1028" s="273"/>
      <c r="T1028" s="274"/>
      <c r="U1028" s="73"/>
      <c r="V1028" s="216"/>
      <c r="W1028" s="118"/>
      <c r="X1028" s="119" t="s">
        <v>52</v>
      </c>
      <c r="Y1028" s="120"/>
      <c r="Z1028" s="120"/>
      <c r="AA1028" s="244"/>
      <c r="AB1028" s="241"/>
      <c r="AC1028" s="241" t="s">
        <v>1527</v>
      </c>
      <c r="AD1028" s="244">
        <v>0</v>
      </c>
    </row>
    <row r="1029" spans="1:30" ht="18" customHeight="1">
      <c r="A1029" s="237">
        <v>30856</v>
      </c>
      <c r="B1029" s="376">
        <v>1</v>
      </c>
      <c r="C1029" s="375">
        <v>46195</v>
      </c>
      <c r="D1029" s="367">
        <f t="shared" ca="1" si="58"/>
        <v>32</v>
      </c>
      <c r="E1029" s="368" t="str">
        <f t="shared" si="59"/>
        <v>ADMITIDO</v>
      </c>
      <c r="F1029" s="371" t="s">
        <v>28</v>
      </c>
      <c r="G1029" s="369" t="s">
        <v>663</v>
      </c>
      <c r="H1029" s="146" t="s">
        <v>40</v>
      </c>
      <c r="I1029" s="146" t="str">
        <f>IF(X1029="ADMITIDO","ADMITIDO",IF(X1029="CANCELADA","CANCELADA",IF(H1029="","",IFERROR(_xlfn.XLOOKUP(H1029,Listas!I:I,Listas!J:J),"OUTROS"))))</f>
        <v>ADMITIDO</v>
      </c>
      <c r="J1029" s="414" t="s">
        <v>146</v>
      </c>
      <c r="K1029" s="415" t="s">
        <v>31</v>
      </c>
      <c r="L1029" s="415" t="s">
        <v>2097</v>
      </c>
      <c r="M1029" s="415"/>
      <c r="N1029" s="415" t="s">
        <v>93</v>
      </c>
      <c r="O1029" s="303" t="s">
        <v>34</v>
      </c>
      <c r="P1029" s="303" t="s">
        <v>35</v>
      </c>
      <c r="Q1029" s="303" t="s">
        <v>1805</v>
      </c>
      <c r="R1029" s="234"/>
      <c r="S1029" s="273"/>
      <c r="T1029" s="71" t="s">
        <v>2724</v>
      </c>
      <c r="U1029" s="73" t="s">
        <v>38</v>
      </c>
      <c r="V1029" s="216" t="s">
        <v>2657</v>
      </c>
      <c r="W1029" s="118" t="s">
        <v>2725</v>
      </c>
      <c r="X1029" s="119" t="s">
        <v>40</v>
      </c>
      <c r="Y1029" s="120">
        <v>46197</v>
      </c>
      <c r="Z1029" s="120">
        <v>46198</v>
      </c>
      <c r="AA1029" s="244">
        <v>914511</v>
      </c>
      <c r="AB1029" s="241"/>
      <c r="AC1029" s="241"/>
      <c r="AD1029" s="244">
        <v>0</v>
      </c>
    </row>
    <row r="1030" spans="1:30" ht="18" customHeight="1">
      <c r="A1030" s="581">
        <v>30879</v>
      </c>
      <c r="B1030" s="487">
        <v>1</v>
      </c>
      <c r="C1030" s="488">
        <v>46196</v>
      </c>
      <c r="D1030" s="489">
        <f t="shared" ca="1" si="58"/>
        <v>31</v>
      </c>
      <c r="E1030" s="490" t="str">
        <f t="shared" ca="1" si="59"/>
        <v>CRÍTICO</v>
      </c>
      <c r="F1030" s="491" t="s">
        <v>42</v>
      </c>
      <c r="G1030" s="492" t="s">
        <v>43</v>
      </c>
      <c r="H1030" s="493" t="s">
        <v>781</v>
      </c>
      <c r="I1030" s="493" t="str">
        <f>IF(X1030="ADMITIDO","ADMITIDO",IF(X1030="CANCELADA","CANCELADA",IF(H1030="","",IFERROR(_xlfn.XLOOKUP(H1030,Listas!I:I,Listas!J:J),"OUTROS"))))</f>
        <v>ENTREVISTA OPS</v>
      </c>
      <c r="J1030" s="494" t="s">
        <v>2726</v>
      </c>
      <c r="K1030" s="494" t="s">
        <v>189</v>
      </c>
      <c r="L1030" s="494" t="s">
        <v>869</v>
      </c>
      <c r="M1030" s="494"/>
      <c r="N1030" s="494" t="s">
        <v>337</v>
      </c>
      <c r="O1030" s="495" t="s">
        <v>34</v>
      </c>
      <c r="P1030" s="495" t="s">
        <v>48</v>
      </c>
      <c r="Q1030" s="495" t="s">
        <v>541</v>
      </c>
      <c r="R1030" s="592" t="s">
        <v>2727</v>
      </c>
      <c r="S1030" s="273"/>
      <c r="T1030" s="274"/>
      <c r="U1030" s="73"/>
      <c r="V1030" s="216"/>
      <c r="W1030" s="118"/>
      <c r="X1030" s="119"/>
      <c r="Y1030" s="120"/>
      <c r="Z1030" s="120"/>
      <c r="AA1030" s="244"/>
      <c r="AB1030" s="241"/>
      <c r="AC1030" s="241"/>
      <c r="AD1030" s="244">
        <v>1</v>
      </c>
    </row>
    <row r="1031" spans="1:30" ht="18" customHeight="1">
      <c r="A1031" s="374">
        <v>30871</v>
      </c>
      <c r="B1031" s="406">
        <v>1</v>
      </c>
      <c r="C1031" s="403">
        <v>46196</v>
      </c>
      <c r="D1031" s="380">
        <f t="shared" ca="1" si="58"/>
        <v>31</v>
      </c>
      <c r="E1031" s="381" t="str">
        <f t="shared" ca="1" si="59"/>
        <v>CRÍTICO</v>
      </c>
      <c r="F1031" s="395" t="s">
        <v>42</v>
      </c>
      <c r="G1031" s="390" t="s">
        <v>69</v>
      </c>
      <c r="H1031" s="382" t="s">
        <v>334</v>
      </c>
      <c r="I1031" s="382" t="str">
        <f>IF(X1031="ADMITIDO","ADMITIDO",IF(X1031="CANCELADA","CANCELADA",IF(H1031="","",IFERROR(_xlfn.XLOOKUP(H1031,Listas!I:I,Listas!J:J),"OUTROS"))))</f>
        <v>DOCUMENTAÇÃO</v>
      </c>
      <c r="J1031" s="435" t="s">
        <v>53</v>
      </c>
      <c r="K1031" s="435" t="s">
        <v>70</v>
      </c>
      <c r="L1031" s="435" t="s">
        <v>343</v>
      </c>
      <c r="M1031" s="435"/>
      <c r="N1031" s="435" t="s">
        <v>63</v>
      </c>
      <c r="O1031" s="306" t="s">
        <v>34</v>
      </c>
      <c r="P1031" s="306" t="s">
        <v>219</v>
      </c>
      <c r="Q1031" s="306" t="s">
        <v>238</v>
      </c>
      <c r="R1031" s="418"/>
      <c r="S1031" s="419"/>
      <c r="T1031" s="345"/>
      <c r="U1031" s="326" t="s">
        <v>76</v>
      </c>
      <c r="V1031" s="313">
        <v>46223</v>
      </c>
      <c r="W1031" s="302" t="s">
        <v>2728</v>
      </c>
      <c r="X1031" s="303" t="s">
        <v>284</v>
      </c>
      <c r="Y1031" s="304"/>
      <c r="Z1031" s="304"/>
      <c r="AA1031" s="314"/>
      <c r="AB1031" s="346" t="s">
        <v>2729</v>
      </c>
      <c r="AC1031" s="346"/>
      <c r="AD1031" s="314">
        <v>1</v>
      </c>
    </row>
    <row r="1032" spans="1:30" ht="18" customHeight="1">
      <c r="A1032" s="374">
        <v>30876</v>
      </c>
      <c r="B1032" s="376">
        <v>1</v>
      </c>
      <c r="C1032" s="375">
        <v>46196</v>
      </c>
      <c r="D1032" s="367">
        <f t="shared" ca="1" si="58"/>
        <v>31</v>
      </c>
      <c r="E1032" s="368" t="str">
        <f t="shared" si="59"/>
        <v>ADMITIDO</v>
      </c>
      <c r="F1032" s="371" t="s">
        <v>28</v>
      </c>
      <c r="G1032" s="369" t="s">
        <v>60</v>
      </c>
      <c r="H1032" s="117" t="s">
        <v>40</v>
      </c>
      <c r="I1032" s="146" t="str">
        <f>IF(X1032="ADMITIDO","ADMITIDO",IF(X1032="CANCELADA","CANCELADA",IF(H1032="","",IFERROR(_xlfn.XLOOKUP(H1032,Listas!I:I,Listas!J:J),"OUTROS"))))</f>
        <v>ADMITIDO</v>
      </c>
      <c r="J1032" s="415" t="s">
        <v>268</v>
      </c>
      <c r="K1032" s="415" t="s">
        <v>330</v>
      </c>
      <c r="L1032" s="415" t="s">
        <v>2071</v>
      </c>
      <c r="M1032" s="415"/>
      <c r="N1032" s="415" t="s">
        <v>435</v>
      </c>
      <c r="O1032" s="303" t="s">
        <v>34</v>
      </c>
      <c r="P1032" s="303" t="s">
        <v>35</v>
      </c>
      <c r="Q1032" s="303" t="s">
        <v>36</v>
      </c>
      <c r="R1032" s="418"/>
      <c r="S1032" s="419" t="s">
        <v>1533</v>
      </c>
      <c r="T1032" s="345" t="s">
        <v>2730</v>
      </c>
      <c r="U1032" s="326" t="s">
        <v>132</v>
      </c>
      <c r="V1032" s="313">
        <v>46210</v>
      </c>
      <c r="W1032" s="302" t="s">
        <v>2731</v>
      </c>
      <c r="X1032" s="303" t="s">
        <v>40</v>
      </c>
      <c r="Y1032" s="304">
        <v>46213</v>
      </c>
      <c r="Z1032" s="304">
        <v>46217</v>
      </c>
      <c r="AA1032" s="314">
        <v>914616</v>
      </c>
      <c r="AB1032" s="346" t="s">
        <v>2732</v>
      </c>
      <c r="AC1032" s="346"/>
      <c r="AD1032" s="314">
        <v>1</v>
      </c>
    </row>
    <row r="1033" spans="1:30" ht="18" customHeight="1">
      <c r="A1033" s="396">
        <v>30877</v>
      </c>
      <c r="B1033" s="405">
        <v>1</v>
      </c>
      <c r="C1033" s="404">
        <v>46196</v>
      </c>
      <c r="D1033" s="386">
        <f t="shared" ca="1" si="58"/>
        <v>31</v>
      </c>
      <c r="E1033" s="170" t="str">
        <f t="shared" ca="1" si="59"/>
        <v>CRÍTICO</v>
      </c>
      <c r="F1033" s="397" t="s">
        <v>42</v>
      </c>
      <c r="G1033" s="392" t="s">
        <v>240</v>
      </c>
      <c r="H1033" s="139" t="s">
        <v>91</v>
      </c>
      <c r="I1033" s="139" t="str">
        <f>IF(X1033="ADMITIDO","ADMITIDO",IF(X1033="CANCELADA","CANCELADA",IF(H1033="","",IFERROR(_xlfn.XLOOKUP(H1033,Listas!I:I,Listas!J:J),"OUTROS"))))</f>
        <v>TRIAGEM</v>
      </c>
      <c r="J1033" s="428" t="s">
        <v>44</v>
      </c>
      <c r="K1033" s="428" t="s">
        <v>241</v>
      </c>
      <c r="L1033" s="428" t="s">
        <v>351</v>
      </c>
      <c r="M1033" s="428"/>
      <c r="N1033" s="428" t="s">
        <v>63</v>
      </c>
      <c r="O1033" s="308" t="s">
        <v>34</v>
      </c>
      <c r="P1033" s="308" t="s">
        <v>57</v>
      </c>
      <c r="Q1033" s="308" t="s">
        <v>470</v>
      </c>
      <c r="R1033" s="431"/>
      <c r="S1033" s="432"/>
      <c r="T1033" s="352"/>
      <c r="U1033" s="327"/>
      <c r="V1033" s="315"/>
      <c r="W1033" s="310"/>
      <c r="X1033" s="308"/>
      <c r="Y1033" s="309"/>
      <c r="Z1033" s="309"/>
      <c r="AA1033" s="316"/>
      <c r="AB1033" s="351"/>
      <c r="AC1033" s="351"/>
      <c r="AD1033" s="316">
        <v>0</v>
      </c>
    </row>
    <row r="1034" spans="1:30" ht="18" customHeight="1">
      <c r="A1034" s="237">
        <v>30874</v>
      </c>
      <c r="B1034" s="121">
        <v>1</v>
      </c>
      <c r="C1034" s="238">
        <v>46196</v>
      </c>
      <c r="D1034" s="105">
        <f t="shared" ca="1" si="58"/>
        <v>31</v>
      </c>
      <c r="E1034" s="138" t="str">
        <f t="shared" si="59"/>
        <v>ADMITIDO</v>
      </c>
      <c r="F1034" s="230" t="s">
        <v>171</v>
      </c>
      <c r="G1034" s="147" t="s">
        <v>43</v>
      </c>
      <c r="H1034" s="117" t="s">
        <v>40</v>
      </c>
      <c r="I1034" s="117" t="str">
        <f>IF(X1034="ADMITIDO","ADMITIDO",IF(X1034="CANCELADA","CANCELADA",IF(H1034="","",IFERROR(_xlfn.XLOOKUP(H1034,Listas!I:I,Listas!J:J),"OUTROS"))))</f>
        <v>ADMITIDO</v>
      </c>
      <c r="J1034" s="240" t="s">
        <v>172</v>
      </c>
      <c r="K1034" s="240" t="s">
        <v>383</v>
      </c>
      <c r="L1034" s="240" t="s">
        <v>1108</v>
      </c>
      <c r="M1034" s="240"/>
      <c r="N1034" s="240" t="s">
        <v>378</v>
      </c>
      <c r="O1034" s="119" t="s">
        <v>56</v>
      </c>
      <c r="P1034" s="119" t="s">
        <v>35</v>
      </c>
      <c r="Q1034" s="119" t="s">
        <v>357</v>
      </c>
      <c r="R1034" s="234"/>
      <c r="S1034" s="273" t="s">
        <v>1702</v>
      </c>
      <c r="T1034" s="273">
        <v>11977779933</v>
      </c>
      <c r="U1034" s="73" t="s">
        <v>50</v>
      </c>
      <c r="V1034" s="216">
        <v>46197</v>
      </c>
      <c r="W1034" s="118" t="s">
        <v>2733</v>
      </c>
      <c r="X1034" s="119" t="s">
        <v>40</v>
      </c>
      <c r="Y1034" s="120">
        <v>46204</v>
      </c>
      <c r="Z1034" s="120">
        <v>46205</v>
      </c>
      <c r="AA1034" s="244">
        <v>83361</v>
      </c>
      <c r="AB1034" s="241" t="s">
        <v>2734</v>
      </c>
      <c r="AC1034" s="241"/>
      <c r="AD1034" s="244">
        <v>0</v>
      </c>
    </row>
    <row r="1035" spans="1:30" ht="18" customHeight="1">
      <c r="A1035" s="374">
        <v>30870</v>
      </c>
      <c r="B1035" s="376">
        <v>1</v>
      </c>
      <c r="C1035" s="375">
        <v>46196</v>
      </c>
      <c r="D1035" s="367">
        <f t="shared" ca="1" si="58"/>
        <v>31</v>
      </c>
      <c r="E1035" s="368" t="str">
        <f t="shared" ca="1" si="59"/>
        <v>CRÍTICO</v>
      </c>
      <c r="F1035" s="371" t="s">
        <v>42</v>
      </c>
      <c r="G1035" s="369" t="s">
        <v>69</v>
      </c>
      <c r="H1035" s="146" t="s">
        <v>638</v>
      </c>
      <c r="I1035" s="146" t="str">
        <f>IF(X1035="ADMITIDO","ADMITIDO",IF(X1035="CANCELADA","CANCELADA",IF(H1035="","",IFERROR(_xlfn.XLOOKUP(H1035,Listas!I:I,Listas!J:J),"OUTROS"))))</f>
        <v>TRIAGEM</v>
      </c>
      <c r="J1035" s="415" t="s">
        <v>53</v>
      </c>
      <c r="K1035" s="415" t="s">
        <v>70</v>
      </c>
      <c r="L1035" s="415" t="s">
        <v>237</v>
      </c>
      <c r="M1035" s="415"/>
      <c r="N1035" s="415" t="s">
        <v>63</v>
      </c>
      <c r="O1035" s="303" t="s">
        <v>34</v>
      </c>
      <c r="P1035" s="303" t="s">
        <v>72</v>
      </c>
      <c r="Q1035" s="303" t="s">
        <v>238</v>
      </c>
      <c r="R1035" s="418"/>
      <c r="S1035" s="419"/>
      <c r="T1035" s="345"/>
      <c r="U1035" s="326"/>
      <c r="V1035" s="313"/>
      <c r="W1035" s="302"/>
      <c r="X1035" s="303"/>
      <c r="Y1035" s="304"/>
      <c r="Z1035" s="304"/>
      <c r="AA1035" s="314"/>
      <c r="AB1035" s="302" t="s">
        <v>2735</v>
      </c>
      <c r="AC1035" s="346"/>
      <c r="AD1035" s="314">
        <v>1</v>
      </c>
    </row>
    <row r="1036" spans="1:30" ht="18" customHeight="1">
      <c r="A1036" s="237">
        <v>30878</v>
      </c>
      <c r="B1036" s="121">
        <v>1</v>
      </c>
      <c r="C1036" s="238">
        <v>46196</v>
      </c>
      <c r="D1036" s="105">
        <f t="shared" ca="1" si="58"/>
        <v>31</v>
      </c>
      <c r="E1036" s="138" t="str">
        <f t="shared" si="59"/>
        <v>ADMITIDO</v>
      </c>
      <c r="F1036" s="230" t="s">
        <v>28</v>
      </c>
      <c r="G1036" s="147" t="s">
        <v>663</v>
      </c>
      <c r="H1036" s="117" t="s">
        <v>40</v>
      </c>
      <c r="I1036" s="117" t="str">
        <f>IF(X1036="ADMITIDO","ADMITIDO",IF(X1036="CANCELADA","CANCELADA",IF(H1036="","",IFERROR(_xlfn.XLOOKUP(H1036,Listas!I:I,Listas!J:J),"OUTROS"))))</f>
        <v>ADMITIDO</v>
      </c>
      <c r="J1036" s="240" t="s">
        <v>609</v>
      </c>
      <c r="K1036" s="240" t="s">
        <v>31</v>
      </c>
      <c r="L1036" s="240" t="s">
        <v>92</v>
      </c>
      <c r="M1036" s="240"/>
      <c r="N1036" s="240" t="s">
        <v>93</v>
      </c>
      <c r="O1036" s="119" t="s">
        <v>34</v>
      </c>
      <c r="P1036" s="119" t="s">
        <v>35</v>
      </c>
      <c r="Q1036" s="119" t="s">
        <v>36</v>
      </c>
      <c r="R1036" s="234"/>
      <c r="S1036" s="273"/>
      <c r="T1036" s="274" t="s">
        <v>2736</v>
      </c>
      <c r="U1036" s="73" t="s">
        <v>38</v>
      </c>
      <c r="V1036" s="216">
        <v>46180</v>
      </c>
      <c r="W1036" s="118" t="s">
        <v>2737</v>
      </c>
      <c r="X1036" s="119" t="s">
        <v>40</v>
      </c>
      <c r="Y1036" s="120">
        <v>46213</v>
      </c>
      <c r="Z1036" s="120">
        <v>46214</v>
      </c>
      <c r="AA1036" s="244">
        <v>914613</v>
      </c>
      <c r="AB1036" s="241"/>
      <c r="AC1036" s="241"/>
      <c r="AD1036" s="244">
        <v>0</v>
      </c>
    </row>
    <row r="1037" spans="1:30" ht="18" customHeight="1">
      <c r="A1037" s="396">
        <v>30883</v>
      </c>
      <c r="B1037" s="405">
        <v>1</v>
      </c>
      <c r="C1037" s="404">
        <v>46196</v>
      </c>
      <c r="D1037" s="386">
        <f t="shared" ca="1" si="58"/>
        <v>31</v>
      </c>
      <c r="E1037" s="170" t="str">
        <f t="shared" si="59"/>
        <v>ADMITIDO</v>
      </c>
      <c r="F1037" s="397" t="s">
        <v>28</v>
      </c>
      <c r="G1037" s="392" t="s">
        <v>145</v>
      </c>
      <c r="H1037" s="139" t="s">
        <v>40</v>
      </c>
      <c r="I1037" s="139" t="str">
        <f>IF(X1037="ADMITIDO","ADMITIDO",IF(X1037="CANCELADA","CANCELADA",IF(H1037="","",IFERROR(_xlfn.XLOOKUP(H1037,Listas!I:I,Listas!J:J),"OUTROS"))))</f>
        <v>ADMITIDO</v>
      </c>
      <c r="J1037" s="427" t="s">
        <v>268</v>
      </c>
      <c r="K1037" s="428" t="s">
        <v>360</v>
      </c>
      <c r="L1037" s="428" t="s">
        <v>2665</v>
      </c>
      <c r="M1037" s="428"/>
      <c r="N1037" s="428" t="s">
        <v>2666</v>
      </c>
      <c r="O1037" s="308" t="s">
        <v>34</v>
      </c>
      <c r="P1037" s="308" t="s">
        <v>35</v>
      </c>
      <c r="Q1037" s="308" t="s">
        <v>36</v>
      </c>
      <c r="R1037" s="431"/>
      <c r="S1037" s="432"/>
      <c r="T1037" s="352"/>
      <c r="U1037" s="327" t="s">
        <v>132</v>
      </c>
      <c r="V1037" s="315">
        <v>46196</v>
      </c>
      <c r="W1037" s="310" t="s">
        <v>2738</v>
      </c>
      <c r="X1037" s="308" t="s">
        <v>40</v>
      </c>
      <c r="Y1037" s="309">
        <v>46199</v>
      </c>
      <c r="Z1037" s="309">
        <v>46199</v>
      </c>
      <c r="AA1037" s="316">
        <v>914529</v>
      </c>
      <c r="AB1037" s="351"/>
      <c r="AC1037" s="351"/>
      <c r="AD1037" s="316">
        <v>0</v>
      </c>
    </row>
    <row r="1038" spans="1:30" ht="18" customHeight="1">
      <c r="A1038" s="396">
        <v>30880</v>
      </c>
      <c r="B1038" s="405">
        <v>1</v>
      </c>
      <c r="C1038" s="404">
        <v>46196</v>
      </c>
      <c r="D1038" s="386">
        <f t="shared" ca="1" si="58"/>
        <v>31</v>
      </c>
      <c r="E1038" s="170" t="str">
        <f t="shared" ca="1" si="59"/>
        <v>CRÍTICO</v>
      </c>
      <c r="F1038" s="397" t="s">
        <v>42</v>
      </c>
      <c r="G1038" s="392" t="s">
        <v>102</v>
      </c>
      <c r="H1038" s="139" t="s">
        <v>91</v>
      </c>
      <c r="I1038" s="139" t="str">
        <f>IF(X1038="ADMITIDO","ADMITIDO",IF(X1038="CANCELADA","CANCELADA",IF(H1038="","",IFERROR(_xlfn.XLOOKUP(H1038,Listas!I:I,Listas!J:J),"OUTROS"))))</f>
        <v>TRIAGEM</v>
      </c>
      <c r="J1038" s="240" t="s">
        <v>53</v>
      </c>
      <c r="K1038" s="240" t="s">
        <v>103</v>
      </c>
      <c r="L1038" s="240" t="s">
        <v>488</v>
      </c>
      <c r="M1038" s="240"/>
      <c r="N1038" s="240" t="s">
        <v>63</v>
      </c>
      <c r="O1038" s="119" t="s">
        <v>34</v>
      </c>
      <c r="P1038" s="119" t="s">
        <v>210</v>
      </c>
      <c r="Q1038" s="119" t="s">
        <v>1170</v>
      </c>
      <c r="R1038" s="273"/>
      <c r="S1038" s="273"/>
      <c r="T1038" s="274"/>
      <c r="U1038" s="73"/>
      <c r="V1038" s="216"/>
      <c r="W1038" s="118"/>
      <c r="X1038" s="119"/>
      <c r="Y1038" s="120"/>
      <c r="Z1038" s="120"/>
      <c r="AA1038" s="244"/>
      <c r="AB1038" s="118" t="s">
        <v>2739</v>
      </c>
      <c r="AC1038" s="241"/>
      <c r="AD1038" s="244">
        <v>0</v>
      </c>
    </row>
    <row r="1039" spans="1:30" ht="18" customHeight="1">
      <c r="A1039" s="374">
        <v>30872</v>
      </c>
      <c r="B1039" s="376">
        <v>1</v>
      </c>
      <c r="C1039" s="375">
        <v>46196</v>
      </c>
      <c r="D1039" s="367">
        <f t="shared" ca="1" si="58"/>
        <v>31</v>
      </c>
      <c r="E1039" s="368" t="str">
        <f t="shared" si="59"/>
        <v>ADMITIDO</v>
      </c>
      <c r="F1039" s="371" t="s">
        <v>28</v>
      </c>
      <c r="G1039" s="369" t="s">
        <v>43</v>
      </c>
      <c r="H1039" s="146" t="s">
        <v>40</v>
      </c>
      <c r="I1039" s="146" t="str">
        <f>IF(X1039="ADMITIDO","ADMITIDO",IF(X1039="CANCELADA","CANCELADA",IF(H1039="","",IFERROR(_xlfn.XLOOKUP(H1039,Listas!I:I,Listas!J:J),"OUTROS"))))</f>
        <v>ADMITIDO</v>
      </c>
      <c r="J1039" s="415" t="s">
        <v>268</v>
      </c>
      <c r="K1039" s="415" t="s">
        <v>335</v>
      </c>
      <c r="L1039" s="415" t="s">
        <v>2740</v>
      </c>
      <c r="M1039" s="415"/>
      <c r="N1039" s="415" t="s">
        <v>337</v>
      </c>
      <c r="O1039" s="303" t="s">
        <v>56</v>
      </c>
      <c r="P1039" s="303" t="s">
        <v>35</v>
      </c>
      <c r="Q1039" s="303" t="s">
        <v>176</v>
      </c>
      <c r="R1039" s="418"/>
      <c r="S1039" s="419" t="s">
        <v>2692</v>
      </c>
      <c r="T1039" s="419">
        <v>15992529001</v>
      </c>
      <c r="U1039" s="326" t="s">
        <v>67</v>
      </c>
      <c r="V1039" s="313">
        <v>46198</v>
      </c>
      <c r="W1039" s="302" t="s">
        <v>2741</v>
      </c>
      <c r="X1039" s="303" t="s">
        <v>40</v>
      </c>
      <c r="Y1039" s="304">
        <v>46204</v>
      </c>
      <c r="Z1039" s="304">
        <v>46204</v>
      </c>
      <c r="AA1039" s="314">
        <v>914556</v>
      </c>
      <c r="AB1039" s="346"/>
      <c r="AC1039" s="346"/>
      <c r="AD1039" s="314">
        <v>0</v>
      </c>
    </row>
    <row r="1040" spans="1:30" ht="18" customHeight="1">
      <c r="A1040" s="237">
        <v>30893</v>
      </c>
      <c r="B1040" s="121">
        <v>1</v>
      </c>
      <c r="C1040" s="238">
        <v>46197</v>
      </c>
      <c r="D1040" s="105">
        <f t="shared" ca="1" si="58"/>
        <v>30</v>
      </c>
      <c r="E1040" s="138" t="str">
        <f t="shared" si="59"/>
        <v>ADMITIDO</v>
      </c>
      <c r="F1040" s="230" t="s">
        <v>42</v>
      </c>
      <c r="G1040" s="147" t="s">
        <v>663</v>
      </c>
      <c r="H1040" s="117" t="s">
        <v>40</v>
      </c>
      <c r="I1040" s="117" t="str">
        <f>IF(X1040="ADMITIDO","ADMITIDO",IF(X1040="CANCELADA","CANCELADA",IF(H1040="","",IFERROR(_xlfn.XLOOKUP(H1040,Listas!I:I,Listas!J:J),"OUTROS"))))</f>
        <v>ADMITIDO</v>
      </c>
      <c r="J1040" s="240" t="s">
        <v>53</v>
      </c>
      <c r="K1040" s="240" t="s">
        <v>228</v>
      </c>
      <c r="L1040" s="240" t="s">
        <v>453</v>
      </c>
      <c r="M1040" s="240"/>
      <c r="N1040" s="240" t="s">
        <v>93</v>
      </c>
      <c r="O1040" s="119" t="s">
        <v>56</v>
      </c>
      <c r="P1040" s="119" t="s">
        <v>2012</v>
      </c>
      <c r="Q1040" s="119" t="s">
        <v>165</v>
      </c>
      <c r="R1040" s="234" t="s">
        <v>2742</v>
      </c>
      <c r="S1040" s="273"/>
      <c r="T1040" s="274" t="s">
        <v>2743</v>
      </c>
      <c r="U1040" s="73" t="s">
        <v>38</v>
      </c>
      <c r="V1040" s="216">
        <v>46180</v>
      </c>
      <c r="W1040" s="251" t="s">
        <v>2744</v>
      </c>
      <c r="X1040" s="119" t="s">
        <v>40</v>
      </c>
      <c r="Y1040" s="120">
        <v>46211</v>
      </c>
      <c r="Z1040" s="120">
        <v>46213</v>
      </c>
      <c r="AA1040" s="244">
        <v>914604</v>
      </c>
      <c r="AB1040" s="241"/>
      <c r="AC1040" s="241"/>
      <c r="AD1040" s="244">
        <v>1</v>
      </c>
    </row>
    <row r="1041" spans="1:30" ht="18" customHeight="1">
      <c r="A1041" s="396">
        <v>30892</v>
      </c>
      <c r="B1041" s="405">
        <v>1</v>
      </c>
      <c r="C1041" s="404">
        <v>46197</v>
      </c>
      <c r="D1041" s="386">
        <f t="shared" ca="1" si="58"/>
        <v>30</v>
      </c>
      <c r="E1041" s="170" t="str">
        <f t="shared" ca="1" si="59"/>
        <v>CRÍTICO</v>
      </c>
      <c r="F1041" s="397" t="s">
        <v>42</v>
      </c>
      <c r="G1041" s="392" t="s">
        <v>102</v>
      </c>
      <c r="H1041" s="139" t="s">
        <v>259</v>
      </c>
      <c r="I1041" s="139" t="str">
        <f>IF(X1041="ADMITIDO","ADMITIDO",IF(X1041="CANCELADA","CANCELADA",IF(H1041="","",IFERROR(_xlfn.XLOOKUP(H1041,Listas!I:I,Listas!J:J),"OUTROS"))))</f>
        <v>TRIAGEM</v>
      </c>
      <c r="J1041" s="428" t="s">
        <v>53</v>
      </c>
      <c r="K1041" s="428" t="s">
        <v>103</v>
      </c>
      <c r="L1041" s="428" t="s">
        <v>297</v>
      </c>
      <c r="M1041" s="428"/>
      <c r="N1041" s="428" t="s">
        <v>33</v>
      </c>
      <c r="O1041" s="308" t="s">
        <v>34</v>
      </c>
      <c r="P1041" s="308" t="s">
        <v>48</v>
      </c>
      <c r="Q1041" s="308" t="s">
        <v>120</v>
      </c>
      <c r="R1041" s="432" t="s">
        <v>2745</v>
      </c>
      <c r="S1041" s="432" t="s">
        <v>2746</v>
      </c>
      <c r="T1041" s="352" t="s">
        <v>2747</v>
      </c>
      <c r="U1041" s="327" t="s">
        <v>67</v>
      </c>
      <c r="V1041" s="315">
        <v>46206</v>
      </c>
      <c r="W1041" s="310"/>
      <c r="X1041" s="308" t="s">
        <v>284</v>
      </c>
      <c r="Y1041" s="309"/>
      <c r="Z1041" s="309"/>
      <c r="AA1041" s="316"/>
      <c r="AB1041" s="351" t="s">
        <v>2748</v>
      </c>
      <c r="AC1041" s="351"/>
      <c r="AD1041" s="316">
        <v>1</v>
      </c>
    </row>
    <row r="1042" spans="1:30" ht="18" customHeight="1">
      <c r="A1042" s="374">
        <v>30890</v>
      </c>
      <c r="B1042" s="376">
        <v>1</v>
      </c>
      <c r="C1042" s="375">
        <v>46197</v>
      </c>
      <c r="D1042" s="367">
        <f t="shared" ca="1" si="58"/>
        <v>30</v>
      </c>
      <c r="E1042" s="368" t="str">
        <f t="shared" si="59"/>
        <v>ADMITIDO</v>
      </c>
      <c r="F1042" s="371" t="s">
        <v>171</v>
      </c>
      <c r="G1042" s="369" t="s">
        <v>240</v>
      </c>
      <c r="H1042" s="146" t="s">
        <v>40</v>
      </c>
      <c r="I1042" s="146" t="str">
        <f>IF(X1042="ADMITIDO","ADMITIDO",IF(X1042="CANCELADA","CANCELADA",IF(H1042="","",IFERROR(_xlfn.XLOOKUP(H1042,Listas!I:I,Listas!J:J),"OUTROS"))))</f>
        <v>ADMITIDO</v>
      </c>
      <c r="J1042" s="415" t="s">
        <v>514</v>
      </c>
      <c r="K1042" s="415" t="s">
        <v>676</v>
      </c>
      <c r="L1042" s="415" t="s">
        <v>307</v>
      </c>
      <c r="M1042" s="415"/>
      <c r="N1042" s="415" t="s">
        <v>243</v>
      </c>
      <c r="O1042" s="303" t="s">
        <v>34</v>
      </c>
      <c r="P1042" s="303" t="s">
        <v>35</v>
      </c>
      <c r="Q1042" s="303" t="s">
        <v>36</v>
      </c>
      <c r="R1042" s="418"/>
      <c r="S1042" s="419"/>
      <c r="T1042" s="345"/>
      <c r="U1042" s="326" t="s">
        <v>132</v>
      </c>
      <c r="V1042" s="313">
        <v>46203</v>
      </c>
      <c r="W1042" s="302" t="s">
        <v>2749</v>
      </c>
      <c r="X1042" s="303" t="s">
        <v>40</v>
      </c>
      <c r="Y1042" s="304">
        <v>46204</v>
      </c>
      <c r="Z1042" s="304">
        <v>46205</v>
      </c>
      <c r="AA1042" s="314">
        <v>83366</v>
      </c>
      <c r="AB1042" s="346"/>
      <c r="AC1042" s="346"/>
      <c r="AD1042" s="314">
        <v>0</v>
      </c>
    </row>
    <row r="1043" spans="1:30" ht="18" customHeight="1">
      <c r="A1043" s="237">
        <v>30884</v>
      </c>
      <c r="B1043" s="121">
        <v>1</v>
      </c>
      <c r="C1043" s="238">
        <v>46197</v>
      </c>
      <c r="D1043" s="105">
        <f t="shared" ca="1" si="58"/>
        <v>30</v>
      </c>
      <c r="E1043" s="138" t="str">
        <f t="shared" si="59"/>
        <v>ADMITIDO</v>
      </c>
      <c r="F1043" s="230" t="s">
        <v>42</v>
      </c>
      <c r="G1043" s="147" t="s">
        <v>43</v>
      </c>
      <c r="H1043" s="117" t="s">
        <v>40</v>
      </c>
      <c r="I1043" s="117" t="str">
        <f>IF(X1043="ADMITIDO","ADMITIDO",IF(X1043="CANCELADA","CANCELADA",IF(H1043="","",IFERROR(_xlfn.XLOOKUP(H1043,Listas!I:I,Listas!J:J),"OUTROS"))))</f>
        <v>ADMITIDO</v>
      </c>
      <c r="J1043" s="240" t="s">
        <v>53</v>
      </c>
      <c r="K1043" s="240" t="s">
        <v>45</v>
      </c>
      <c r="L1043" s="240" t="s">
        <v>1275</v>
      </c>
      <c r="M1043" s="240"/>
      <c r="N1043" s="240" t="s">
        <v>378</v>
      </c>
      <c r="O1043" s="119" t="s">
        <v>34</v>
      </c>
      <c r="P1043" s="119" t="s">
        <v>48</v>
      </c>
      <c r="Q1043" s="119" t="s">
        <v>541</v>
      </c>
      <c r="R1043" s="234"/>
      <c r="S1043" s="273" t="s">
        <v>2750</v>
      </c>
      <c r="T1043" s="274">
        <v>11955590192</v>
      </c>
      <c r="U1043" s="73" t="s">
        <v>50</v>
      </c>
      <c r="V1043" s="216">
        <v>46213</v>
      </c>
      <c r="W1043" s="118" t="s">
        <v>2751</v>
      </c>
      <c r="X1043" s="119" t="s">
        <v>40</v>
      </c>
      <c r="Y1043" s="120">
        <v>46218</v>
      </c>
      <c r="Z1043" s="120">
        <v>46219</v>
      </c>
      <c r="AA1043" s="550">
        <v>914630</v>
      </c>
      <c r="AB1043" s="241" t="s">
        <v>2752</v>
      </c>
      <c r="AC1043" s="241"/>
      <c r="AD1043" s="244">
        <v>0</v>
      </c>
    </row>
    <row r="1044" spans="1:30" ht="18" customHeight="1">
      <c r="A1044" s="396">
        <v>30886</v>
      </c>
      <c r="B1044" s="405">
        <v>1</v>
      </c>
      <c r="C1044" s="404">
        <v>46197</v>
      </c>
      <c r="D1044" s="386">
        <f t="shared" ca="1" si="58"/>
        <v>30</v>
      </c>
      <c r="E1044" s="170" t="str">
        <f t="shared" si="59"/>
        <v>ADMITIDO</v>
      </c>
      <c r="F1044" s="397" t="s">
        <v>28</v>
      </c>
      <c r="G1044" s="392" t="s">
        <v>240</v>
      </c>
      <c r="H1044" s="139" t="s">
        <v>40</v>
      </c>
      <c r="I1044" s="139" t="str">
        <f>IF(X1044="ADMITIDO","ADMITIDO",IF(X1044="CANCELADA","CANCELADA",IF(H1044="","",IFERROR(_xlfn.XLOOKUP(H1044,Listas!I:I,Listas!J:J),"OUTROS"))))</f>
        <v>ADMITIDO</v>
      </c>
      <c r="J1044" s="428" t="s">
        <v>675</v>
      </c>
      <c r="K1044" s="428" t="s">
        <v>676</v>
      </c>
      <c r="L1044" s="428" t="s">
        <v>677</v>
      </c>
      <c r="M1044" s="428"/>
      <c r="N1044" s="428" t="s">
        <v>63</v>
      </c>
      <c r="O1044" s="308" t="s">
        <v>56</v>
      </c>
      <c r="P1044" s="308" t="s">
        <v>35</v>
      </c>
      <c r="Q1044" s="308" t="s">
        <v>678</v>
      </c>
      <c r="R1044" s="431"/>
      <c r="S1044" s="432"/>
      <c r="T1044" s="352"/>
      <c r="U1044" s="327" t="s">
        <v>132</v>
      </c>
      <c r="V1044" s="315">
        <v>46203</v>
      </c>
      <c r="W1044" s="310" t="s">
        <v>2753</v>
      </c>
      <c r="X1044" s="308" t="s">
        <v>40</v>
      </c>
      <c r="Y1044" s="309">
        <v>46204</v>
      </c>
      <c r="Z1044" s="309">
        <v>46206</v>
      </c>
      <c r="AA1044" s="316">
        <v>83365</v>
      </c>
      <c r="AB1044" s="351"/>
      <c r="AC1044" s="351"/>
      <c r="AD1044" s="316">
        <v>0</v>
      </c>
    </row>
    <row r="1045" spans="1:30" ht="18" customHeight="1">
      <c r="A1045" s="237">
        <v>30885</v>
      </c>
      <c r="B1045" s="121">
        <v>1</v>
      </c>
      <c r="C1045" s="238">
        <v>46197</v>
      </c>
      <c r="D1045" s="105">
        <f t="shared" ca="1" si="58"/>
        <v>30</v>
      </c>
      <c r="E1045" s="138" t="str">
        <f t="shared" ca="1" si="59"/>
        <v>CRÍTICO</v>
      </c>
      <c r="F1045" s="230" t="s">
        <v>28</v>
      </c>
      <c r="G1045" s="147" t="s">
        <v>240</v>
      </c>
      <c r="H1045" s="117" t="s">
        <v>214</v>
      </c>
      <c r="I1045" s="117" t="str">
        <f>IF(X1045="ADMITIDO","ADMITIDO",IF(X1045="CANCELADA","CANCELADA",IF(H1045="","",IFERROR(_xlfn.XLOOKUP(H1045,Listas!I:I,Listas!J:J),"OUTROS"))))</f>
        <v>TRIAGEM</v>
      </c>
      <c r="J1045" s="240" t="s">
        <v>616</v>
      </c>
      <c r="K1045" s="240" t="s">
        <v>676</v>
      </c>
      <c r="L1045" s="240" t="s">
        <v>424</v>
      </c>
      <c r="M1045" s="240"/>
      <c r="N1045" s="240" t="s">
        <v>243</v>
      </c>
      <c r="O1045" s="119" t="s">
        <v>56</v>
      </c>
      <c r="P1045" s="119" t="s">
        <v>35</v>
      </c>
      <c r="Q1045" s="119" t="s">
        <v>176</v>
      </c>
      <c r="R1045" s="234"/>
      <c r="S1045" s="273" t="s">
        <v>65</v>
      </c>
      <c r="T1045" s="274"/>
      <c r="U1045" s="73"/>
      <c r="V1045" s="216"/>
      <c r="W1045" s="118"/>
      <c r="X1045" s="119"/>
      <c r="Y1045" s="120"/>
      <c r="Z1045" s="120"/>
      <c r="AA1045" s="244"/>
      <c r="AB1045" s="241" t="s">
        <v>2754</v>
      </c>
      <c r="AC1045" s="241"/>
      <c r="AD1045" s="244">
        <v>2</v>
      </c>
    </row>
    <row r="1046" spans="1:30" ht="18" customHeight="1">
      <c r="A1046" s="237">
        <v>30887</v>
      </c>
      <c r="B1046" s="121">
        <v>1</v>
      </c>
      <c r="C1046" s="238">
        <v>46197</v>
      </c>
      <c r="D1046" s="105">
        <f t="shared" ca="1" si="58"/>
        <v>30</v>
      </c>
      <c r="E1046" s="138" t="str">
        <f t="shared" si="59"/>
        <v>ADMITIDO</v>
      </c>
      <c r="F1046" s="230" t="s">
        <v>28</v>
      </c>
      <c r="G1046" s="147" t="s">
        <v>240</v>
      </c>
      <c r="H1046" s="117" t="s">
        <v>40</v>
      </c>
      <c r="I1046" s="117" t="str">
        <f>IF(X1046="ADMITIDO","ADMITIDO",IF(X1046="CANCELADA","CANCELADA",IF(H1046="","",IFERROR(_xlfn.XLOOKUP(H1046,Listas!I:I,Listas!J:J),"OUTROS"))))</f>
        <v>ADMITIDO</v>
      </c>
      <c r="J1046" s="240" t="s">
        <v>268</v>
      </c>
      <c r="K1046" s="240" t="s">
        <v>676</v>
      </c>
      <c r="L1046" s="240" t="s">
        <v>1065</v>
      </c>
      <c r="M1046" s="240"/>
      <c r="N1046" s="240" t="s">
        <v>63</v>
      </c>
      <c r="O1046" s="119" t="s">
        <v>56</v>
      </c>
      <c r="P1046" s="119" t="s">
        <v>35</v>
      </c>
      <c r="Q1046" s="119" t="s">
        <v>176</v>
      </c>
      <c r="R1046" s="234"/>
      <c r="S1046" s="273" t="s">
        <v>65</v>
      </c>
      <c r="T1046" s="274" t="s">
        <v>2755</v>
      </c>
      <c r="U1046" s="73" t="s">
        <v>109</v>
      </c>
      <c r="V1046" s="216">
        <v>46199</v>
      </c>
      <c r="W1046" s="118" t="s">
        <v>2756</v>
      </c>
      <c r="X1046" s="119" t="s">
        <v>40</v>
      </c>
      <c r="Y1046" s="120">
        <v>46203</v>
      </c>
      <c r="Z1046" s="120">
        <v>46204</v>
      </c>
      <c r="AA1046" s="244">
        <v>914545</v>
      </c>
      <c r="AB1046" s="241"/>
      <c r="AC1046" s="241"/>
      <c r="AD1046" s="244">
        <v>0</v>
      </c>
    </row>
    <row r="1047" spans="1:30" ht="18" customHeight="1">
      <c r="A1047" s="237">
        <v>30896</v>
      </c>
      <c r="B1047" s="121">
        <v>1</v>
      </c>
      <c r="C1047" s="238">
        <v>46197</v>
      </c>
      <c r="D1047" s="105">
        <f t="shared" ca="1" si="58"/>
        <v>30</v>
      </c>
      <c r="E1047" s="138" t="str">
        <f t="shared" si="59"/>
        <v>ADMITIDO</v>
      </c>
      <c r="F1047" s="230" t="s">
        <v>42</v>
      </c>
      <c r="G1047" s="147" t="s">
        <v>69</v>
      </c>
      <c r="H1047" s="117" t="s">
        <v>40</v>
      </c>
      <c r="I1047" s="117" t="str">
        <f>IF(X1047="ADMITIDO","ADMITIDO",IF(X1047="CANCELADA","CANCELADA",IF(H1047="","",IFERROR(_xlfn.XLOOKUP(H1047,Listas!I:I,Listas!J:J),"OUTROS"))))</f>
        <v>ADMITIDO</v>
      </c>
      <c r="J1047" s="240" t="s">
        <v>53</v>
      </c>
      <c r="K1047" s="240" t="s">
        <v>158</v>
      </c>
      <c r="L1047" s="240" t="s">
        <v>1040</v>
      </c>
      <c r="M1047" s="240"/>
      <c r="N1047" s="240" t="s">
        <v>63</v>
      </c>
      <c r="O1047" s="119" t="s">
        <v>34</v>
      </c>
      <c r="P1047" s="119" t="s">
        <v>72</v>
      </c>
      <c r="Q1047" s="119" t="s">
        <v>238</v>
      </c>
      <c r="R1047" s="234"/>
      <c r="S1047" s="273"/>
      <c r="T1047" s="274"/>
      <c r="U1047" s="73" t="s">
        <v>109</v>
      </c>
      <c r="V1047" s="216">
        <v>46199</v>
      </c>
      <c r="W1047" s="118" t="s">
        <v>2757</v>
      </c>
      <c r="X1047" s="119" t="s">
        <v>40</v>
      </c>
      <c r="Y1047" s="120">
        <v>46203</v>
      </c>
      <c r="Z1047" s="120">
        <v>46204</v>
      </c>
      <c r="AA1047" s="244">
        <v>914558</v>
      </c>
      <c r="AB1047" s="241"/>
      <c r="AC1047" s="241"/>
      <c r="AD1047" s="244">
        <v>0</v>
      </c>
    </row>
    <row r="1048" spans="1:30" ht="18" customHeight="1">
      <c r="A1048" s="237">
        <v>30895</v>
      </c>
      <c r="B1048" s="121">
        <v>1</v>
      </c>
      <c r="C1048" s="238">
        <v>46197</v>
      </c>
      <c r="D1048" s="105">
        <f t="shared" ca="1" si="58"/>
        <v>30</v>
      </c>
      <c r="E1048" s="138" t="str">
        <f t="shared" si="59"/>
        <v>ADMITIDO</v>
      </c>
      <c r="F1048" s="230" t="s">
        <v>42</v>
      </c>
      <c r="G1048" s="147" t="s">
        <v>69</v>
      </c>
      <c r="H1048" s="117" t="s">
        <v>40</v>
      </c>
      <c r="I1048" s="117" t="str">
        <f>IF(X1048="ADMITIDO","ADMITIDO",IF(X1048="CANCELADA","CANCELADA",IF(H1048="","",IFERROR(_xlfn.XLOOKUP(H1048,Listas!I:I,Listas!J:J),"OUTROS"))))</f>
        <v>ADMITIDO</v>
      </c>
      <c r="J1048" s="240" t="s">
        <v>53</v>
      </c>
      <c r="K1048" s="240" t="s">
        <v>158</v>
      </c>
      <c r="L1048" s="240" t="s">
        <v>1212</v>
      </c>
      <c r="M1048" s="240"/>
      <c r="N1048" s="240" t="s">
        <v>63</v>
      </c>
      <c r="O1048" s="119" t="s">
        <v>34</v>
      </c>
      <c r="P1048" s="119" t="s">
        <v>72</v>
      </c>
      <c r="Q1048" s="119" t="s">
        <v>73</v>
      </c>
      <c r="R1048" s="234"/>
      <c r="S1048" s="273"/>
      <c r="T1048" s="274"/>
      <c r="U1048" s="73" t="s">
        <v>76</v>
      </c>
      <c r="V1048" s="216">
        <v>46209</v>
      </c>
      <c r="W1048" s="118" t="s">
        <v>2758</v>
      </c>
      <c r="X1048" s="119" t="s">
        <v>40</v>
      </c>
      <c r="Y1048" s="120">
        <v>46211</v>
      </c>
      <c r="Z1048" s="120">
        <v>46216</v>
      </c>
      <c r="AA1048" s="244">
        <v>146207</v>
      </c>
      <c r="AB1048" s="241"/>
      <c r="AC1048" s="241"/>
      <c r="AD1048" s="244">
        <v>0</v>
      </c>
    </row>
    <row r="1049" spans="1:30" ht="18" customHeight="1">
      <c r="A1049" s="237">
        <v>30888</v>
      </c>
      <c r="B1049" s="121">
        <v>1</v>
      </c>
      <c r="C1049" s="238">
        <v>46197</v>
      </c>
      <c r="D1049" s="105">
        <f t="shared" ca="1" si="58"/>
        <v>30</v>
      </c>
      <c r="E1049" s="138" t="str">
        <f t="shared" si="59"/>
        <v>ADMITIDO</v>
      </c>
      <c r="F1049" s="230" t="s">
        <v>28</v>
      </c>
      <c r="G1049" s="147" t="s">
        <v>240</v>
      </c>
      <c r="H1049" s="117" t="s">
        <v>40</v>
      </c>
      <c r="I1049" s="117" t="str">
        <f>IF(X1049="ADMITIDO","ADMITIDO",IF(X1049="CANCELADA","CANCELADA",IF(H1049="","",IFERROR(_xlfn.XLOOKUP(H1049,Listas!I:I,Listas!J:J),"OUTROS"))))</f>
        <v>ADMITIDO</v>
      </c>
      <c r="J1049" s="240" t="s">
        <v>616</v>
      </c>
      <c r="K1049" s="240" t="s">
        <v>676</v>
      </c>
      <c r="L1049" s="240" t="s">
        <v>953</v>
      </c>
      <c r="M1049" s="240"/>
      <c r="N1049" s="240" t="s">
        <v>63</v>
      </c>
      <c r="O1049" s="119" t="s">
        <v>56</v>
      </c>
      <c r="P1049" s="119" t="s">
        <v>35</v>
      </c>
      <c r="Q1049" s="119" t="s">
        <v>176</v>
      </c>
      <c r="R1049" s="234"/>
      <c r="S1049" s="273" t="s">
        <v>373</v>
      </c>
      <c r="T1049" s="274"/>
      <c r="U1049" s="73" t="s">
        <v>109</v>
      </c>
      <c r="V1049" s="216">
        <v>46209</v>
      </c>
      <c r="W1049" s="118" t="s">
        <v>2759</v>
      </c>
      <c r="X1049" s="119" t="s">
        <v>40</v>
      </c>
      <c r="Y1049" s="120">
        <v>46211</v>
      </c>
      <c r="Z1049" s="120">
        <v>46213</v>
      </c>
      <c r="AA1049" s="244">
        <v>914607</v>
      </c>
      <c r="AB1049" s="241"/>
      <c r="AC1049" s="241"/>
      <c r="AD1049" s="244">
        <v>0</v>
      </c>
    </row>
    <row r="1050" spans="1:30" ht="18" customHeight="1">
      <c r="A1050" s="374">
        <v>30897</v>
      </c>
      <c r="B1050" s="376">
        <v>1</v>
      </c>
      <c r="C1050" s="375">
        <v>46197</v>
      </c>
      <c r="D1050" s="367">
        <f t="shared" ca="1" si="58"/>
        <v>30</v>
      </c>
      <c r="E1050" s="368" t="str">
        <f t="shared" si="59"/>
        <v>ADMITIDO</v>
      </c>
      <c r="F1050" s="371" t="s">
        <v>42</v>
      </c>
      <c r="G1050" s="369" t="s">
        <v>69</v>
      </c>
      <c r="H1050" s="117" t="s">
        <v>40</v>
      </c>
      <c r="I1050" s="146" t="str">
        <f>IF(X1050="ADMITIDO","ADMITIDO",IF(X1050="CANCELADA","CANCELADA",IF(H1050="","",IFERROR(_xlfn.XLOOKUP(H1050,Listas!I:I,Listas!J:J),"OUTROS"))))</f>
        <v>ADMITIDO</v>
      </c>
      <c r="J1050" s="415" t="s">
        <v>53</v>
      </c>
      <c r="K1050" s="415" t="s">
        <v>158</v>
      </c>
      <c r="L1050" s="415" t="s">
        <v>1068</v>
      </c>
      <c r="M1050" s="415"/>
      <c r="N1050" s="415" t="s">
        <v>63</v>
      </c>
      <c r="O1050" s="303" t="s">
        <v>34</v>
      </c>
      <c r="P1050" s="303" t="s">
        <v>219</v>
      </c>
      <c r="Q1050" s="303" t="s">
        <v>247</v>
      </c>
      <c r="R1050" s="418"/>
      <c r="S1050" s="419"/>
      <c r="T1050" s="345"/>
      <c r="U1050" s="326" t="s">
        <v>76</v>
      </c>
      <c r="V1050" s="313">
        <v>46203</v>
      </c>
      <c r="W1050" s="302" t="s">
        <v>2760</v>
      </c>
      <c r="X1050" s="303" t="s">
        <v>40</v>
      </c>
      <c r="Y1050" s="304">
        <v>46205</v>
      </c>
      <c r="Z1050" s="304">
        <v>46206</v>
      </c>
      <c r="AA1050" s="314">
        <v>914576</v>
      </c>
      <c r="AB1050" s="346"/>
      <c r="AC1050" s="346"/>
      <c r="AD1050" s="314">
        <v>0</v>
      </c>
    </row>
    <row r="1051" spans="1:30" ht="18" customHeight="1">
      <c r="A1051" s="237">
        <v>30898</v>
      </c>
      <c r="B1051" s="121">
        <v>1</v>
      </c>
      <c r="C1051" s="238">
        <v>46198</v>
      </c>
      <c r="D1051" s="105">
        <f t="shared" ca="1" si="58"/>
        <v>29</v>
      </c>
      <c r="E1051" s="138" t="str">
        <f t="shared" si="59"/>
        <v>ADMITIDO</v>
      </c>
      <c r="F1051" s="230" t="s">
        <v>42</v>
      </c>
      <c r="G1051" s="147" t="s">
        <v>60</v>
      </c>
      <c r="H1051" s="117" t="s">
        <v>181</v>
      </c>
      <c r="I1051" s="117" t="str">
        <f>IF(X1051="ADMITIDO","ADMITIDO",IF(X1051="CANCELADA","CANCELADA",IF(H1051="","",IFERROR(_xlfn.XLOOKUP(H1051,Listas!I:I,Listas!J:J),"OUTROS"))))</f>
        <v>ADMITIDO</v>
      </c>
      <c r="J1051" s="240" t="s">
        <v>53</v>
      </c>
      <c r="K1051" s="240" t="s">
        <v>61</v>
      </c>
      <c r="L1051" s="240" t="s">
        <v>255</v>
      </c>
      <c r="M1051" s="240"/>
      <c r="N1051" s="240" t="s">
        <v>63</v>
      </c>
      <c r="O1051" s="119" t="s">
        <v>34</v>
      </c>
      <c r="P1051" s="119" t="s">
        <v>219</v>
      </c>
      <c r="Q1051" s="119" t="s">
        <v>633</v>
      </c>
      <c r="R1051" s="234"/>
      <c r="S1051" s="273" t="s">
        <v>373</v>
      </c>
      <c r="T1051" s="274" t="s">
        <v>2761</v>
      </c>
      <c r="U1051" s="73" t="s">
        <v>76</v>
      </c>
      <c r="V1051" s="216">
        <v>46223</v>
      </c>
      <c r="W1051" s="118" t="s">
        <v>2762</v>
      </c>
      <c r="X1051" s="119" t="s">
        <v>40</v>
      </c>
      <c r="Y1051" s="120">
        <v>46226</v>
      </c>
      <c r="Z1051" s="120">
        <v>46230</v>
      </c>
      <c r="AA1051" s="244">
        <v>914678</v>
      </c>
      <c r="AB1051" s="241"/>
      <c r="AC1051" s="241"/>
      <c r="AD1051" s="244">
        <v>0</v>
      </c>
    </row>
    <row r="1052" spans="1:30" ht="18" customHeight="1">
      <c r="A1052" s="396">
        <v>30905</v>
      </c>
      <c r="B1052" s="405">
        <v>1</v>
      </c>
      <c r="C1052" s="404">
        <v>46198</v>
      </c>
      <c r="D1052" s="386">
        <f t="shared" ca="1" si="58"/>
        <v>29</v>
      </c>
      <c r="E1052" s="170" t="str">
        <f t="shared" si="59"/>
        <v>ADMITIDO</v>
      </c>
      <c r="F1052" s="397" t="s">
        <v>28</v>
      </c>
      <c r="G1052" s="392" t="s">
        <v>240</v>
      </c>
      <c r="H1052" s="117" t="s">
        <v>40</v>
      </c>
      <c r="I1052" s="139" t="str">
        <f>IF(X1052="ADMITIDO","ADMITIDO",IF(X1052="CANCELADA","CANCELADA",IF(H1052="","",IFERROR(_xlfn.XLOOKUP(H1052,Listas!I:I,Listas!J:J),"OUTROS"))))</f>
        <v>ADMITIDO</v>
      </c>
      <c r="J1052" s="428" t="s">
        <v>268</v>
      </c>
      <c r="K1052" s="428" t="s">
        <v>676</v>
      </c>
      <c r="L1052" s="428" t="s">
        <v>502</v>
      </c>
      <c r="M1052" s="428"/>
      <c r="N1052" s="428" t="s">
        <v>63</v>
      </c>
      <c r="O1052" s="308" t="s">
        <v>56</v>
      </c>
      <c r="P1052" s="308" t="s">
        <v>35</v>
      </c>
      <c r="Q1052" s="308" t="s">
        <v>176</v>
      </c>
      <c r="R1052" s="431"/>
      <c r="S1052" s="432" t="s">
        <v>65</v>
      </c>
      <c r="T1052" s="352" t="s">
        <v>2763</v>
      </c>
      <c r="U1052" s="327" t="s">
        <v>67</v>
      </c>
      <c r="V1052" s="315">
        <v>46199</v>
      </c>
      <c r="W1052" s="310" t="s">
        <v>2764</v>
      </c>
      <c r="X1052" s="308" t="s">
        <v>40</v>
      </c>
      <c r="Y1052" s="309">
        <v>46204</v>
      </c>
      <c r="Z1052" s="309">
        <v>46206</v>
      </c>
      <c r="AA1052" s="316">
        <v>914565</v>
      </c>
      <c r="AB1052" s="351"/>
      <c r="AC1052" s="351"/>
      <c r="AD1052" s="316">
        <v>0</v>
      </c>
    </row>
    <row r="1053" spans="1:30" ht="18" customHeight="1">
      <c r="A1053" s="237">
        <v>30913</v>
      </c>
      <c r="B1053" s="121">
        <v>1</v>
      </c>
      <c r="C1053" s="238">
        <v>46198</v>
      </c>
      <c r="D1053" s="105">
        <f t="shared" ca="1" si="58"/>
        <v>29</v>
      </c>
      <c r="E1053" s="138" t="str">
        <f t="shared" si="59"/>
        <v>ADMITIDO</v>
      </c>
      <c r="F1053" s="230" t="s">
        <v>42</v>
      </c>
      <c r="G1053" s="147" t="s">
        <v>60</v>
      </c>
      <c r="H1053" s="117" t="s">
        <v>40</v>
      </c>
      <c r="I1053" s="117" t="str">
        <f>IF(X1053="ADMITIDO","ADMITIDO",IF(X1053="CANCELADA","CANCELADA",IF(H1053="","",IFERROR(_xlfn.XLOOKUP(H1053,Listas!I:I,Listas!J:J),"OUTROS"))))</f>
        <v>ADMITIDO</v>
      </c>
      <c r="J1053" s="240" t="s">
        <v>53</v>
      </c>
      <c r="K1053" s="240" t="s">
        <v>61</v>
      </c>
      <c r="L1053" s="240" t="s">
        <v>556</v>
      </c>
      <c r="M1053" s="240"/>
      <c r="N1053" s="240" t="s">
        <v>63</v>
      </c>
      <c r="O1053" s="119" t="s">
        <v>34</v>
      </c>
      <c r="P1053" s="119" t="s">
        <v>72</v>
      </c>
      <c r="Q1053" s="119" t="s">
        <v>633</v>
      </c>
      <c r="R1053" s="234"/>
      <c r="S1053" s="273" t="s">
        <v>1533</v>
      </c>
      <c r="T1053" s="274" t="s">
        <v>2765</v>
      </c>
      <c r="U1053" s="73" t="s">
        <v>76</v>
      </c>
      <c r="V1053" s="216">
        <v>46205</v>
      </c>
      <c r="W1053" s="118" t="s">
        <v>2766</v>
      </c>
      <c r="X1053" s="119" t="s">
        <v>40</v>
      </c>
      <c r="Y1053" s="120">
        <v>46210</v>
      </c>
      <c r="Z1053" s="120">
        <v>46211</v>
      </c>
      <c r="AA1053" s="244">
        <v>146193</v>
      </c>
      <c r="AB1053" s="241"/>
      <c r="AC1053" s="241"/>
      <c r="AD1053" s="244">
        <v>0</v>
      </c>
    </row>
    <row r="1054" spans="1:30" ht="18" customHeight="1">
      <c r="A1054" s="237">
        <v>30914</v>
      </c>
      <c r="B1054" s="121">
        <v>1</v>
      </c>
      <c r="C1054" s="238">
        <v>46198</v>
      </c>
      <c r="D1054" s="367">
        <f t="shared" ca="1" si="58"/>
        <v>29</v>
      </c>
      <c r="E1054" s="368" t="str">
        <f t="shared" si="59"/>
        <v>ADMITIDO</v>
      </c>
      <c r="F1054" s="371" t="s">
        <v>42</v>
      </c>
      <c r="G1054" s="369" t="s">
        <v>60</v>
      </c>
      <c r="H1054" s="146" t="s">
        <v>40</v>
      </c>
      <c r="I1054" s="117" t="str">
        <f>IF(X1054="ADMITIDO","ADMITIDO",IF(X1054="CANCELADA","CANCELADA",IF(H1054="","",IFERROR(_xlfn.XLOOKUP(H1054,Listas!I:I,Listas!J:J),"OUTROS"))))</f>
        <v>ADMITIDO</v>
      </c>
      <c r="J1054" s="240" t="s">
        <v>53</v>
      </c>
      <c r="K1054" s="240" t="s">
        <v>61</v>
      </c>
      <c r="L1054" s="240" t="s">
        <v>556</v>
      </c>
      <c r="M1054" s="240"/>
      <c r="N1054" s="240" t="s">
        <v>63</v>
      </c>
      <c r="O1054" s="119" t="s">
        <v>34</v>
      </c>
      <c r="P1054" s="119" t="s">
        <v>72</v>
      </c>
      <c r="Q1054" s="119" t="s">
        <v>238</v>
      </c>
      <c r="R1054" s="234"/>
      <c r="S1054" s="273" t="s">
        <v>1533</v>
      </c>
      <c r="T1054" s="274" t="s">
        <v>2767</v>
      </c>
      <c r="U1054" s="73" t="s">
        <v>109</v>
      </c>
      <c r="V1054" s="216">
        <v>46204</v>
      </c>
      <c r="W1054" s="118" t="s">
        <v>2768</v>
      </c>
      <c r="X1054" s="119" t="s">
        <v>40</v>
      </c>
      <c r="Y1054" s="120">
        <v>46210</v>
      </c>
      <c r="Z1054" s="120">
        <v>46211</v>
      </c>
      <c r="AA1054" s="244">
        <v>146195</v>
      </c>
      <c r="AB1054" s="241"/>
      <c r="AC1054" s="241"/>
      <c r="AD1054" s="244">
        <v>0</v>
      </c>
    </row>
    <row r="1055" spans="1:30" ht="18" customHeight="1">
      <c r="A1055" s="237">
        <v>30904</v>
      </c>
      <c r="B1055" s="121">
        <v>1</v>
      </c>
      <c r="C1055" s="588">
        <v>46198</v>
      </c>
      <c r="D1055" s="105">
        <f t="shared" ca="1" si="58"/>
        <v>29</v>
      </c>
      <c r="E1055" s="138" t="str">
        <f t="shared" si="59"/>
        <v>ADMITIDO</v>
      </c>
      <c r="F1055" s="230" t="s">
        <v>42</v>
      </c>
      <c r="G1055" s="147" t="s">
        <v>43</v>
      </c>
      <c r="H1055" s="117" t="s">
        <v>40</v>
      </c>
      <c r="I1055" s="576" t="str">
        <f>IF(X1055="ADMITIDO","ADMITIDO",IF(X1055="CANCELADA","CANCELADA",IF(H1055="","",IFERROR(_xlfn.XLOOKUP(H1055,Listas!I:I,Listas!J:J),"OUTROS"))))</f>
        <v>ADMITIDO</v>
      </c>
      <c r="J1055" s="240" t="s">
        <v>53</v>
      </c>
      <c r="K1055" s="240" t="s">
        <v>45</v>
      </c>
      <c r="L1055" s="240" t="s">
        <v>377</v>
      </c>
      <c r="M1055" s="240"/>
      <c r="N1055" s="240" t="s">
        <v>378</v>
      </c>
      <c r="O1055" s="119" t="s">
        <v>56</v>
      </c>
      <c r="P1055" s="119" t="s">
        <v>35</v>
      </c>
      <c r="Q1055" s="119" t="s">
        <v>176</v>
      </c>
      <c r="R1055" s="234"/>
      <c r="S1055" s="273" t="s">
        <v>2088</v>
      </c>
      <c r="T1055" s="273">
        <v>11957190050</v>
      </c>
      <c r="U1055" s="73" t="s">
        <v>50</v>
      </c>
      <c r="V1055" s="216">
        <v>46202</v>
      </c>
      <c r="W1055" s="118" t="s">
        <v>2769</v>
      </c>
      <c r="X1055" s="119" t="s">
        <v>40</v>
      </c>
      <c r="Y1055" s="120">
        <v>46206</v>
      </c>
      <c r="Z1055" s="120">
        <v>46209</v>
      </c>
      <c r="AA1055" s="520">
        <v>146176</v>
      </c>
      <c r="AB1055" s="241" t="s">
        <v>2770</v>
      </c>
      <c r="AC1055" s="241"/>
      <c r="AD1055" s="244">
        <v>0</v>
      </c>
    </row>
    <row r="1056" spans="1:30" ht="18" customHeight="1">
      <c r="A1056" s="374">
        <v>30907</v>
      </c>
      <c r="B1056" s="376">
        <v>1</v>
      </c>
      <c r="C1056" s="375">
        <v>46198</v>
      </c>
      <c r="D1056" s="380">
        <f t="shared" ca="1" si="58"/>
        <v>29</v>
      </c>
      <c r="E1056" s="381" t="str">
        <f t="shared" si="59"/>
        <v>ADMITIDO</v>
      </c>
      <c r="F1056" s="395" t="s">
        <v>42</v>
      </c>
      <c r="G1056" s="390" t="s">
        <v>69</v>
      </c>
      <c r="H1056" s="382" t="s">
        <v>40</v>
      </c>
      <c r="I1056" s="146" t="str">
        <f>IF(X1056="ADMITIDO","ADMITIDO",IF(X1056="CANCELADA","CANCELADA",IF(H1056="","",IFERROR(_xlfn.XLOOKUP(H1056,Listas!I:I,Listas!J:J),"OUTROS"))))</f>
        <v>ADMITIDO</v>
      </c>
      <c r="J1056" s="415" t="s">
        <v>782</v>
      </c>
      <c r="K1056" s="415" t="s">
        <v>158</v>
      </c>
      <c r="L1056" s="415" t="s">
        <v>2703</v>
      </c>
      <c r="M1056" s="415"/>
      <c r="N1056" s="415"/>
      <c r="O1056" s="303" t="s">
        <v>34</v>
      </c>
      <c r="P1056" s="303" t="s">
        <v>57</v>
      </c>
      <c r="Q1056" s="303" t="s">
        <v>98</v>
      </c>
      <c r="R1056" s="418"/>
      <c r="S1056" s="419"/>
      <c r="T1056" s="345"/>
      <c r="U1056" s="326" t="s">
        <v>109</v>
      </c>
      <c r="V1056" s="313">
        <v>46206</v>
      </c>
      <c r="W1056" s="302" t="s">
        <v>2771</v>
      </c>
      <c r="X1056" s="303" t="s">
        <v>40</v>
      </c>
      <c r="Y1056" s="304">
        <v>46211</v>
      </c>
      <c r="Z1056" s="304">
        <v>46213</v>
      </c>
      <c r="AA1056" s="314">
        <v>146211</v>
      </c>
      <c r="AB1056" s="346"/>
      <c r="AC1056" s="346"/>
      <c r="AD1056" s="314">
        <v>0</v>
      </c>
    </row>
    <row r="1057" spans="1:30" ht="18" customHeight="1">
      <c r="A1057" s="237">
        <v>30918</v>
      </c>
      <c r="B1057" s="121">
        <v>1</v>
      </c>
      <c r="C1057" s="238">
        <v>46198</v>
      </c>
      <c r="D1057" s="105">
        <f t="shared" ca="1" si="58"/>
        <v>29</v>
      </c>
      <c r="E1057" s="138" t="str">
        <f t="shared" si="59"/>
        <v>ADMITIDO</v>
      </c>
      <c r="F1057" s="230" t="s">
        <v>42</v>
      </c>
      <c r="G1057" s="147" t="s">
        <v>60</v>
      </c>
      <c r="H1057" s="117" t="s">
        <v>40</v>
      </c>
      <c r="I1057" s="117" t="str">
        <f>IF(X1057="ADMITIDO","ADMITIDO",IF(X1057="CANCELADA","CANCELADA",IF(H1057="","",IFERROR(_xlfn.XLOOKUP(H1057,Listas!I:I,Listas!J:J),"OUTROS"))))</f>
        <v>ADMITIDO</v>
      </c>
      <c r="J1057" s="240" t="s">
        <v>53</v>
      </c>
      <c r="K1057" s="240" t="s">
        <v>61</v>
      </c>
      <c r="L1057" s="240" t="s">
        <v>506</v>
      </c>
      <c r="M1057" s="240"/>
      <c r="N1057" s="240" t="s">
        <v>63</v>
      </c>
      <c r="O1057" s="119" t="s">
        <v>34</v>
      </c>
      <c r="P1057" s="119" t="s">
        <v>219</v>
      </c>
      <c r="Q1057" s="119" t="s">
        <v>578</v>
      </c>
      <c r="R1057" s="234"/>
      <c r="S1057" s="273" t="s">
        <v>1533</v>
      </c>
      <c r="T1057" s="274" t="s">
        <v>2772</v>
      </c>
      <c r="U1057" s="73" t="s">
        <v>109</v>
      </c>
      <c r="V1057" s="216">
        <v>46206</v>
      </c>
      <c r="W1057" s="118" t="s">
        <v>2773</v>
      </c>
      <c r="X1057" s="119" t="s">
        <v>40</v>
      </c>
      <c r="Y1057" s="120">
        <v>46210</v>
      </c>
      <c r="Z1057" s="120">
        <v>46211</v>
      </c>
      <c r="AA1057" s="244">
        <v>914592</v>
      </c>
      <c r="AB1057" s="241"/>
      <c r="AC1057" s="241"/>
      <c r="AD1057" s="244">
        <v>0</v>
      </c>
    </row>
    <row r="1058" spans="1:30" ht="18" customHeight="1">
      <c r="A1058" s="402">
        <v>30912</v>
      </c>
      <c r="B1058" s="406">
        <v>1</v>
      </c>
      <c r="C1058" s="403">
        <v>46198</v>
      </c>
      <c r="D1058" s="380">
        <f t="shared" ca="1" si="58"/>
        <v>29</v>
      </c>
      <c r="E1058" s="381" t="str">
        <f t="shared" si="59"/>
        <v>ADMITIDO</v>
      </c>
      <c r="F1058" s="395" t="s">
        <v>42</v>
      </c>
      <c r="G1058" s="390" t="s">
        <v>240</v>
      </c>
      <c r="H1058" s="117" t="s">
        <v>40</v>
      </c>
      <c r="I1058" s="382" t="str">
        <f>IF(X1058="ADMITIDO","ADMITIDO",IF(X1058="CANCELADA","CANCELADA",IF(H1058="","",IFERROR(_xlfn.XLOOKUP(H1058,Listas!I:I,Listas!J:J),"OUTROS"))))</f>
        <v>ADMITIDO</v>
      </c>
      <c r="J1058" s="570" t="s">
        <v>479</v>
      </c>
      <c r="K1058" s="240" t="s">
        <v>241</v>
      </c>
      <c r="L1058" s="240" t="s">
        <v>351</v>
      </c>
      <c r="M1058" s="435"/>
      <c r="N1058" s="435" t="s">
        <v>63</v>
      </c>
      <c r="O1058" s="306" t="s">
        <v>34</v>
      </c>
      <c r="P1058" s="306" t="s">
        <v>57</v>
      </c>
      <c r="Q1058" s="306" t="s">
        <v>352</v>
      </c>
      <c r="R1058" s="436"/>
      <c r="S1058" s="437" t="s">
        <v>1525</v>
      </c>
      <c r="T1058" s="438"/>
      <c r="U1058" s="189" t="s">
        <v>109</v>
      </c>
      <c r="V1058" s="328">
        <v>46210</v>
      </c>
      <c r="W1058" s="305" t="s">
        <v>2774</v>
      </c>
      <c r="X1058" s="306" t="s">
        <v>40</v>
      </c>
      <c r="Y1058" s="307">
        <v>46220</v>
      </c>
      <c r="Z1058" s="307">
        <v>46224</v>
      </c>
      <c r="AA1058" s="329">
        <v>914648</v>
      </c>
      <c r="AB1058" s="439"/>
      <c r="AC1058" s="439"/>
      <c r="AD1058" s="329">
        <v>0</v>
      </c>
    </row>
    <row r="1059" spans="1:30" ht="18" customHeight="1">
      <c r="A1059" s="374">
        <v>30911</v>
      </c>
      <c r="B1059" s="376">
        <v>1</v>
      </c>
      <c r="C1059" s="375">
        <v>46198</v>
      </c>
      <c r="D1059" s="367">
        <f t="shared" ca="1" si="58"/>
        <v>29</v>
      </c>
      <c r="E1059" s="368" t="str">
        <f t="shared" ca="1" si="59"/>
        <v>CRÍTICO</v>
      </c>
      <c r="F1059" s="371" t="s">
        <v>42</v>
      </c>
      <c r="G1059" s="369" t="s">
        <v>663</v>
      </c>
      <c r="H1059" s="146" t="s">
        <v>181</v>
      </c>
      <c r="I1059" s="146" t="str">
        <f>IF(X1059="ADMITIDO","ADMITIDO",IF(X1059="CANCELADA","CANCELADA",IF(H1059="","",IFERROR(_xlfn.XLOOKUP(H1059,Listas!I:I,Listas!J:J),"OUTROS"))))</f>
        <v>DOCUMENTAÇÃO</v>
      </c>
      <c r="J1059" s="415" t="s">
        <v>53</v>
      </c>
      <c r="K1059" s="415" t="s">
        <v>54</v>
      </c>
      <c r="L1059" s="415" t="s">
        <v>1017</v>
      </c>
      <c r="M1059" s="415"/>
      <c r="N1059" s="415" t="s">
        <v>435</v>
      </c>
      <c r="O1059" s="303" t="s">
        <v>34</v>
      </c>
      <c r="P1059" s="303" t="s">
        <v>57</v>
      </c>
      <c r="Q1059" s="303" t="s">
        <v>1437</v>
      </c>
      <c r="R1059" s="234"/>
      <c r="S1059" s="273"/>
      <c r="T1059" s="274" t="s">
        <v>2775</v>
      </c>
      <c r="U1059" s="73" t="s">
        <v>38</v>
      </c>
      <c r="V1059" s="216" t="s">
        <v>2776</v>
      </c>
      <c r="W1059" s="65" t="s">
        <v>2777</v>
      </c>
      <c r="X1059" s="119" t="s">
        <v>188</v>
      </c>
      <c r="Y1059" s="304">
        <v>46227</v>
      </c>
      <c r="Z1059" s="304">
        <v>46228</v>
      </c>
      <c r="AA1059" s="314">
        <v>146275</v>
      </c>
      <c r="AB1059" s="346"/>
      <c r="AC1059" s="346"/>
      <c r="AD1059" s="314">
        <v>0</v>
      </c>
    </row>
    <row r="1060" spans="1:30" ht="18" customHeight="1">
      <c r="A1060" s="237">
        <v>30919</v>
      </c>
      <c r="B1060" s="121">
        <v>1</v>
      </c>
      <c r="C1060" s="238">
        <v>46198</v>
      </c>
      <c r="D1060" s="105">
        <f t="shared" ca="1" si="58"/>
        <v>29</v>
      </c>
      <c r="E1060" s="138" t="str">
        <f t="shared" si="59"/>
        <v>ADMITIDO</v>
      </c>
      <c r="F1060" s="230" t="s">
        <v>42</v>
      </c>
      <c r="G1060" s="147" t="s">
        <v>60</v>
      </c>
      <c r="H1060" s="382" t="s">
        <v>40</v>
      </c>
      <c r="I1060" s="117" t="str">
        <f>IF(X1060="ADMITIDO","ADMITIDO",IF(X1060="CANCELADA","CANCELADA",IF(H1060="","",IFERROR(_xlfn.XLOOKUP(H1060,Listas!I:I,Listas!J:J),"OUTROS"))))</f>
        <v>ADMITIDO</v>
      </c>
      <c r="J1060" s="240" t="s">
        <v>44</v>
      </c>
      <c r="K1060" s="240" t="s">
        <v>61</v>
      </c>
      <c r="L1060" s="240" t="s">
        <v>1227</v>
      </c>
      <c r="M1060" s="240"/>
      <c r="N1060" s="240" t="s">
        <v>63</v>
      </c>
      <c r="O1060" s="119" t="s">
        <v>34</v>
      </c>
      <c r="P1060" s="119" t="s">
        <v>57</v>
      </c>
      <c r="Q1060" s="119" t="s">
        <v>151</v>
      </c>
      <c r="R1060" s="234" t="s">
        <v>2778</v>
      </c>
      <c r="S1060" s="273"/>
      <c r="T1060" s="274"/>
      <c r="U1060" s="73" t="s">
        <v>109</v>
      </c>
      <c r="V1060" s="216">
        <v>46209</v>
      </c>
      <c r="W1060" s="118" t="s">
        <v>2779</v>
      </c>
      <c r="X1060" s="119" t="s">
        <v>40</v>
      </c>
      <c r="Y1060" s="120">
        <v>46211</v>
      </c>
      <c r="Z1060" s="120">
        <v>46213</v>
      </c>
      <c r="AA1060" s="244">
        <v>146206</v>
      </c>
      <c r="AB1060" s="241" t="s">
        <v>2780</v>
      </c>
      <c r="AC1060" s="241"/>
      <c r="AD1060" s="244">
        <v>1</v>
      </c>
    </row>
    <row r="1061" spans="1:30" ht="18" customHeight="1">
      <c r="A1061" s="402">
        <v>30899</v>
      </c>
      <c r="B1061" s="406">
        <v>1</v>
      </c>
      <c r="C1061" s="403">
        <v>46198</v>
      </c>
      <c r="D1061" s="380">
        <f t="shared" ca="1" si="58"/>
        <v>29</v>
      </c>
      <c r="E1061" s="381" t="str">
        <f t="shared" ca="1" si="59"/>
        <v>CRÍTICO</v>
      </c>
      <c r="F1061" s="395" t="s">
        <v>42</v>
      </c>
      <c r="G1061" s="390" t="s">
        <v>69</v>
      </c>
      <c r="H1061" s="382" t="s">
        <v>638</v>
      </c>
      <c r="I1061" s="382" t="str">
        <f>IF(X1061="ADMITIDO","ADMITIDO",IF(X1061="CANCELADA","CANCELADA",IF(H1061="","",IFERROR(_xlfn.XLOOKUP(H1061,Listas!I:I,Listas!J:J),"OUTROS"))))</f>
        <v>TRIAGEM</v>
      </c>
      <c r="J1061" s="435" t="s">
        <v>53</v>
      </c>
      <c r="K1061" s="435" t="s">
        <v>70</v>
      </c>
      <c r="L1061" s="435" t="s">
        <v>605</v>
      </c>
      <c r="M1061" s="435"/>
      <c r="N1061" s="435" t="s">
        <v>63</v>
      </c>
      <c r="O1061" s="306" t="s">
        <v>34</v>
      </c>
      <c r="P1061" s="306" t="s">
        <v>219</v>
      </c>
      <c r="Q1061" s="306" t="s">
        <v>2781</v>
      </c>
      <c r="R1061" s="436"/>
      <c r="S1061" s="437"/>
      <c r="T1061" s="438"/>
      <c r="U1061" s="189"/>
      <c r="V1061" s="328"/>
      <c r="W1061" s="305"/>
      <c r="X1061" s="306"/>
      <c r="Y1061" s="307"/>
      <c r="Z1061" s="307"/>
      <c r="AA1061" s="329"/>
      <c r="AB1061" s="305" t="s">
        <v>2782</v>
      </c>
      <c r="AC1061" s="439"/>
      <c r="AD1061" s="329">
        <v>1</v>
      </c>
    </row>
    <row r="1062" spans="1:30" ht="18" customHeight="1">
      <c r="A1062" s="237">
        <v>30916</v>
      </c>
      <c r="B1062" s="121">
        <v>1</v>
      </c>
      <c r="C1062" s="238">
        <v>46198</v>
      </c>
      <c r="D1062" s="105">
        <f t="shared" ca="1" si="58"/>
        <v>29</v>
      </c>
      <c r="E1062" s="138" t="str">
        <f t="shared" si="59"/>
        <v>ADMITIDO</v>
      </c>
      <c r="F1062" s="230" t="s">
        <v>42</v>
      </c>
      <c r="G1062" s="147" t="s">
        <v>60</v>
      </c>
      <c r="H1062" s="117" t="s">
        <v>40</v>
      </c>
      <c r="I1062" s="117" t="str">
        <f>IF(X1062="ADMITIDO","ADMITIDO",IF(X1062="CANCELADA","CANCELADA",IF(H1062="","",IFERROR(_xlfn.XLOOKUP(H1062,Listas!I:I,Listas!J:J),"OUTROS"))))</f>
        <v>ADMITIDO</v>
      </c>
      <c r="J1062" s="240" t="s">
        <v>53</v>
      </c>
      <c r="K1062" s="240" t="s">
        <v>61</v>
      </c>
      <c r="L1062" s="240" t="s">
        <v>112</v>
      </c>
      <c r="M1062" s="240"/>
      <c r="N1062" s="240" t="s">
        <v>63</v>
      </c>
      <c r="O1062" s="119" t="s">
        <v>34</v>
      </c>
      <c r="P1062" s="119" t="s">
        <v>72</v>
      </c>
      <c r="Q1062" s="119" t="s">
        <v>113</v>
      </c>
      <c r="R1062" s="234"/>
      <c r="S1062" s="273" t="s">
        <v>1533</v>
      </c>
      <c r="T1062" s="274" t="s">
        <v>2783</v>
      </c>
      <c r="U1062" s="73" t="s">
        <v>109</v>
      </c>
      <c r="V1062" s="216">
        <v>46213</v>
      </c>
      <c r="W1062" s="118" t="s">
        <v>2784</v>
      </c>
      <c r="X1062" s="119" t="s">
        <v>40</v>
      </c>
      <c r="Y1062" s="120">
        <v>46218</v>
      </c>
      <c r="Z1062" s="120">
        <v>46219</v>
      </c>
      <c r="AA1062" s="244">
        <v>146223</v>
      </c>
      <c r="AB1062" s="241" t="s">
        <v>2785</v>
      </c>
      <c r="AC1062" s="241"/>
      <c r="AD1062" s="244">
        <v>1</v>
      </c>
    </row>
    <row r="1063" spans="1:30" ht="18" customHeight="1">
      <c r="A1063" s="237">
        <v>30917</v>
      </c>
      <c r="B1063" s="121">
        <v>1</v>
      </c>
      <c r="C1063" s="238">
        <v>46198</v>
      </c>
      <c r="D1063" s="105">
        <f t="shared" ca="1" si="58"/>
        <v>29</v>
      </c>
      <c r="E1063" s="138" t="str">
        <f t="shared" si="59"/>
        <v>ADMITIDO</v>
      </c>
      <c r="F1063" s="230" t="s">
        <v>42</v>
      </c>
      <c r="G1063" s="147" t="s">
        <v>60</v>
      </c>
      <c r="H1063" s="117" t="s">
        <v>40</v>
      </c>
      <c r="I1063" s="117" t="str">
        <f>IF(X1063="ADMITIDO","ADMITIDO",IF(X1063="CANCELADA","CANCELADA",IF(H1063="","",IFERROR(_xlfn.XLOOKUP(H1063,Listas!I:I,Listas!J:J),"OUTROS"))))</f>
        <v>ADMITIDO</v>
      </c>
      <c r="J1063" s="240" t="s">
        <v>53</v>
      </c>
      <c r="K1063" s="240" t="s">
        <v>61</v>
      </c>
      <c r="L1063" s="240" t="s">
        <v>112</v>
      </c>
      <c r="M1063" s="240"/>
      <c r="N1063" s="240" t="s">
        <v>63</v>
      </c>
      <c r="O1063" s="119" t="s">
        <v>34</v>
      </c>
      <c r="P1063" s="119" t="s">
        <v>57</v>
      </c>
      <c r="Q1063" s="119" t="s">
        <v>98</v>
      </c>
      <c r="R1063" s="234"/>
      <c r="S1063" s="273" t="s">
        <v>1438</v>
      </c>
      <c r="T1063" s="274" t="s">
        <v>2786</v>
      </c>
      <c r="U1063" s="73" t="s">
        <v>109</v>
      </c>
      <c r="V1063" s="216">
        <v>46209</v>
      </c>
      <c r="W1063" s="118" t="s">
        <v>2787</v>
      </c>
      <c r="X1063" s="119" t="s">
        <v>40</v>
      </c>
      <c r="Y1063" s="120">
        <v>46213</v>
      </c>
      <c r="Z1063" s="120">
        <v>46216</v>
      </c>
      <c r="AA1063" s="244">
        <v>146218</v>
      </c>
      <c r="AB1063" s="241"/>
      <c r="AC1063" s="241"/>
      <c r="AD1063" s="244">
        <v>0</v>
      </c>
    </row>
    <row r="1064" spans="1:30" ht="18" customHeight="1">
      <c r="A1064" s="402">
        <v>30910</v>
      </c>
      <c r="B1064" s="406">
        <v>1</v>
      </c>
      <c r="C1064" s="403">
        <v>46198</v>
      </c>
      <c r="D1064" s="380">
        <f t="shared" ca="1" si="58"/>
        <v>29</v>
      </c>
      <c r="E1064" s="381" t="str">
        <f t="shared" si="59"/>
        <v>ADMITIDO</v>
      </c>
      <c r="F1064" s="395" t="s">
        <v>28</v>
      </c>
      <c r="G1064" s="390" t="s">
        <v>102</v>
      </c>
      <c r="H1064" s="117" t="s">
        <v>40</v>
      </c>
      <c r="I1064" s="382" t="str">
        <f>IF(X1064="ADMITIDO","ADMITIDO",IF(X1064="CANCELADA","CANCELADA",IF(H1064="","",IFERROR(_xlfn.XLOOKUP(H1064,Listas!I:I,Listas!J:J),"OUTROS"))))</f>
        <v>ADMITIDO</v>
      </c>
      <c r="J1064" s="435" t="s">
        <v>268</v>
      </c>
      <c r="K1064" s="435" t="s">
        <v>563</v>
      </c>
      <c r="L1064" s="435" t="s">
        <v>618</v>
      </c>
      <c r="M1064" s="435"/>
      <c r="N1064" s="435" t="s">
        <v>63</v>
      </c>
      <c r="O1064" s="306" t="s">
        <v>34</v>
      </c>
      <c r="P1064" s="306" t="s">
        <v>35</v>
      </c>
      <c r="Q1064" s="306" t="s">
        <v>36</v>
      </c>
      <c r="R1064" s="437" t="s">
        <v>2788</v>
      </c>
      <c r="S1064" s="437" t="s">
        <v>1612</v>
      </c>
      <c r="T1064" s="438"/>
      <c r="U1064" s="189" t="s">
        <v>132</v>
      </c>
      <c r="V1064" s="328">
        <v>46210</v>
      </c>
      <c r="W1064" s="305" t="s">
        <v>2789</v>
      </c>
      <c r="X1064" s="306" t="s">
        <v>40</v>
      </c>
      <c r="Y1064" s="307">
        <v>46216</v>
      </c>
      <c r="Z1064" s="307">
        <v>46218</v>
      </c>
      <c r="AA1064" s="329">
        <v>914627</v>
      </c>
      <c r="AB1064" s="439"/>
      <c r="AC1064" s="439"/>
      <c r="AD1064" s="329">
        <v>0</v>
      </c>
    </row>
    <row r="1065" spans="1:30" ht="18" customHeight="1">
      <c r="A1065" s="237">
        <v>30915</v>
      </c>
      <c r="B1065" s="121">
        <v>1</v>
      </c>
      <c r="C1065" s="238">
        <v>46198</v>
      </c>
      <c r="D1065" s="105">
        <f t="shared" ca="1" si="58"/>
        <v>29</v>
      </c>
      <c r="E1065" s="138" t="str">
        <f t="shared" ca="1" si="59"/>
        <v>CRÍTICO</v>
      </c>
      <c r="F1065" s="230" t="s">
        <v>42</v>
      </c>
      <c r="G1065" s="147" t="s">
        <v>60</v>
      </c>
      <c r="H1065" s="117" t="s">
        <v>91</v>
      </c>
      <c r="I1065" s="117" t="str">
        <f>IF(X1065="ADMITIDO","ADMITIDO",IF(X1065="CANCELADA","CANCELADA",IF(H1065="","",IFERROR(_xlfn.XLOOKUP(H1065,Listas!I:I,Listas!J:J),"OUTROS"))))</f>
        <v>TRIAGEM</v>
      </c>
      <c r="J1065" s="240" t="s">
        <v>53</v>
      </c>
      <c r="K1065" s="240" t="s">
        <v>61</v>
      </c>
      <c r="L1065" s="240" t="s">
        <v>255</v>
      </c>
      <c r="M1065" s="240"/>
      <c r="N1065" s="240" t="s">
        <v>63</v>
      </c>
      <c r="O1065" s="119" t="s">
        <v>34</v>
      </c>
      <c r="P1065" s="119" t="s">
        <v>219</v>
      </c>
      <c r="Q1065" s="119" t="s">
        <v>73</v>
      </c>
      <c r="R1065" s="234"/>
      <c r="S1065" s="273"/>
      <c r="T1065" s="274"/>
      <c r="U1065" s="73"/>
      <c r="V1065" s="216"/>
      <c r="W1065" s="118"/>
      <c r="X1065" s="119"/>
      <c r="Y1065" s="120"/>
      <c r="Z1065" s="120"/>
      <c r="AA1065" s="244"/>
      <c r="AB1065" s="241"/>
      <c r="AC1065" s="241"/>
      <c r="AD1065" s="244">
        <v>0</v>
      </c>
    </row>
    <row r="1066" spans="1:30" ht="18" customHeight="1">
      <c r="A1066" s="396">
        <v>30900</v>
      </c>
      <c r="B1066" s="405">
        <v>1</v>
      </c>
      <c r="C1066" s="404">
        <v>46198</v>
      </c>
      <c r="D1066" s="386">
        <f t="shared" ca="1" si="58"/>
        <v>29</v>
      </c>
      <c r="E1066" s="170" t="str">
        <f t="shared" si="59"/>
        <v>ADMITIDO</v>
      </c>
      <c r="F1066" s="397" t="s">
        <v>28</v>
      </c>
      <c r="G1066" s="392" t="s">
        <v>240</v>
      </c>
      <c r="H1066" s="117" t="s">
        <v>40</v>
      </c>
      <c r="I1066" s="139" t="str">
        <f>IF(X1066="ADMITIDO","ADMITIDO",IF(X1066="CANCELADA","CANCELADA",IF(H1066="","",IFERROR(_xlfn.XLOOKUP(H1066,Listas!I:I,Listas!J:J),"OUTROS"))))</f>
        <v>ADMITIDO</v>
      </c>
      <c r="J1066" s="428" t="s">
        <v>487</v>
      </c>
      <c r="K1066" s="428" t="s">
        <v>423</v>
      </c>
      <c r="L1066" s="428" t="s">
        <v>488</v>
      </c>
      <c r="M1066" s="428"/>
      <c r="N1066" s="428" t="s">
        <v>63</v>
      </c>
      <c r="O1066" s="308" t="s">
        <v>34</v>
      </c>
      <c r="P1066" s="308" t="s">
        <v>35</v>
      </c>
      <c r="Q1066" s="308" t="s">
        <v>36</v>
      </c>
      <c r="R1066" s="431"/>
      <c r="S1066" s="432" t="s">
        <v>2790</v>
      </c>
      <c r="T1066" s="352"/>
      <c r="U1066" s="327" t="s">
        <v>76</v>
      </c>
      <c r="V1066" s="315">
        <v>46206</v>
      </c>
      <c r="W1066" s="310" t="s">
        <v>2791</v>
      </c>
      <c r="X1066" s="308" t="s">
        <v>40</v>
      </c>
      <c r="Y1066" s="309">
        <v>46210</v>
      </c>
      <c r="Z1066" s="309">
        <v>46213</v>
      </c>
      <c r="AA1066" s="316">
        <v>914596</v>
      </c>
      <c r="AB1066" s="351"/>
      <c r="AC1066" s="351"/>
      <c r="AD1066" s="316">
        <v>0</v>
      </c>
    </row>
    <row r="1067" spans="1:30" ht="18" customHeight="1">
      <c r="A1067" s="237">
        <v>30906</v>
      </c>
      <c r="B1067" s="121">
        <v>1</v>
      </c>
      <c r="C1067" s="238">
        <v>46198</v>
      </c>
      <c r="D1067" s="105">
        <f t="shared" ca="1" si="58"/>
        <v>29</v>
      </c>
      <c r="E1067" s="138" t="s">
        <v>40</v>
      </c>
      <c r="F1067" s="230" t="s">
        <v>42</v>
      </c>
      <c r="G1067" s="147" t="s">
        <v>43</v>
      </c>
      <c r="H1067" s="117" t="s">
        <v>40</v>
      </c>
      <c r="I1067" s="117" t="str">
        <f>IF(X1067="ADMITIDO","ADMITIDO",IF(X1067="CANCELADA","CANCELADA",IF(H1067="","",IFERROR(_xlfn.XLOOKUP(H1067,Listas!I:I,Listas!J:J),"OUTROS"))))</f>
        <v>ADMITIDO</v>
      </c>
      <c r="J1067" s="518" t="s">
        <v>53</v>
      </c>
      <c r="K1067" s="240" t="s">
        <v>45</v>
      </c>
      <c r="L1067" s="1" t="s">
        <v>2792</v>
      </c>
      <c r="M1067" s="1"/>
      <c r="N1067" s="240" t="s">
        <v>33</v>
      </c>
      <c r="O1067" s="119" t="s">
        <v>34</v>
      </c>
      <c r="P1067" s="119" t="s">
        <v>57</v>
      </c>
      <c r="Q1067" s="119" t="s">
        <v>98</v>
      </c>
      <c r="R1067" s="234" t="s">
        <v>2793</v>
      </c>
      <c r="S1067" s="273" t="s">
        <v>2794</v>
      </c>
      <c r="T1067" s="273">
        <v>11952078749</v>
      </c>
      <c r="U1067" s="73" t="s">
        <v>50</v>
      </c>
      <c r="V1067" s="216">
        <v>46216</v>
      </c>
      <c r="W1067" s="118" t="s">
        <v>2795</v>
      </c>
      <c r="X1067" s="119" t="s">
        <v>40</v>
      </c>
      <c r="Y1067" s="120">
        <v>46220</v>
      </c>
      <c r="Z1067" s="120">
        <v>46223</v>
      </c>
      <c r="AA1067" s="552">
        <v>146247</v>
      </c>
      <c r="AB1067" s="241"/>
      <c r="AC1067" s="241"/>
      <c r="AD1067" s="244">
        <v>1</v>
      </c>
    </row>
    <row r="1068" spans="1:30" ht="18" customHeight="1">
      <c r="A1068" s="237">
        <v>30901</v>
      </c>
      <c r="B1068" s="121">
        <v>1</v>
      </c>
      <c r="C1068" s="238">
        <v>46198</v>
      </c>
      <c r="D1068" s="105">
        <f t="shared" ca="1" si="58"/>
        <v>29</v>
      </c>
      <c r="E1068" s="138" t="str">
        <f t="shared" si="59"/>
        <v>ADMITIDO</v>
      </c>
      <c r="F1068" s="230" t="s">
        <v>42</v>
      </c>
      <c r="G1068" s="147" t="s">
        <v>43</v>
      </c>
      <c r="H1068" s="117" t="s">
        <v>40</v>
      </c>
      <c r="I1068" s="117" t="str">
        <f>IF(X1068="ADMITIDO","ADMITIDO",IF(X1068="CANCELADA","CANCELADA",IF(H1068="","",IFERROR(_xlfn.XLOOKUP(H1068,Listas!I:I,Listas!J:J),"OUTROS"))))</f>
        <v>ADMITIDO</v>
      </c>
      <c r="J1068" s="240" t="s">
        <v>2796</v>
      </c>
      <c r="K1068" s="240" t="s">
        <v>2797</v>
      </c>
      <c r="L1068" s="240" t="s">
        <v>2798</v>
      </c>
      <c r="M1068" s="240"/>
      <c r="N1068" s="240" t="s">
        <v>119</v>
      </c>
      <c r="O1068" s="119" t="s">
        <v>34</v>
      </c>
      <c r="P1068" s="119" t="s">
        <v>48</v>
      </c>
      <c r="Q1068" s="119" t="s">
        <v>441</v>
      </c>
      <c r="R1068" s="234"/>
      <c r="S1068" s="273" t="s">
        <v>2799</v>
      </c>
      <c r="T1068" s="274" t="s">
        <v>2800</v>
      </c>
      <c r="U1068" s="73" t="s">
        <v>67</v>
      </c>
      <c r="V1068" s="216">
        <v>46198</v>
      </c>
      <c r="W1068" s="118" t="s">
        <v>2801</v>
      </c>
      <c r="X1068" s="119" t="s">
        <v>40</v>
      </c>
      <c r="Y1068" s="120">
        <v>46213</v>
      </c>
      <c r="Z1068" s="120">
        <v>46213</v>
      </c>
      <c r="AA1068" s="244">
        <v>146220</v>
      </c>
      <c r="AB1068" s="241" t="s">
        <v>2802</v>
      </c>
      <c r="AC1068" s="241"/>
      <c r="AD1068" s="244">
        <v>0</v>
      </c>
    </row>
    <row r="1069" spans="1:30" ht="18" customHeight="1">
      <c r="A1069" s="237">
        <v>30908</v>
      </c>
      <c r="B1069" s="121">
        <v>1</v>
      </c>
      <c r="C1069" s="238">
        <v>46198</v>
      </c>
      <c r="D1069" s="105">
        <f t="shared" ca="1" si="58"/>
        <v>29</v>
      </c>
      <c r="E1069" s="138" t="str">
        <f t="shared" si="59"/>
        <v>ADMITIDO</v>
      </c>
      <c r="F1069" s="230" t="s">
        <v>28</v>
      </c>
      <c r="G1069" s="147" t="s">
        <v>43</v>
      </c>
      <c r="H1069" s="117" t="s">
        <v>40</v>
      </c>
      <c r="I1069" s="117" t="str">
        <f>IF(X1069="ADMITIDO","ADMITIDO",IF(X1069="CANCELADA","CANCELADA",IF(H1069="","",IFERROR(_xlfn.XLOOKUP(H1069,Listas!I:I,Listas!J:J),"OUTROS"))))</f>
        <v>ADMITIDO</v>
      </c>
      <c r="J1069" s="240" t="s">
        <v>1284</v>
      </c>
      <c r="K1069" s="240" t="s">
        <v>1808</v>
      </c>
      <c r="L1069" s="240" t="s">
        <v>700</v>
      </c>
      <c r="M1069" s="240"/>
      <c r="N1069" s="240" t="s">
        <v>47</v>
      </c>
      <c r="O1069" s="119" t="s">
        <v>34</v>
      </c>
      <c r="P1069" s="119" t="s">
        <v>703</v>
      </c>
      <c r="Q1069" s="119" t="s">
        <v>36</v>
      </c>
      <c r="R1069" s="234"/>
      <c r="S1069" s="273" t="s">
        <v>2803</v>
      </c>
      <c r="T1069" s="273">
        <v>11941014374</v>
      </c>
      <c r="U1069" s="73" t="s">
        <v>50</v>
      </c>
      <c r="V1069" s="216">
        <v>46199</v>
      </c>
      <c r="W1069" s="118" t="s">
        <v>2804</v>
      </c>
      <c r="X1069" s="119" t="s">
        <v>40</v>
      </c>
      <c r="Y1069" s="120">
        <v>46204</v>
      </c>
      <c r="Z1069" s="120">
        <v>46205</v>
      </c>
      <c r="AA1069" s="244">
        <v>914548</v>
      </c>
      <c r="AB1069" s="241" t="s">
        <v>2805</v>
      </c>
      <c r="AC1069" s="241"/>
      <c r="AD1069" s="244">
        <v>0</v>
      </c>
    </row>
    <row r="1070" spans="1:30" ht="18" customHeight="1">
      <c r="A1070" s="374">
        <v>30909</v>
      </c>
      <c r="B1070" s="376">
        <v>1</v>
      </c>
      <c r="C1070" s="375">
        <v>46198</v>
      </c>
      <c r="D1070" s="367">
        <f t="shared" ca="1" si="58"/>
        <v>29</v>
      </c>
      <c r="E1070" s="368" t="str">
        <f t="shared" si="59"/>
        <v>ADMITIDO</v>
      </c>
      <c r="F1070" s="371" t="s">
        <v>28</v>
      </c>
      <c r="G1070" s="369" t="s">
        <v>43</v>
      </c>
      <c r="H1070" s="146" t="s">
        <v>40</v>
      </c>
      <c r="I1070" s="146" t="str">
        <f>IF(X1070="ADMITIDO","ADMITIDO",IF(X1070="CANCELADA","CANCELADA",IF(H1070="","",IFERROR(_xlfn.XLOOKUP(H1070,Listas!I:I,Listas!J:J),"OUTROS"))))</f>
        <v>ADMITIDO</v>
      </c>
      <c r="J1070" s="415" t="s">
        <v>616</v>
      </c>
      <c r="K1070" s="415" t="s">
        <v>1808</v>
      </c>
      <c r="L1070" s="415" t="s">
        <v>700</v>
      </c>
      <c r="M1070" s="415"/>
      <c r="N1070" s="415" t="s">
        <v>47</v>
      </c>
      <c r="O1070" s="303" t="s">
        <v>34</v>
      </c>
      <c r="P1070" s="303" t="s">
        <v>35</v>
      </c>
      <c r="Q1070" s="303" t="s">
        <v>711</v>
      </c>
      <c r="R1070" s="418"/>
      <c r="S1070" s="419" t="s">
        <v>1375</v>
      </c>
      <c r="T1070" s="345">
        <v>87981611906</v>
      </c>
      <c r="U1070" s="326" t="s">
        <v>50</v>
      </c>
      <c r="V1070" s="313">
        <v>46203</v>
      </c>
      <c r="W1070" s="302" t="s">
        <v>2806</v>
      </c>
      <c r="X1070" s="303" t="s">
        <v>40</v>
      </c>
      <c r="Y1070" s="304">
        <v>46206</v>
      </c>
      <c r="Z1070" s="304">
        <v>46207</v>
      </c>
      <c r="AA1070" s="314">
        <v>914580</v>
      </c>
      <c r="AB1070" s="346"/>
      <c r="AC1070" s="346"/>
      <c r="AD1070" s="314">
        <v>0</v>
      </c>
    </row>
    <row r="1071" spans="1:30" ht="18" customHeight="1">
      <c r="A1071" s="237">
        <v>30920</v>
      </c>
      <c r="B1071" s="121">
        <v>1</v>
      </c>
      <c r="C1071" s="238">
        <v>46198</v>
      </c>
      <c r="D1071" s="105">
        <f t="shared" ca="1" si="58"/>
        <v>29</v>
      </c>
      <c r="E1071" s="138" t="str">
        <f t="shared" si="59"/>
        <v>ADMITIDO</v>
      </c>
      <c r="F1071" s="230" t="s">
        <v>42</v>
      </c>
      <c r="G1071" s="147" t="s">
        <v>60</v>
      </c>
      <c r="H1071" s="117" t="s">
        <v>40</v>
      </c>
      <c r="I1071" s="117" t="str">
        <f>IF(X1071="ADMITIDO","ADMITIDO",IF(X1071="CANCELADA","CANCELADA",IF(H1071="","",IFERROR(_xlfn.XLOOKUP(H1071,Listas!I:I,Listas!J:J),"OUTROS"))))</f>
        <v>ADMITIDO</v>
      </c>
      <c r="J1071" s="240" t="s">
        <v>53</v>
      </c>
      <c r="K1071" s="240" t="s">
        <v>61</v>
      </c>
      <c r="L1071" s="240" t="s">
        <v>62</v>
      </c>
      <c r="M1071" s="240"/>
      <c r="N1071" s="240" t="s">
        <v>63</v>
      </c>
      <c r="O1071" s="119" t="s">
        <v>34</v>
      </c>
      <c r="P1071" s="119" t="s">
        <v>57</v>
      </c>
      <c r="Q1071" s="119" t="s">
        <v>1962</v>
      </c>
      <c r="R1071" s="234"/>
      <c r="S1071" s="273" t="s">
        <v>1438</v>
      </c>
      <c r="T1071" s="274" t="s">
        <v>2807</v>
      </c>
      <c r="U1071" s="73" t="s">
        <v>109</v>
      </c>
      <c r="V1071" s="216">
        <v>46216</v>
      </c>
      <c r="W1071" s="118" t="s">
        <v>2808</v>
      </c>
      <c r="X1071" s="119" t="s">
        <v>40</v>
      </c>
      <c r="Y1071" s="120">
        <v>46218</v>
      </c>
      <c r="Z1071" s="120">
        <v>46219</v>
      </c>
      <c r="AA1071" s="244">
        <v>146239</v>
      </c>
      <c r="AB1071" s="118" t="s">
        <v>2809</v>
      </c>
      <c r="AC1071" s="241"/>
      <c r="AD1071" s="244">
        <v>1</v>
      </c>
    </row>
    <row r="1072" spans="1:30" ht="18" customHeight="1">
      <c r="A1072" s="237">
        <v>30923</v>
      </c>
      <c r="B1072" s="121">
        <v>1</v>
      </c>
      <c r="C1072" s="238">
        <v>46198</v>
      </c>
      <c r="D1072" s="105">
        <f t="shared" ca="1" si="58"/>
        <v>29</v>
      </c>
      <c r="E1072" s="138" t="str">
        <f t="shared" ca="1" si="59"/>
        <v>CRÍTICO</v>
      </c>
      <c r="F1072" s="230" t="s">
        <v>42</v>
      </c>
      <c r="G1072" s="147" t="s">
        <v>60</v>
      </c>
      <c r="H1072" s="117" t="s">
        <v>259</v>
      </c>
      <c r="I1072" s="117" t="str">
        <f>IF(X1072="ADMITIDO","ADMITIDO",IF(X1072="CANCELADA","CANCELADA",IF(H1072="","",IFERROR(_xlfn.XLOOKUP(H1072,Listas!I:I,Listas!J:J),"OUTROS"))))</f>
        <v>TRIAGEM</v>
      </c>
      <c r="J1072" s="240" t="s">
        <v>53</v>
      </c>
      <c r="K1072" s="240" t="s">
        <v>61</v>
      </c>
      <c r="L1072" s="240" t="s">
        <v>62</v>
      </c>
      <c r="M1072" s="240"/>
      <c r="N1072" s="240" t="s">
        <v>63</v>
      </c>
      <c r="O1072" s="119" t="s">
        <v>34</v>
      </c>
      <c r="P1072" s="119" t="s">
        <v>57</v>
      </c>
      <c r="Q1072" s="119" t="s">
        <v>64</v>
      </c>
      <c r="R1072" s="234"/>
      <c r="S1072" s="273"/>
      <c r="T1072" s="274"/>
      <c r="U1072" s="73"/>
      <c r="V1072" s="216"/>
      <c r="W1072" s="118"/>
      <c r="X1072" s="119"/>
      <c r="Y1072" s="120"/>
      <c r="Z1072" s="120"/>
      <c r="AA1072" s="244"/>
      <c r="AB1072" s="241" t="s">
        <v>2810</v>
      </c>
      <c r="AC1072" s="241"/>
      <c r="AD1072" s="244">
        <v>1</v>
      </c>
    </row>
    <row r="1073" spans="1:30" ht="18" customHeight="1">
      <c r="A1073" s="396">
        <v>30924</v>
      </c>
      <c r="B1073" s="405">
        <v>1</v>
      </c>
      <c r="C1073" s="404">
        <v>46198</v>
      </c>
      <c r="D1073" s="386">
        <f t="shared" ref="D1073:D1077" ca="1" si="60">TODAY()-C1073</f>
        <v>29</v>
      </c>
      <c r="E1073" s="170" t="str">
        <f t="shared" ref="E1073:E1077" si="61">IF(X1073="ADMITIDO","ADMITIDO",IF(X1073="CANCELADA","CANCELADA",IF(H1073="","",IF(H1073="ADMITIDO","ADMITIDO",IF(H1073="CANCELADA","CANCELADA",IF(OR(H1073="ANALISE CANCELAMENTO",H1073="ANÁLISE CANCELAMENTO"),"EM ANÁLISE",IF(D1073="","",IF(D1073&lt;=7,"NO PRAZO",IF(D1073&lt;=14,"ATENÇÃO","CRÍTICO")))))))))</f>
        <v>ADMITIDO</v>
      </c>
      <c r="F1073" s="397" t="s">
        <v>42</v>
      </c>
      <c r="G1073" s="392" t="s">
        <v>60</v>
      </c>
      <c r="H1073" s="139" t="s">
        <v>40</v>
      </c>
      <c r="I1073" s="139" t="str">
        <f>IF(X1073="ADMITIDO","ADMITIDO",IF(X1073="CANCELADA","CANCELADA",IF(H1073="","",IFERROR(_xlfn.XLOOKUP(H1073,Listas!I:I,Listas!J:J),"OUTROS"))))</f>
        <v>ADMITIDO</v>
      </c>
      <c r="J1073" s="428" t="s">
        <v>53</v>
      </c>
      <c r="K1073" s="428" t="s">
        <v>61</v>
      </c>
      <c r="L1073" s="428" t="s">
        <v>62</v>
      </c>
      <c r="M1073" s="428"/>
      <c r="N1073" s="428" t="s">
        <v>63</v>
      </c>
      <c r="O1073" s="308" t="s">
        <v>34</v>
      </c>
      <c r="P1073" s="308" t="s">
        <v>219</v>
      </c>
      <c r="Q1073" s="308" t="s">
        <v>73</v>
      </c>
      <c r="R1073" s="431"/>
      <c r="S1073" s="432" t="s">
        <v>1533</v>
      </c>
      <c r="T1073" s="352" t="s">
        <v>2811</v>
      </c>
      <c r="U1073" s="327" t="s">
        <v>67</v>
      </c>
      <c r="V1073" s="315">
        <v>46204</v>
      </c>
      <c r="W1073" s="310" t="s">
        <v>2812</v>
      </c>
      <c r="X1073" s="308" t="s">
        <v>40</v>
      </c>
      <c r="Y1073" s="309">
        <v>46206</v>
      </c>
      <c r="Z1073" s="309">
        <v>46209</v>
      </c>
      <c r="AA1073" s="316">
        <v>146182</v>
      </c>
      <c r="AB1073" s="351" t="s">
        <v>2813</v>
      </c>
      <c r="AC1073" s="351"/>
      <c r="AD1073" s="316">
        <v>1</v>
      </c>
    </row>
    <row r="1074" spans="1:30" ht="18" customHeight="1">
      <c r="A1074" s="396">
        <v>30902</v>
      </c>
      <c r="B1074" s="405">
        <v>1</v>
      </c>
      <c r="C1074" s="404">
        <v>46198</v>
      </c>
      <c r="D1074" s="386">
        <f t="shared" ca="1" si="60"/>
        <v>29</v>
      </c>
      <c r="E1074" s="170" t="str">
        <f t="shared" si="61"/>
        <v>CANCELADA</v>
      </c>
      <c r="F1074" s="397" t="s">
        <v>28</v>
      </c>
      <c r="G1074" s="392" t="s">
        <v>240</v>
      </c>
      <c r="H1074" s="139" t="s">
        <v>52</v>
      </c>
      <c r="I1074" s="139" t="str">
        <f>IF(X1074="ADMITIDO","ADMITIDO",IF(X1074="CANCELADA","CANCELADA",IF(H1074="","",IFERROR(_xlfn.XLOOKUP(H1074,Listas!I:I,Listas!J:J),"OUTROS"))))</f>
        <v>CANCELADA</v>
      </c>
      <c r="J1074" s="428" t="s">
        <v>819</v>
      </c>
      <c r="K1074" s="428" t="s">
        <v>423</v>
      </c>
      <c r="L1074" s="428" t="s">
        <v>62</v>
      </c>
      <c r="M1074" s="428"/>
      <c r="N1074" s="428" t="s">
        <v>63</v>
      </c>
      <c r="O1074" s="308" t="s">
        <v>34</v>
      </c>
      <c r="P1074" s="308" t="s">
        <v>57</v>
      </c>
      <c r="Q1074" s="308" t="s">
        <v>98</v>
      </c>
      <c r="R1074" s="431"/>
      <c r="S1074" s="432" t="s">
        <v>1229</v>
      </c>
      <c r="T1074" s="352" t="s">
        <v>2814</v>
      </c>
      <c r="U1074" s="327" t="s">
        <v>76</v>
      </c>
      <c r="V1074" s="315">
        <v>46202</v>
      </c>
      <c r="W1074" s="310" t="s">
        <v>2815</v>
      </c>
      <c r="X1074" s="308" t="s">
        <v>284</v>
      </c>
      <c r="Y1074" s="309"/>
      <c r="Z1074" s="309"/>
      <c r="AA1074" s="316"/>
      <c r="AB1074" s="351"/>
      <c r="AC1074" s="351"/>
      <c r="AD1074" s="316">
        <v>0</v>
      </c>
    </row>
    <row r="1075" spans="1:30" ht="18" customHeight="1">
      <c r="A1075" s="237">
        <v>30921</v>
      </c>
      <c r="B1075" s="121">
        <v>1</v>
      </c>
      <c r="C1075" s="238">
        <v>46198</v>
      </c>
      <c r="D1075" s="105">
        <f t="shared" ca="1" si="60"/>
        <v>29</v>
      </c>
      <c r="E1075" s="138" t="str">
        <f t="shared" si="61"/>
        <v>ADMITIDO</v>
      </c>
      <c r="F1075" s="230" t="s">
        <v>28</v>
      </c>
      <c r="G1075" s="147" t="s">
        <v>145</v>
      </c>
      <c r="H1075" s="139" t="s">
        <v>40</v>
      </c>
      <c r="I1075" s="117" t="str">
        <f>IF(X1075="ADMITIDO","ADMITIDO",IF(X1075="CANCELADA","CANCELADA",IF(H1075="","",IFERROR(_xlfn.XLOOKUP(H1075,Listas!I:I,Listas!J:J),"OUTROS"))))</f>
        <v>ADMITIDO</v>
      </c>
      <c r="J1075" s="240" t="s">
        <v>146</v>
      </c>
      <c r="K1075" s="240" t="s">
        <v>360</v>
      </c>
      <c r="L1075" s="240" t="s">
        <v>2816</v>
      </c>
      <c r="M1075" s="240"/>
      <c r="N1075" s="240" t="s">
        <v>337</v>
      </c>
      <c r="O1075" s="119" t="s">
        <v>34</v>
      </c>
      <c r="P1075" s="119" t="s">
        <v>35</v>
      </c>
      <c r="Q1075" s="119" t="s">
        <v>612</v>
      </c>
      <c r="R1075" s="234"/>
      <c r="S1075" s="273"/>
      <c r="T1075" s="274"/>
      <c r="U1075" s="73" t="s">
        <v>132</v>
      </c>
      <c r="V1075" s="216">
        <v>46199</v>
      </c>
      <c r="W1075" s="118" t="s">
        <v>2817</v>
      </c>
      <c r="X1075" s="119" t="s">
        <v>40</v>
      </c>
      <c r="Y1075" s="120">
        <v>46205</v>
      </c>
      <c r="Z1075" s="120">
        <v>46205</v>
      </c>
      <c r="AA1075" s="244">
        <v>914567</v>
      </c>
      <c r="AB1075" s="241"/>
      <c r="AC1075" s="241"/>
      <c r="AD1075" s="244">
        <v>0</v>
      </c>
    </row>
    <row r="1076" spans="1:30" ht="18" customHeight="1">
      <c r="A1076" s="237">
        <v>30921</v>
      </c>
      <c r="B1076" s="121">
        <v>1</v>
      </c>
      <c r="C1076" s="238">
        <v>46198</v>
      </c>
      <c r="D1076" s="105">
        <f t="shared" ref="D1076" ca="1" si="62">TODAY()-C1076</f>
        <v>29</v>
      </c>
      <c r="E1076" s="138" t="str">
        <f t="shared" ref="E1076" si="63">IF(X1076="ADMITIDO","ADMITIDO",IF(X1076="CANCELADA","CANCELADA",IF(H1076="","",IF(H1076="ADMITIDO","ADMITIDO",IF(H1076="CANCELADA","CANCELADA",IF(OR(H1076="ANALISE CANCELAMENTO",H1076="ANÁLISE CANCELAMENTO"),"EM ANÁLISE",IF(D1076="","",IF(D1076&lt;=7,"NO PRAZO",IF(D1076&lt;=14,"ATENÇÃO","CRÍTICO")))))))))</f>
        <v>ADMITIDO</v>
      </c>
      <c r="F1076" s="230" t="s">
        <v>28</v>
      </c>
      <c r="G1076" s="147" t="s">
        <v>145</v>
      </c>
      <c r="H1076" s="139" t="s">
        <v>40</v>
      </c>
      <c r="I1076" s="117" t="str">
        <f>IF(X1076="ADMITIDO","ADMITIDO",IF(X1076="CANCELADA","CANCELADA",IF(H1076="","",IFERROR(_xlfn.XLOOKUP(H1076,Listas!I:I,Listas!J:J),"OUTROS"))))</f>
        <v>ADMITIDO</v>
      </c>
      <c r="J1076" s="240" t="s">
        <v>146</v>
      </c>
      <c r="K1076" s="240" t="s">
        <v>360</v>
      </c>
      <c r="L1076" s="240" t="s">
        <v>2816</v>
      </c>
      <c r="M1076" s="240"/>
      <c r="N1076" s="240" t="s">
        <v>337</v>
      </c>
      <c r="O1076" s="119" t="s">
        <v>34</v>
      </c>
      <c r="P1076" s="119" t="s">
        <v>35</v>
      </c>
      <c r="Q1076" s="119" t="s">
        <v>612</v>
      </c>
      <c r="R1076" s="234"/>
      <c r="S1076" s="273"/>
      <c r="T1076" s="274"/>
      <c r="U1076" s="73" t="s">
        <v>132</v>
      </c>
      <c r="V1076" s="216">
        <v>46205</v>
      </c>
      <c r="W1076" s="118" t="s">
        <v>2818</v>
      </c>
      <c r="X1076" s="119" t="s">
        <v>40</v>
      </c>
      <c r="Y1076" s="120">
        <v>46212</v>
      </c>
      <c r="Z1076" s="120">
        <v>46212</v>
      </c>
      <c r="AA1076" s="244">
        <v>914603</v>
      </c>
      <c r="AB1076" s="241"/>
      <c r="AC1076" s="241"/>
      <c r="AD1076" s="244"/>
    </row>
    <row r="1077" spans="1:30" ht="18" customHeight="1">
      <c r="A1077" s="374">
        <v>30922</v>
      </c>
      <c r="B1077" s="376">
        <v>1</v>
      </c>
      <c r="C1077" s="375">
        <v>46198</v>
      </c>
      <c r="D1077" s="367">
        <f t="shared" ca="1" si="60"/>
        <v>29</v>
      </c>
      <c r="E1077" s="368" t="str">
        <f t="shared" si="61"/>
        <v>ADMITIDO</v>
      </c>
      <c r="F1077" s="371" t="s">
        <v>28</v>
      </c>
      <c r="G1077" s="369" t="s">
        <v>145</v>
      </c>
      <c r="H1077" s="139" t="s">
        <v>40</v>
      </c>
      <c r="I1077" s="146" t="str">
        <f>IF(X1077="ADMITIDO","ADMITIDO",IF(X1077="CANCELADA","CANCELADA",IF(H1077="","",IFERROR(_xlfn.XLOOKUP(H1077,Listas!I:I,Listas!J:J),"OUTROS"))))</f>
        <v>ADMITIDO</v>
      </c>
      <c r="J1077" s="415" t="s">
        <v>146</v>
      </c>
      <c r="K1077" s="415" t="s">
        <v>335</v>
      </c>
      <c r="L1077" s="415" t="s">
        <v>2816</v>
      </c>
      <c r="M1077" s="415"/>
      <c r="N1077" s="415" t="s">
        <v>337</v>
      </c>
      <c r="O1077" s="303" t="s">
        <v>56</v>
      </c>
      <c r="P1077" s="303" t="s">
        <v>35</v>
      </c>
      <c r="Q1077" s="303" t="s">
        <v>760</v>
      </c>
      <c r="R1077" s="418"/>
      <c r="S1077" s="273"/>
      <c r="T1077" s="274"/>
      <c r="U1077" s="73" t="s">
        <v>132</v>
      </c>
      <c r="V1077" s="216">
        <v>46199</v>
      </c>
      <c r="W1077" s="118" t="s">
        <v>2819</v>
      </c>
      <c r="X1077" s="119" t="s">
        <v>40</v>
      </c>
      <c r="Y1077" s="120">
        <v>46206</v>
      </c>
      <c r="Z1077" s="120">
        <v>46206</v>
      </c>
      <c r="AA1077" s="244">
        <v>914579</v>
      </c>
      <c r="AB1077" s="241"/>
      <c r="AC1077" s="241"/>
      <c r="AD1077" s="244">
        <v>0</v>
      </c>
    </row>
    <row r="1078" spans="1:30" ht="18" customHeight="1">
      <c r="A1078" s="237">
        <v>30922</v>
      </c>
      <c r="B1078" s="121">
        <v>1</v>
      </c>
      <c r="C1078" s="238">
        <v>46198</v>
      </c>
      <c r="D1078" s="105">
        <f t="shared" ref="D1078:D1106" ca="1" si="64">TODAY()-C1078</f>
        <v>29</v>
      </c>
      <c r="E1078" s="138" t="str">
        <f t="shared" ref="E1078:E1106" si="65">IF(X1078="ADMITIDO","ADMITIDO",IF(X1078="CANCELADA","CANCELADA",IF(H1078="","",IF(H1078="ADMITIDO","ADMITIDO",IF(H1078="CANCELADA","CANCELADA",IF(OR(H1078="ANALISE CANCELAMENTO",H1078="ANÁLISE CANCELAMENTO"),"EM ANÁLISE",IF(D1078="","",IF(D1078&lt;=7,"NO PRAZO",IF(D1078&lt;=14,"ATENÇÃO","CRÍTICO")))))))))</f>
        <v>ADMITIDO</v>
      </c>
      <c r="F1078" s="230" t="s">
        <v>28</v>
      </c>
      <c r="G1078" s="147" t="s">
        <v>145</v>
      </c>
      <c r="H1078" s="139" t="s">
        <v>40</v>
      </c>
      <c r="I1078" s="117" t="str">
        <f>IF(X1078="ADMITIDO","ADMITIDO",IF(X1078="CANCELADA","CANCELADA",IF(H1078="","",IFERROR(_xlfn.XLOOKUP(H1078,Listas!I:I,Listas!J:J),"OUTROS"))))</f>
        <v>ADMITIDO</v>
      </c>
      <c r="J1078" s="240" t="s">
        <v>146</v>
      </c>
      <c r="K1078" s="240" t="s">
        <v>335</v>
      </c>
      <c r="L1078" s="240" t="s">
        <v>2816</v>
      </c>
      <c r="M1078" s="240"/>
      <c r="N1078" s="240" t="s">
        <v>337</v>
      </c>
      <c r="O1078" s="119" t="s">
        <v>56</v>
      </c>
      <c r="P1078" s="119" t="s">
        <v>35</v>
      </c>
      <c r="Q1078" s="119" t="s">
        <v>760</v>
      </c>
      <c r="R1078" s="234"/>
      <c r="S1078" s="476"/>
      <c r="T1078" s="274"/>
      <c r="U1078" s="73" t="s">
        <v>132</v>
      </c>
      <c r="V1078" s="216">
        <v>46204</v>
      </c>
      <c r="W1078" s="118" t="s">
        <v>2820</v>
      </c>
      <c r="X1078" s="119" t="s">
        <v>40</v>
      </c>
      <c r="Y1078" s="120">
        <v>46212</v>
      </c>
      <c r="Z1078" s="120">
        <v>46212</v>
      </c>
      <c r="AA1078" s="244">
        <v>914602</v>
      </c>
      <c r="AB1078" s="241"/>
      <c r="AC1078" s="241"/>
      <c r="AD1078" s="244">
        <v>0</v>
      </c>
    </row>
    <row r="1079" spans="1:30" ht="18" customHeight="1">
      <c r="A1079" s="237">
        <v>30933</v>
      </c>
      <c r="B1079" s="121">
        <v>1</v>
      </c>
      <c r="C1079" s="238">
        <v>46199</v>
      </c>
      <c r="D1079" s="105">
        <f t="shared" ca="1" si="64"/>
        <v>28</v>
      </c>
      <c r="E1079" s="138" t="str">
        <f t="shared" si="65"/>
        <v>ADMITIDO</v>
      </c>
      <c r="F1079" s="230" t="s">
        <v>119</v>
      </c>
      <c r="G1079" s="147" t="s">
        <v>821</v>
      </c>
      <c r="H1079" s="139" t="s">
        <v>40</v>
      </c>
      <c r="I1079" s="117" t="str">
        <f>IF(X1079="ADMITIDO","ADMITIDO",IF(X1079="CANCELADA","CANCELADA",IF(H1079="","",IFERROR(_xlfn.XLOOKUP(H1079,Listas!I:I,Listas!J:J),"OUTROS"))))</f>
        <v>ADMITIDO</v>
      </c>
      <c r="J1079" s="240" t="s">
        <v>2821</v>
      </c>
      <c r="K1079" s="240" t="s">
        <v>835</v>
      </c>
      <c r="L1079" s="240" t="s">
        <v>836</v>
      </c>
      <c r="M1079" s="240"/>
      <c r="N1079" s="240" t="s">
        <v>2250</v>
      </c>
      <c r="O1079" s="119" t="s">
        <v>34</v>
      </c>
      <c r="P1079" s="119" t="s">
        <v>48</v>
      </c>
      <c r="Q1079" s="119" t="s">
        <v>441</v>
      </c>
      <c r="R1079" s="234" t="s">
        <v>2822</v>
      </c>
      <c r="S1079" s="479"/>
      <c r="T1079" s="345"/>
      <c r="U1079" s="326" t="s">
        <v>132</v>
      </c>
      <c r="V1079" s="313">
        <v>46202</v>
      </c>
      <c r="W1079" s="302" t="s">
        <v>2823</v>
      </c>
      <c r="X1079" s="303" t="s">
        <v>40</v>
      </c>
      <c r="Y1079" s="304">
        <v>46209</v>
      </c>
      <c r="Z1079" s="304">
        <v>46209</v>
      </c>
      <c r="AA1079" s="314">
        <v>146180</v>
      </c>
      <c r="AB1079" s="346"/>
      <c r="AC1079" s="346"/>
      <c r="AD1079" s="314">
        <v>0</v>
      </c>
    </row>
    <row r="1080" spans="1:30" ht="18" customHeight="1">
      <c r="A1080" s="237">
        <v>30937</v>
      </c>
      <c r="B1080" s="121">
        <v>1</v>
      </c>
      <c r="C1080" s="238">
        <v>46199</v>
      </c>
      <c r="D1080" s="105">
        <f t="shared" ca="1" si="64"/>
        <v>28</v>
      </c>
      <c r="E1080" s="138" t="str">
        <f t="shared" si="65"/>
        <v>ADMITIDO</v>
      </c>
      <c r="F1080" s="230" t="s">
        <v>171</v>
      </c>
      <c r="G1080" s="147" t="s">
        <v>60</v>
      </c>
      <c r="H1080" s="139" t="s">
        <v>40</v>
      </c>
      <c r="I1080" s="117" t="str">
        <f>IF(X1080="ADMITIDO","ADMITIDO",IF(X1080="CANCELADA","CANCELADA",IF(H1080="","",IFERROR(_xlfn.XLOOKUP(H1080,Listas!I:I,Listas!J:J),"OUTROS"))))</f>
        <v>ADMITIDO</v>
      </c>
      <c r="J1080" s="240" t="s">
        <v>172</v>
      </c>
      <c r="K1080" s="240" t="s">
        <v>330</v>
      </c>
      <c r="L1080" s="240" t="s">
        <v>2824</v>
      </c>
      <c r="M1080" s="240"/>
      <c r="N1080" s="240" t="s">
        <v>2250</v>
      </c>
      <c r="O1080" s="119" t="s">
        <v>34</v>
      </c>
      <c r="P1080" s="119" t="s">
        <v>35</v>
      </c>
      <c r="Q1080" s="119" t="s">
        <v>362</v>
      </c>
      <c r="R1080" s="234"/>
      <c r="S1080" s="479" t="s">
        <v>2825</v>
      </c>
      <c r="T1080" s="345" t="s">
        <v>2826</v>
      </c>
      <c r="U1080" s="326" t="s">
        <v>109</v>
      </c>
      <c r="V1080" s="313">
        <v>46203</v>
      </c>
      <c r="W1080" s="302" t="s">
        <v>2827</v>
      </c>
      <c r="X1080" s="303" t="s">
        <v>40</v>
      </c>
      <c r="Y1080" s="304">
        <v>46205</v>
      </c>
      <c r="Z1080" s="304">
        <v>46210</v>
      </c>
      <c r="AA1080" s="314">
        <v>83367</v>
      </c>
      <c r="AB1080" s="346"/>
      <c r="AC1080" s="346"/>
      <c r="AD1080" s="314">
        <v>0</v>
      </c>
    </row>
    <row r="1081" spans="1:30" ht="18" customHeight="1">
      <c r="A1081" s="237">
        <v>30931</v>
      </c>
      <c r="B1081" s="121">
        <v>1</v>
      </c>
      <c r="C1081" s="238">
        <v>46199</v>
      </c>
      <c r="D1081" s="105">
        <f t="shared" ca="1" si="64"/>
        <v>28</v>
      </c>
      <c r="E1081" s="138" t="str">
        <f t="shared" ca="1" si="65"/>
        <v>CRÍTICO</v>
      </c>
      <c r="F1081" s="230" t="s">
        <v>28</v>
      </c>
      <c r="G1081" s="147" t="s">
        <v>29</v>
      </c>
      <c r="H1081" s="117" t="s">
        <v>91</v>
      </c>
      <c r="I1081" s="117" t="str">
        <f>IF(X1081="ADMITIDO","ADMITIDO",IF(X1081="CANCELADA","CANCELADA",IF(H1081="","",IFERROR(_xlfn.XLOOKUP(H1081,Listas!I:I,Listas!J:J),"OUTROS"))))</f>
        <v>TRIAGEM</v>
      </c>
      <c r="J1081" s="240" t="s">
        <v>30</v>
      </c>
      <c r="K1081" s="240" t="s">
        <v>31</v>
      </c>
      <c r="L1081" s="240" t="s">
        <v>32</v>
      </c>
      <c r="M1081" s="240"/>
      <c r="N1081" s="240" t="s">
        <v>33</v>
      </c>
      <c r="O1081" s="119" t="s">
        <v>34</v>
      </c>
      <c r="P1081" s="119" t="s">
        <v>35</v>
      </c>
      <c r="Q1081" s="119" t="s">
        <v>36</v>
      </c>
      <c r="R1081" s="234" t="s">
        <v>2828</v>
      </c>
      <c r="S1081" s="273"/>
      <c r="T1081" s="274"/>
      <c r="U1081" s="73"/>
      <c r="V1081" s="216"/>
      <c r="W1081" s="118"/>
      <c r="X1081" s="119"/>
      <c r="Y1081" s="309"/>
      <c r="Z1081" s="309"/>
      <c r="AA1081" s="316"/>
      <c r="AB1081" s="351"/>
      <c r="AC1081" s="351"/>
      <c r="AD1081" s="316">
        <v>0</v>
      </c>
    </row>
    <row r="1082" spans="1:30" ht="18" customHeight="1">
      <c r="A1082" s="237">
        <v>30932</v>
      </c>
      <c r="B1082" s="121">
        <v>1</v>
      </c>
      <c r="C1082" s="238">
        <v>46199</v>
      </c>
      <c r="D1082" s="105">
        <f t="shared" ca="1" si="64"/>
        <v>28</v>
      </c>
      <c r="E1082" s="138" t="str">
        <f t="shared" ca="1" si="65"/>
        <v>CRÍTICO</v>
      </c>
      <c r="F1082" s="230" t="s">
        <v>28</v>
      </c>
      <c r="G1082" s="147" t="s">
        <v>29</v>
      </c>
      <c r="H1082" s="117" t="s">
        <v>91</v>
      </c>
      <c r="I1082" s="117" t="str">
        <f>IF(X1082="ADMITIDO","ADMITIDO",IF(X1082="CANCELADA","CANCELADA",IF(H1082="","",IFERROR(_xlfn.XLOOKUP(H1082,Listas!I:I,Listas!J:J),"OUTROS"))))</f>
        <v>TRIAGEM</v>
      </c>
      <c r="J1082" s="240" t="s">
        <v>30</v>
      </c>
      <c r="K1082" s="240" t="s">
        <v>31</v>
      </c>
      <c r="L1082" s="240" t="s">
        <v>32</v>
      </c>
      <c r="M1082" s="240"/>
      <c r="N1082" s="240" t="s">
        <v>33</v>
      </c>
      <c r="O1082" s="119" t="s">
        <v>34</v>
      </c>
      <c r="P1082" s="119" t="s">
        <v>35</v>
      </c>
      <c r="Q1082" s="119" t="s">
        <v>36</v>
      </c>
      <c r="R1082" s="234" t="s">
        <v>2828</v>
      </c>
      <c r="S1082" s="273"/>
      <c r="T1082" s="274"/>
      <c r="U1082" s="73"/>
      <c r="V1082" s="216"/>
      <c r="W1082" s="118"/>
      <c r="X1082" s="119"/>
      <c r="Y1082" s="120"/>
      <c r="Z1082" s="120"/>
      <c r="AA1082" s="244"/>
      <c r="AB1082" s="241"/>
      <c r="AC1082" s="241"/>
      <c r="AD1082" s="244">
        <v>0</v>
      </c>
    </row>
    <row r="1083" spans="1:30" ht="18" customHeight="1">
      <c r="A1083" s="237">
        <v>30930</v>
      </c>
      <c r="B1083" s="121">
        <v>1</v>
      </c>
      <c r="C1083" s="238">
        <v>46199</v>
      </c>
      <c r="D1083" s="105">
        <f t="shared" ca="1" si="64"/>
        <v>28</v>
      </c>
      <c r="E1083" s="138" t="str">
        <f t="shared" si="65"/>
        <v>ADMITIDO</v>
      </c>
      <c r="F1083" s="230" t="s">
        <v>28</v>
      </c>
      <c r="G1083" s="147" t="s">
        <v>240</v>
      </c>
      <c r="H1083" s="117" t="s">
        <v>40</v>
      </c>
      <c r="I1083" s="117" t="str">
        <f>IF(X1083="ADMITIDO","ADMITIDO",IF(X1083="CANCELADA","CANCELADA",IF(H1083="","",IFERROR(_xlfn.XLOOKUP(H1083,Listas!I:I,Listas!J:J),"OUTROS"))))</f>
        <v>ADMITIDO</v>
      </c>
      <c r="J1083" s="240" t="s">
        <v>737</v>
      </c>
      <c r="K1083" s="240" t="s">
        <v>423</v>
      </c>
      <c r="L1083" s="240" t="s">
        <v>174</v>
      </c>
      <c r="M1083" s="240"/>
      <c r="N1083" s="240" t="s">
        <v>175</v>
      </c>
      <c r="O1083" s="119" t="s">
        <v>34</v>
      </c>
      <c r="P1083" s="119" t="s">
        <v>35</v>
      </c>
      <c r="Q1083" s="119" t="s">
        <v>36</v>
      </c>
      <c r="R1083" s="234"/>
      <c r="S1083" s="477"/>
      <c r="T1083" s="352"/>
      <c r="U1083" s="327" t="s">
        <v>76</v>
      </c>
      <c r="V1083" s="315">
        <v>46198</v>
      </c>
      <c r="W1083" s="310" t="s">
        <v>2829</v>
      </c>
      <c r="X1083" s="308" t="s">
        <v>40</v>
      </c>
      <c r="Y1083" s="309">
        <v>46203</v>
      </c>
      <c r="Z1083" s="309">
        <v>46210</v>
      </c>
      <c r="AA1083" s="316">
        <v>914546</v>
      </c>
      <c r="AB1083" s="351"/>
      <c r="AC1083" s="351"/>
      <c r="AD1083" s="316">
        <v>0</v>
      </c>
    </row>
    <row r="1084" spans="1:30" ht="18" customHeight="1">
      <c r="A1084" s="237">
        <v>30935</v>
      </c>
      <c r="B1084" s="121">
        <v>1</v>
      </c>
      <c r="C1084" s="238">
        <v>46199</v>
      </c>
      <c r="D1084" s="105">
        <f t="shared" ca="1" si="64"/>
        <v>28</v>
      </c>
      <c r="E1084" s="138" t="str">
        <f t="shared" si="65"/>
        <v>ADMITIDO</v>
      </c>
      <c r="F1084" s="230" t="s">
        <v>28</v>
      </c>
      <c r="G1084" s="147" t="s">
        <v>552</v>
      </c>
      <c r="H1084" s="117" t="s">
        <v>40</v>
      </c>
      <c r="I1084" s="117" t="str">
        <f>IF(X1084="ADMITIDO","ADMITIDO",IF(X1084="CANCELADA","CANCELADA",IF(H1084="","",IFERROR(_xlfn.XLOOKUP(H1084,Listas!I:I,Listas!J:J),"OUTROS"))))</f>
        <v>ADMITIDO</v>
      </c>
      <c r="J1084" s="240" t="s">
        <v>2830</v>
      </c>
      <c r="K1084" s="240" t="s">
        <v>553</v>
      </c>
      <c r="L1084" s="240" t="s">
        <v>1028</v>
      </c>
      <c r="M1084" s="240"/>
      <c r="N1084" s="240" t="s">
        <v>1029</v>
      </c>
      <c r="O1084" s="119" t="s">
        <v>34</v>
      </c>
      <c r="P1084" s="119" t="s">
        <v>48</v>
      </c>
      <c r="Q1084" s="119" t="s">
        <v>2831</v>
      </c>
      <c r="R1084" s="234"/>
      <c r="S1084" s="476"/>
      <c r="T1084" s="274"/>
      <c r="U1084" s="73" t="s">
        <v>552</v>
      </c>
      <c r="V1084" s="216"/>
      <c r="W1084" s="118" t="s">
        <v>2832</v>
      </c>
      <c r="X1084" s="119" t="s">
        <v>40</v>
      </c>
      <c r="Y1084" s="120">
        <v>46204</v>
      </c>
      <c r="Z1084" s="120">
        <v>46205</v>
      </c>
      <c r="AA1084" s="244">
        <v>914569</v>
      </c>
      <c r="AB1084" s="241"/>
      <c r="AC1084" s="241"/>
      <c r="AD1084" s="244">
        <v>0</v>
      </c>
    </row>
    <row r="1085" spans="1:30" ht="18" customHeight="1">
      <c r="A1085" s="237">
        <v>30926</v>
      </c>
      <c r="B1085" s="121">
        <v>1</v>
      </c>
      <c r="C1085" s="238">
        <v>46199</v>
      </c>
      <c r="D1085" s="105">
        <f t="shared" ca="1" si="64"/>
        <v>28</v>
      </c>
      <c r="E1085" s="138" t="str">
        <f t="shared" si="65"/>
        <v>ADMITIDO</v>
      </c>
      <c r="F1085" s="230" t="s">
        <v>28</v>
      </c>
      <c r="G1085" s="147" t="s">
        <v>552</v>
      </c>
      <c r="H1085" s="117" t="s">
        <v>40</v>
      </c>
      <c r="I1085" s="117" t="str">
        <f>IF(X1085="ADMITIDO","ADMITIDO",IF(X1085="CANCELADA","CANCELADA",IF(H1085="","",IFERROR(_xlfn.XLOOKUP(H1085,Listas!I:I,Listas!J:J),"OUTROS"))))</f>
        <v>ADMITIDO</v>
      </c>
      <c r="J1085" s="240" t="s">
        <v>146</v>
      </c>
      <c r="K1085" s="240" t="s">
        <v>553</v>
      </c>
      <c r="L1085" s="240" t="s">
        <v>1028</v>
      </c>
      <c r="M1085" s="240"/>
      <c r="N1085" s="240" t="s">
        <v>1029</v>
      </c>
      <c r="O1085" s="119" t="s">
        <v>56</v>
      </c>
      <c r="P1085" s="119" t="s">
        <v>35</v>
      </c>
      <c r="Q1085" s="119" t="s">
        <v>176</v>
      </c>
      <c r="R1085" s="234"/>
      <c r="S1085" s="479"/>
      <c r="T1085" s="345"/>
      <c r="U1085" s="326" t="s">
        <v>552</v>
      </c>
      <c r="V1085" s="313"/>
      <c r="W1085" s="302" t="s">
        <v>2833</v>
      </c>
      <c r="X1085" s="303" t="s">
        <v>40</v>
      </c>
      <c r="Y1085" s="304">
        <v>46203</v>
      </c>
      <c r="Z1085" s="304">
        <v>46204</v>
      </c>
      <c r="AA1085" s="314">
        <v>914557</v>
      </c>
      <c r="AB1085" s="346"/>
      <c r="AC1085" s="346"/>
      <c r="AD1085" s="314">
        <v>0</v>
      </c>
    </row>
    <row r="1086" spans="1:30" ht="18" customHeight="1">
      <c r="A1086" s="237">
        <v>30936</v>
      </c>
      <c r="B1086" s="121">
        <v>1</v>
      </c>
      <c r="C1086" s="238">
        <v>46199</v>
      </c>
      <c r="D1086" s="105">
        <f t="shared" ca="1" si="64"/>
        <v>28</v>
      </c>
      <c r="E1086" s="138" t="str">
        <f t="shared" si="65"/>
        <v>ADMITIDO</v>
      </c>
      <c r="F1086" s="230" t="s">
        <v>171</v>
      </c>
      <c r="G1086" s="147" t="s">
        <v>29</v>
      </c>
      <c r="H1086" s="117" t="s">
        <v>40</v>
      </c>
      <c r="I1086" s="117" t="str">
        <f>IF(X1086="ADMITIDO","ADMITIDO",IF(X1086="CANCELADA","CANCELADA",IF(H1086="","",IFERROR(_xlfn.XLOOKUP(H1086,Listas!I:I,Listas!J:J),"OUTROS"))))</f>
        <v>ADMITIDO</v>
      </c>
      <c r="J1086" s="240" t="s">
        <v>172</v>
      </c>
      <c r="K1086" s="240" t="s">
        <v>31</v>
      </c>
      <c r="L1086" s="240" t="s">
        <v>2217</v>
      </c>
      <c r="M1086" s="240"/>
      <c r="N1086" s="240" t="s">
        <v>205</v>
      </c>
      <c r="O1086" s="119" t="s">
        <v>56</v>
      </c>
      <c r="P1086" s="119" t="s">
        <v>35</v>
      </c>
      <c r="Q1086" s="119" t="s">
        <v>760</v>
      </c>
      <c r="R1086" s="234"/>
      <c r="S1086" s="476"/>
      <c r="T1086" s="274" t="s">
        <v>2834</v>
      </c>
      <c r="U1086" s="73" t="s">
        <v>38</v>
      </c>
      <c r="V1086" s="216">
        <v>46029</v>
      </c>
      <c r="W1086" s="118" t="s">
        <v>2835</v>
      </c>
      <c r="X1086" s="119" t="s">
        <v>40</v>
      </c>
      <c r="Y1086" s="120">
        <v>46206</v>
      </c>
      <c r="Z1086" s="120">
        <v>46207</v>
      </c>
      <c r="AA1086" s="244">
        <v>83369</v>
      </c>
      <c r="AB1086" s="241"/>
      <c r="AC1086" s="241"/>
      <c r="AD1086" s="244">
        <v>0</v>
      </c>
    </row>
    <row r="1087" spans="1:30" ht="18" customHeight="1">
      <c r="A1087" s="237">
        <v>30934</v>
      </c>
      <c r="B1087" s="121">
        <v>1</v>
      </c>
      <c r="C1087" s="238">
        <v>46199</v>
      </c>
      <c r="D1087" s="105">
        <f t="shared" ca="1" si="64"/>
        <v>28</v>
      </c>
      <c r="E1087" s="138" t="str">
        <f t="shared" si="65"/>
        <v>ADMITIDO</v>
      </c>
      <c r="F1087" s="230" t="s">
        <v>42</v>
      </c>
      <c r="G1087" s="147" t="s">
        <v>43</v>
      </c>
      <c r="H1087" s="117" t="s">
        <v>40</v>
      </c>
      <c r="I1087" s="117" t="str">
        <f>IF(X1087="ADMITIDO","ADMITIDO",IF(X1087="CANCELADA","CANCELADA",IF(H1087="","",IFERROR(_xlfn.XLOOKUP(H1087,Listas!I:I,Listas!J:J),"OUTROS"))))</f>
        <v>ADMITIDO</v>
      </c>
      <c r="J1087" s="240" t="s">
        <v>53</v>
      </c>
      <c r="K1087" s="240" t="s">
        <v>45</v>
      </c>
      <c r="L1087" s="240" t="s">
        <v>46</v>
      </c>
      <c r="M1087" s="240"/>
      <c r="N1087" s="240" t="s">
        <v>47</v>
      </c>
      <c r="O1087" s="119" t="s">
        <v>34</v>
      </c>
      <c r="P1087" s="119" t="s">
        <v>48</v>
      </c>
      <c r="Q1087" s="119" t="s">
        <v>49</v>
      </c>
      <c r="R1087" s="234"/>
      <c r="S1087" s="477" t="s">
        <v>2836</v>
      </c>
      <c r="T1087" s="432">
        <v>11940747698</v>
      </c>
      <c r="U1087" s="327" t="s">
        <v>50</v>
      </c>
      <c r="V1087" s="315">
        <v>38897</v>
      </c>
      <c r="W1087" s="310" t="s">
        <v>2837</v>
      </c>
      <c r="X1087" s="308" t="s">
        <v>40</v>
      </c>
      <c r="Y1087" s="309">
        <v>46204</v>
      </c>
      <c r="Z1087" s="309">
        <v>46205</v>
      </c>
      <c r="AA1087" s="316">
        <v>914547</v>
      </c>
      <c r="AB1087" s="351"/>
      <c r="AC1087" s="351"/>
      <c r="AD1087" s="316">
        <v>0</v>
      </c>
    </row>
    <row r="1088" spans="1:30" ht="18" customHeight="1">
      <c r="A1088" s="237">
        <v>30925</v>
      </c>
      <c r="B1088" s="121">
        <v>1</v>
      </c>
      <c r="C1088" s="238">
        <v>46199</v>
      </c>
      <c r="D1088" s="105">
        <f t="shared" ca="1" si="64"/>
        <v>28</v>
      </c>
      <c r="E1088" s="138" t="str">
        <f t="shared" ca="1" si="65"/>
        <v>CRÍTICO</v>
      </c>
      <c r="F1088" s="230" t="s">
        <v>171</v>
      </c>
      <c r="G1088" s="147" t="s">
        <v>102</v>
      </c>
      <c r="H1088" s="117" t="s">
        <v>181</v>
      </c>
      <c r="I1088" s="117" t="str">
        <f>IF(X1088="ADMITIDO","ADMITIDO",IF(X1088="CANCELADA","CANCELADA",IF(H1088="","",IFERROR(_xlfn.XLOOKUP(H1088,Listas!I:I,Listas!J:J),"OUTROS"))))</f>
        <v>DOCUMENTAÇÃO</v>
      </c>
      <c r="J1088" s="240" t="s">
        <v>172</v>
      </c>
      <c r="K1088" s="240" t="s">
        <v>371</v>
      </c>
      <c r="L1088" s="240" t="s">
        <v>2838</v>
      </c>
      <c r="M1088" s="240"/>
      <c r="N1088" s="240" t="s">
        <v>391</v>
      </c>
      <c r="O1088" s="119" t="s">
        <v>34</v>
      </c>
      <c r="P1088" s="119" t="s">
        <v>35</v>
      </c>
      <c r="Q1088" s="119" t="s">
        <v>36</v>
      </c>
      <c r="R1088" s="273" t="s">
        <v>2839</v>
      </c>
      <c r="S1088" s="273" t="s">
        <v>1612</v>
      </c>
      <c r="T1088" s="274"/>
      <c r="U1088" s="73"/>
      <c r="V1088" s="216"/>
      <c r="W1088" s="118"/>
      <c r="X1088" s="119"/>
      <c r="Y1088" s="120"/>
      <c r="Z1088" s="120"/>
      <c r="AA1088" s="244"/>
      <c r="AB1088" s="118" t="s">
        <v>2840</v>
      </c>
      <c r="AC1088" s="241"/>
      <c r="AD1088" s="244">
        <v>1</v>
      </c>
    </row>
    <row r="1089" spans="1:30" ht="18" customHeight="1">
      <c r="A1089" s="237">
        <v>30929</v>
      </c>
      <c r="B1089" s="121">
        <v>1</v>
      </c>
      <c r="C1089" s="238">
        <v>46199</v>
      </c>
      <c r="D1089" s="105">
        <f t="shared" ca="1" si="64"/>
        <v>28</v>
      </c>
      <c r="E1089" s="138" t="str">
        <f t="shared" si="65"/>
        <v>ADMITIDO</v>
      </c>
      <c r="F1089" s="230" t="s">
        <v>28</v>
      </c>
      <c r="G1089" s="147" t="s">
        <v>43</v>
      </c>
      <c r="H1089" s="117" t="s">
        <v>40</v>
      </c>
      <c r="I1089" s="117" t="str">
        <f>IF(X1089="ADMITIDO","ADMITIDO",IF(X1089="CANCELADA","CANCELADA",IF(H1089="","",IFERROR(_xlfn.XLOOKUP(H1089,Listas!I:I,Listas!J:J),"OUTROS"))))</f>
        <v>ADMITIDO</v>
      </c>
      <c r="J1089" s="240" t="s">
        <v>268</v>
      </c>
      <c r="K1089" s="240" t="s">
        <v>335</v>
      </c>
      <c r="L1089" s="240" t="s">
        <v>361</v>
      </c>
      <c r="M1089" s="240"/>
      <c r="N1089" s="240" t="s">
        <v>33</v>
      </c>
      <c r="O1089" s="119" t="s">
        <v>56</v>
      </c>
      <c r="P1089" s="119" t="s">
        <v>35</v>
      </c>
      <c r="Q1089" s="119" t="s">
        <v>176</v>
      </c>
      <c r="R1089" s="234"/>
      <c r="S1089" s="476" t="s">
        <v>2451</v>
      </c>
      <c r="T1089" s="274">
        <v>15981364616</v>
      </c>
      <c r="U1089" s="73" t="s">
        <v>67</v>
      </c>
      <c r="V1089" s="216">
        <v>46206</v>
      </c>
      <c r="W1089" s="118" t="s">
        <v>2841</v>
      </c>
      <c r="X1089" s="119" t="s">
        <v>40</v>
      </c>
      <c r="Y1089" s="120">
        <v>46211</v>
      </c>
      <c r="Z1089" s="120">
        <v>46211</v>
      </c>
      <c r="AA1089" s="244">
        <v>914591</v>
      </c>
      <c r="AB1089" s="241"/>
      <c r="AC1089" s="241"/>
      <c r="AD1089" s="244">
        <v>0</v>
      </c>
    </row>
    <row r="1090" spans="1:30" ht="18" customHeight="1">
      <c r="A1090" s="237">
        <v>30947</v>
      </c>
      <c r="B1090" s="121">
        <v>1</v>
      </c>
      <c r="C1090" s="238">
        <v>46202</v>
      </c>
      <c r="D1090" s="105">
        <f t="shared" ca="1" si="64"/>
        <v>25</v>
      </c>
      <c r="E1090" s="138" t="str">
        <f t="shared" ca="1" si="65"/>
        <v>CRÍTICO</v>
      </c>
      <c r="F1090" s="230" t="s">
        <v>28</v>
      </c>
      <c r="G1090" s="147" t="s">
        <v>102</v>
      </c>
      <c r="H1090" s="117" t="s">
        <v>214</v>
      </c>
      <c r="I1090" s="117" t="str">
        <f>IF(X1090="ADMITIDO","ADMITIDO",IF(X1090="CANCELADA","CANCELADA",IF(H1090="","",IFERROR(_xlfn.XLOOKUP(H1090,Listas!I:I,Listas!J:J),"OUTROS"))))</f>
        <v>TRIAGEM</v>
      </c>
      <c r="J1090" s="240" t="s">
        <v>2555</v>
      </c>
      <c r="K1090" s="240" t="s">
        <v>563</v>
      </c>
      <c r="L1090" s="240" t="s">
        <v>2556</v>
      </c>
      <c r="M1090" s="240"/>
      <c r="N1090" s="240" t="s">
        <v>63</v>
      </c>
      <c r="O1090" s="119" t="s">
        <v>34</v>
      </c>
      <c r="P1090" s="119" t="s">
        <v>35</v>
      </c>
      <c r="Q1090" s="119" t="s">
        <v>36</v>
      </c>
      <c r="R1090" s="273" t="s">
        <v>2842</v>
      </c>
      <c r="S1090" s="476"/>
      <c r="T1090" s="274"/>
      <c r="U1090" s="73"/>
      <c r="V1090" s="216"/>
      <c r="W1090" s="118"/>
      <c r="X1090" s="119"/>
      <c r="Y1090" s="120"/>
      <c r="Z1090" s="120"/>
      <c r="AA1090" s="244"/>
      <c r="AB1090" s="241" t="s">
        <v>2843</v>
      </c>
      <c r="AC1090" s="241"/>
      <c r="AD1090" s="244">
        <v>2</v>
      </c>
    </row>
    <row r="1091" spans="1:30" ht="18" customHeight="1">
      <c r="A1091" s="237">
        <v>30939</v>
      </c>
      <c r="B1091" s="121">
        <v>1</v>
      </c>
      <c r="C1091" s="238">
        <v>46202</v>
      </c>
      <c r="D1091" s="105">
        <f t="shared" ca="1" si="64"/>
        <v>25</v>
      </c>
      <c r="E1091" s="138" t="str">
        <f t="shared" si="65"/>
        <v>ADMITIDO</v>
      </c>
      <c r="F1091" s="230" t="s">
        <v>42</v>
      </c>
      <c r="G1091" s="147" t="s">
        <v>29</v>
      </c>
      <c r="H1091" s="117" t="s">
        <v>40</v>
      </c>
      <c r="I1091" s="117" t="str">
        <f>IF(X1091="ADMITIDO","ADMITIDO",IF(X1091="CANCELADA","CANCELADA",IF(H1091="","",IFERROR(_xlfn.XLOOKUP(H1091,Listas!I:I,Listas!J:J),"OUTROS"))))</f>
        <v>ADMITIDO</v>
      </c>
      <c r="J1091" s="240" t="s">
        <v>227</v>
      </c>
      <c r="K1091" s="240" t="s">
        <v>228</v>
      </c>
      <c r="L1091" s="240" t="s">
        <v>229</v>
      </c>
      <c r="M1091" s="240"/>
      <c r="N1091" s="240" t="s">
        <v>88</v>
      </c>
      <c r="O1091" s="119" t="s">
        <v>34</v>
      </c>
      <c r="P1091" s="119" t="s">
        <v>35</v>
      </c>
      <c r="Q1091" s="119" t="s">
        <v>266</v>
      </c>
      <c r="R1091" s="234"/>
      <c r="S1091" s="476"/>
      <c r="T1091" s="274" t="s">
        <v>2844</v>
      </c>
      <c r="U1091" s="73" t="s">
        <v>38</v>
      </c>
      <c r="V1091" s="216" t="s">
        <v>2845</v>
      </c>
      <c r="W1091" s="118" t="s">
        <v>2846</v>
      </c>
      <c r="X1091" s="119" t="s">
        <v>40</v>
      </c>
      <c r="Y1091" s="120">
        <v>46209</v>
      </c>
      <c r="Z1091" s="120">
        <v>46210</v>
      </c>
      <c r="AA1091" s="244">
        <v>146188</v>
      </c>
      <c r="AB1091" s="241"/>
      <c r="AC1091" s="241"/>
      <c r="AD1091" s="244">
        <v>0</v>
      </c>
    </row>
    <row r="1092" spans="1:30" ht="18" customHeight="1">
      <c r="A1092" s="237">
        <v>30944</v>
      </c>
      <c r="B1092" s="121">
        <v>1</v>
      </c>
      <c r="C1092" s="238">
        <v>46202</v>
      </c>
      <c r="D1092" s="105">
        <f t="shared" ca="1" si="64"/>
        <v>25</v>
      </c>
      <c r="E1092" s="138" t="str">
        <f t="shared" ca="1" si="65"/>
        <v>CRÍTICO</v>
      </c>
      <c r="F1092" s="230" t="s">
        <v>42</v>
      </c>
      <c r="G1092" s="147" t="s">
        <v>663</v>
      </c>
      <c r="H1092" s="117" t="s">
        <v>91</v>
      </c>
      <c r="I1092" s="117" t="str">
        <f>IF(X1092="ADMITIDO","ADMITIDO",IF(X1092="CANCELADA","CANCELADA",IF(H1092="","",IFERROR(_xlfn.XLOOKUP(H1092,Listas!I:I,Listas!J:J),"OUTROS"))))</f>
        <v>TRIAGEM</v>
      </c>
      <c r="J1092" s="240" t="s">
        <v>227</v>
      </c>
      <c r="K1092" s="240" t="s">
        <v>228</v>
      </c>
      <c r="L1092" s="240" t="s">
        <v>229</v>
      </c>
      <c r="M1092" s="240"/>
      <c r="N1092" s="240" t="s">
        <v>88</v>
      </c>
      <c r="O1092" s="119" t="s">
        <v>34</v>
      </c>
      <c r="P1092" s="119" t="s">
        <v>35</v>
      </c>
      <c r="Q1092" s="119" t="s">
        <v>266</v>
      </c>
      <c r="R1092" s="234"/>
      <c r="S1092" s="273" t="s">
        <v>2697</v>
      </c>
      <c r="T1092" s="583"/>
      <c r="U1092" s="73"/>
      <c r="V1092" s="216"/>
      <c r="W1092" s="583"/>
      <c r="X1092" s="119"/>
      <c r="Y1092" s="304"/>
      <c r="Z1092" s="304"/>
      <c r="AA1092" s="314"/>
      <c r="AB1092" s="346" t="s">
        <v>2847</v>
      </c>
      <c r="AC1092" s="346"/>
      <c r="AD1092" s="314">
        <v>1</v>
      </c>
    </row>
    <row r="1093" spans="1:30" ht="18" customHeight="1">
      <c r="A1093" s="374">
        <v>30953</v>
      </c>
      <c r="B1093" s="376">
        <v>1</v>
      </c>
      <c r="C1093" s="375">
        <v>46202</v>
      </c>
      <c r="D1093" s="367">
        <f t="shared" ca="1" si="64"/>
        <v>25</v>
      </c>
      <c r="E1093" s="368" t="str">
        <f t="shared" si="65"/>
        <v>ADMITIDO</v>
      </c>
      <c r="F1093" s="371" t="s">
        <v>28</v>
      </c>
      <c r="G1093" s="369" t="s">
        <v>43</v>
      </c>
      <c r="H1093" s="146" t="s">
        <v>40</v>
      </c>
      <c r="I1093" s="146" t="str">
        <f>IF(X1093="ADMITIDO","ADMITIDO",IF(X1093="CANCELADA","CANCELADA",IF(H1093="","",IFERROR(_xlfn.XLOOKUP(H1093,Listas!I:I,Listas!J:J),"OUTROS"))))</f>
        <v>ADMITIDO</v>
      </c>
      <c r="J1093" s="415" t="s">
        <v>268</v>
      </c>
      <c r="K1093" s="415" t="s">
        <v>1808</v>
      </c>
      <c r="L1093" s="415" t="s">
        <v>1282</v>
      </c>
      <c r="M1093" s="415"/>
      <c r="N1093" s="415" t="s">
        <v>97</v>
      </c>
      <c r="O1093" s="303" t="s">
        <v>34</v>
      </c>
      <c r="P1093" s="303" t="s">
        <v>35</v>
      </c>
      <c r="Q1093" s="303" t="s">
        <v>2848</v>
      </c>
      <c r="R1093" s="418"/>
      <c r="S1093" s="479" t="s">
        <v>2849</v>
      </c>
      <c r="T1093" s="345">
        <v>11948719207</v>
      </c>
      <c r="U1093" s="326" t="s">
        <v>50</v>
      </c>
      <c r="V1093" s="313">
        <v>46203</v>
      </c>
      <c r="W1093" s="302" t="s">
        <v>2850</v>
      </c>
      <c r="X1093" s="303" t="s">
        <v>40</v>
      </c>
      <c r="Y1093" s="304">
        <v>46206</v>
      </c>
      <c r="Z1093" s="304">
        <v>46206</v>
      </c>
      <c r="AA1093" s="531">
        <v>914582</v>
      </c>
      <c r="AB1093" s="346" t="s">
        <v>2851</v>
      </c>
      <c r="AC1093" s="346"/>
      <c r="AD1093" s="314">
        <v>0</v>
      </c>
    </row>
    <row r="1094" spans="1:30" ht="18" customHeight="1">
      <c r="A1094" s="237">
        <v>30955</v>
      </c>
      <c r="B1094" s="121">
        <v>1</v>
      </c>
      <c r="C1094" s="238">
        <v>46202</v>
      </c>
      <c r="D1094" s="105">
        <f t="shared" ca="1" si="64"/>
        <v>25</v>
      </c>
      <c r="E1094" s="138" t="str">
        <f t="shared" ca="1" si="65"/>
        <v>CRÍTICO</v>
      </c>
      <c r="F1094" s="230" t="s">
        <v>42</v>
      </c>
      <c r="G1094" s="147" t="s">
        <v>60</v>
      </c>
      <c r="H1094" s="117" t="s">
        <v>279</v>
      </c>
      <c r="I1094" s="117" t="str">
        <f>IF(X1094="ADMITIDO","ADMITIDO",IF(X1094="CANCELADA","CANCELADA",IF(H1094="","",IFERROR(_xlfn.XLOOKUP(H1094,Listas!I:I,Listas!J:J),"OUTROS"))))</f>
        <v>DOCUMENTAÇÃO</v>
      </c>
      <c r="J1094" s="240" t="s">
        <v>53</v>
      </c>
      <c r="K1094" s="240" t="s">
        <v>61</v>
      </c>
      <c r="L1094" s="240" t="s">
        <v>506</v>
      </c>
      <c r="M1094" s="240"/>
      <c r="N1094" s="240" t="s">
        <v>63</v>
      </c>
      <c r="O1094" s="119" t="s">
        <v>34</v>
      </c>
      <c r="P1094" s="119" t="s">
        <v>219</v>
      </c>
      <c r="Q1094" s="119" t="s">
        <v>578</v>
      </c>
      <c r="R1094" s="234"/>
      <c r="S1094" s="273" t="s">
        <v>1533</v>
      </c>
      <c r="T1094" s="274" t="s">
        <v>2852</v>
      </c>
      <c r="U1094" s="73" t="s">
        <v>67</v>
      </c>
      <c r="V1094" s="216">
        <v>46224</v>
      </c>
      <c r="W1094" s="118" t="s">
        <v>2853</v>
      </c>
      <c r="X1094" s="119" t="s">
        <v>284</v>
      </c>
      <c r="Y1094" s="120"/>
      <c r="Z1094" s="120"/>
      <c r="AA1094" s="244"/>
      <c r="AB1094" s="241" t="s">
        <v>2854</v>
      </c>
      <c r="AC1094" s="241"/>
      <c r="AD1094" s="244">
        <v>3</v>
      </c>
    </row>
    <row r="1095" spans="1:30" ht="18" customHeight="1">
      <c r="A1095" s="237">
        <v>30956</v>
      </c>
      <c r="B1095" s="121">
        <v>1</v>
      </c>
      <c r="C1095" s="238">
        <v>46202</v>
      </c>
      <c r="D1095" s="105">
        <f t="shared" ca="1" si="64"/>
        <v>25</v>
      </c>
      <c r="E1095" s="138" t="str">
        <f t="shared" si="65"/>
        <v>ADMITIDO</v>
      </c>
      <c r="F1095" s="230" t="s">
        <v>42</v>
      </c>
      <c r="G1095" s="147" t="s">
        <v>60</v>
      </c>
      <c r="H1095" s="117" t="s">
        <v>334</v>
      </c>
      <c r="I1095" s="117" t="str">
        <f>IF(X1095="ADMITIDO","ADMITIDO",IF(X1095="CANCELADA","CANCELADA",IF(H1095="","",IFERROR(_xlfn.XLOOKUP(H1095,Listas!I:I,Listas!J:J),"OUTROS"))))</f>
        <v>ADMITIDO</v>
      </c>
      <c r="J1095" s="240" t="s">
        <v>53</v>
      </c>
      <c r="K1095" s="240" t="s">
        <v>61</v>
      </c>
      <c r="L1095" s="240" t="s">
        <v>506</v>
      </c>
      <c r="M1095" s="240"/>
      <c r="N1095" s="240" t="s">
        <v>63</v>
      </c>
      <c r="O1095" s="119" t="s">
        <v>34</v>
      </c>
      <c r="P1095" s="119" t="s">
        <v>219</v>
      </c>
      <c r="Q1095" s="119" t="s">
        <v>581</v>
      </c>
      <c r="R1095" s="234"/>
      <c r="S1095" s="273" t="s">
        <v>1533</v>
      </c>
      <c r="T1095" s="274"/>
      <c r="U1095" s="73" t="s">
        <v>76</v>
      </c>
      <c r="V1095" s="216">
        <v>46220</v>
      </c>
      <c r="W1095" s="118" t="s">
        <v>2855</v>
      </c>
      <c r="X1095" s="119" t="s">
        <v>40</v>
      </c>
      <c r="Y1095" s="120">
        <v>46226</v>
      </c>
      <c r="Z1095" s="120">
        <v>46230</v>
      </c>
      <c r="AA1095" s="244">
        <v>914677</v>
      </c>
      <c r="AB1095" s="241" t="s">
        <v>2856</v>
      </c>
      <c r="AC1095" s="241"/>
      <c r="AD1095" s="244">
        <v>1</v>
      </c>
    </row>
    <row r="1096" spans="1:30" ht="18" customHeight="1">
      <c r="A1096" s="396">
        <v>30952</v>
      </c>
      <c r="B1096" s="405">
        <v>1</v>
      </c>
      <c r="C1096" s="404">
        <v>46202</v>
      </c>
      <c r="D1096" s="386">
        <f t="shared" ca="1" si="64"/>
        <v>25</v>
      </c>
      <c r="E1096" s="170" t="str">
        <f t="shared" ca="1" si="65"/>
        <v>CRÍTICO</v>
      </c>
      <c r="F1096" s="397" t="s">
        <v>28</v>
      </c>
      <c r="G1096" s="392" t="s">
        <v>102</v>
      </c>
      <c r="H1096" s="139" t="s">
        <v>91</v>
      </c>
      <c r="I1096" s="139" t="str">
        <f>IF(X1096="ADMITIDO","ADMITIDO",IF(X1096="CANCELADA","CANCELADA",IF(H1096="","",IFERROR(_xlfn.XLOOKUP(H1096,Listas!I:I,Listas!J:J),"OUTROS"))))</f>
        <v>TRIAGEM</v>
      </c>
      <c r="J1096" s="428" t="s">
        <v>268</v>
      </c>
      <c r="K1096" s="428" t="s">
        <v>1820</v>
      </c>
      <c r="L1096" s="428" t="s">
        <v>1097</v>
      </c>
      <c r="M1096" s="428"/>
      <c r="N1096" s="428" t="s">
        <v>63</v>
      </c>
      <c r="O1096" s="308" t="s">
        <v>34</v>
      </c>
      <c r="P1096" s="308" t="s">
        <v>35</v>
      </c>
      <c r="Q1096" s="308" t="s">
        <v>36</v>
      </c>
      <c r="R1096" s="432"/>
      <c r="S1096" s="477"/>
      <c r="T1096" s="352"/>
      <c r="U1096" s="327"/>
      <c r="V1096" s="315"/>
      <c r="W1096" s="310"/>
      <c r="X1096" s="308"/>
      <c r="Y1096" s="309"/>
      <c r="Z1096" s="309"/>
      <c r="AA1096" s="316"/>
      <c r="AB1096" s="351"/>
      <c r="AC1096" s="351"/>
      <c r="AD1096" s="316">
        <v>0</v>
      </c>
    </row>
    <row r="1097" spans="1:30" ht="18" customHeight="1">
      <c r="A1097" s="237">
        <v>30927</v>
      </c>
      <c r="B1097" s="121">
        <v>1</v>
      </c>
      <c r="C1097" s="238">
        <v>46202</v>
      </c>
      <c r="D1097" s="105">
        <f t="shared" ca="1" si="64"/>
        <v>25</v>
      </c>
      <c r="E1097" s="138" t="str">
        <f t="shared" si="65"/>
        <v>ADMITIDO</v>
      </c>
      <c r="F1097" s="230" t="s">
        <v>42</v>
      </c>
      <c r="G1097" s="147" t="s">
        <v>240</v>
      </c>
      <c r="H1097" s="146" t="s">
        <v>40</v>
      </c>
      <c r="I1097" s="117" t="str">
        <f>IF(X1097="ADMITIDO","ADMITIDO",IF(X1097="CANCELADA","CANCELADA",IF(H1097="","",IFERROR(_xlfn.XLOOKUP(H1097,Listas!I:I,Listas!J:J),"OUTROS"))))</f>
        <v>ADMITIDO</v>
      </c>
      <c r="J1097" s="240" t="s">
        <v>2857</v>
      </c>
      <c r="K1097" s="240" t="s">
        <v>241</v>
      </c>
      <c r="L1097" s="240" t="s">
        <v>2858</v>
      </c>
      <c r="M1097" s="240"/>
      <c r="N1097" s="240" t="s">
        <v>63</v>
      </c>
      <c r="O1097" s="119" t="s">
        <v>34</v>
      </c>
      <c r="P1097" s="119" t="s">
        <v>57</v>
      </c>
      <c r="Q1097" s="119" t="s">
        <v>98</v>
      </c>
      <c r="R1097" s="234"/>
      <c r="S1097" s="476"/>
      <c r="T1097" s="274"/>
      <c r="U1097" s="73" t="s">
        <v>109</v>
      </c>
      <c r="V1097" s="216">
        <v>46206</v>
      </c>
      <c r="W1097" s="118" t="s">
        <v>2859</v>
      </c>
      <c r="X1097" s="119" t="s">
        <v>40</v>
      </c>
      <c r="Y1097" s="120">
        <v>46211</v>
      </c>
      <c r="Z1097" s="120">
        <v>46213</v>
      </c>
      <c r="AA1097" s="244">
        <v>914611</v>
      </c>
      <c r="AB1097" s="241"/>
      <c r="AC1097" s="241"/>
      <c r="AD1097" s="244">
        <v>0</v>
      </c>
    </row>
    <row r="1098" spans="1:30" ht="18" customHeight="1">
      <c r="A1098" s="396">
        <v>30946</v>
      </c>
      <c r="B1098" s="405">
        <v>1</v>
      </c>
      <c r="C1098" s="404">
        <v>46202</v>
      </c>
      <c r="D1098" s="386">
        <f t="shared" ca="1" si="64"/>
        <v>25</v>
      </c>
      <c r="E1098" s="170" t="str">
        <f t="shared" ca="1" si="65"/>
        <v>CRÍTICO</v>
      </c>
      <c r="F1098" s="397" t="s">
        <v>28</v>
      </c>
      <c r="G1098" s="392" t="s">
        <v>102</v>
      </c>
      <c r="H1098" s="139" t="s">
        <v>91</v>
      </c>
      <c r="I1098" s="139" t="str">
        <f>IF(X1098="ADMITIDO","ADMITIDO",IF(X1098="CANCELADA","CANCELADA",IF(H1098="","",IFERROR(_xlfn.XLOOKUP(H1098,Listas!I:I,Listas!J:J),"OUTROS"))))</f>
        <v>TRIAGEM</v>
      </c>
      <c r="J1098" s="428" t="s">
        <v>268</v>
      </c>
      <c r="K1098" s="428" t="s">
        <v>563</v>
      </c>
      <c r="L1098" s="428" t="s">
        <v>237</v>
      </c>
      <c r="M1098" s="428"/>
      <c r="N1098" s="428" t="s">
        <v>63</v>
      </c>
      <c r="O1098" s="308" t="s">
        <v>34</v>
      </c>
      <c r="P1098" s="308" t="s">
        <v>35</v>
      </c>
      <c r="Q1098" s="308" t="s">
        <v>2177</v>
      </c>
      <c r="R1098" s="432"/>
      <c r="S1098" s="273"/>
      <c r="T1098" s="274"/>
      <c r="U1098" s="73"/>
      <c r="V1098" s="216"/>
      <c r="W1098" s="118"/>
      <c r="X1098" s="119"/>
      <c r="Y1098" s="120"/>
      <c r="Z1098" s="120"/>
      <c r="AA1098" s="244"/>
      <c r="AB1098" s="241"/>
      <c r="AC1098" s="241"/>
      <c r="AD1098" s="244">
        <v>0</v>
      </c>
    </row>
    <row r="1099" spans="1:30" ht="18" customHeight="1">
      <c r="A1099" s="237">
        <v>30950</v>
      </c>
      <c r="B1099" s="405">
        <v>1</v>
      </c>
      <c r="C1099" s="238">
        <v>46202</v>
      </c>
      <c r="D1099" s="386">
        <f t="shared" ca="1" si="64"/>
        <v>25</v>
      </c>
      <c r="E1099" s="170" t="str">
        <f t="shared" si="65"/>
        <v>ADMITIDO</v>
      </c>
      <c r="F1099" s="230" t="s">
        <v>171</v>
      </c>
      <c r="G1099" s="147" t="s">
        <v>552</v>
      </c>
      <c r="H1099" s="146" t="s">
        <v>40</v>
      </c>
      <c r="I1099" s="117" t="str">
        <f>IF(X1099="ADMITIDO","ADMITIDO",IF(X1099="CANCELADA","CANCELADA",IF(H1099="","",IFERROR(_xlfn.XLOOKUP(H1099,Listas!I:I,Listas!J:J),"OUTROS"))))</f>
        <v>ADMITIDO</v>
      </c>
      <c r="J1099" s="240" t="s">
        <v>2860</v>
      </c>
      <c r="K1099" s="240" t="s">
        <v>553</v>
      </c>
      <c r="L1099" s="240" t="s">
        <v>1028</v>
      </c>
      <c r="M1099" s="240"/>
      <c r="N1099" s="240" t="s">
        <v>1029</v>
      </c>
      <c r="O1099" s="119" t="s">
        <v>56</v>
      </c>
      <c r="P1099" s="119" t="s">
        <v>1843</v>
      </c>
      <c r="Q1099" s="119" t="s">
        <v>176</v>
      </c>
      <c r="R1099" s="234"/>
      <c r="S1099" s="273"/>
      <c r="T1099" s="274"/>
      <c r="U1099" s="73" t="s">
        <v>552</v>
      </c>
      <c r="V1099" s="216"/>
      <c r="W1099" s="118" t="s">
        <v>2861</v>
      </c>
      <c r="X1099" s="119" t="s">
        <v>40</v>
      </c>
      <c r="Y1099" s="120">
        <v>46203</v>
      </c>
      <c r="Z1099" s="120">
        <v>46204</v>
      </c>
      <c r="AA1099" s="244">
        <v>89114</v>
      </c>
      <c r="AB1099" s="241"/>
      <c r="AC1099" s="241"/>
      <c r="AD1099" s="244">
        <v>0</v>
      </c>
    </row>
    <row r="1100" spans="1:30" ht="18" customHeight="1">
      <c r="A1100" s="237">
        <v>30951</v>
      </c>
      <c r="B1100" s="405">
        <v>1</v>
      </c>
      <c r="C1100" s="238">
        <v>46202</v>
      </c>
      <c r="D1100" s="386">
        <f t="shared" ca="1" si="64"/>
        <v>25</v>
      </c>
      <c r="E1100" s="170" t="str">
        <f t="shared" si="65"/>
        <v>ADMITIDO</v>
      </c>
      <c r="F1100" s="230" t="s">
        <v>42</v>
      </c>
      <c r="G1100" s="147" t="s">
        <v>240</v>
      </c>
      <c r="H1100" s="139" t="s">
        <v>181</v>
      </c>
      <c r="I1100" s="117" t="str">
        <f>IF(X1100="ADMITIDO","ADMITIDO",IF(X1100="CANCELADA","CANCELADA",IF(H1100="","",IFERROR(_xlfn.XLOOKUP(H1100,Listas!I:I,Listas!J:J),"OUTROS"))))</f>
        <v>ADMITIDO</v>
      </c>
      <c r="J1100" s="240" t="s">
        <v>53</v>
      </c>
      <c r="K1100" s="240" t="s">
        <v>241</v>
      </c>
      <c r="L1100" s="240" t="s">
        <v>312</v>
      </c>
      <c r="M1100" s="240"/>
      <c r="N1100" s="240" t="s">
        <v>243</v>
      </c>
      <c r="O1100" s="119" t="s">
        <v>34</v>
      </c>
      <c r="P1100" s="119" t="s">
        <v>57</v>
      </c>
      <c r="Q1100" s="119" t="s">
        <v>2862</v>
      </c>
      <c r="R1100" s="234"/>
      <c r="S1100" s="273" t="s">
        <v>2863</v>
      </c>
      <c r="T1100" s="274"/>
      <c r="U1100" s="73" t="s">
        <v>76</v>
      </c>
      <c r="V1100" s="216">
        <v>46218</v>
      </c>
      <c r="W1100" s="118" t="s">
        <v>2864</v>
      </c>
      <c r="X1100" s="119" t="s">
        <v>40</v>
      </c>
      <c r="Y1100" s="120">
        <v>46223</v>
      </c>
      <c r="Z1100" s="120">
        <v>46225</v>
      </c>
      <c r="AA1100" s="244">
        <v>914658</v>
      </c>
      <c r="AB1100" s="241"/>
      <c r="AC1100" s="241"/>
      <c r="AD1100" s="244">
        <v>0</v>
      </c>
    </row>
    <row r="1101" spans="1:30" ht="18" customHeight="1">
      <c r="A1101" s="237">
        <v>30954</v>
      </c>
      <c r="B1101" s="405">
        <v>1</v>
      </c>
      <c r="C1101" s="238">
        <v>46202</v>
      </c>
      <c r="D1101" s="386">
        <f t="shared" ca="1" si="64"/>
        <v>25</v>
      </c>
      <c r="E1101" s="170" t="str">
        <f t="shared" si="65"/>
        <v>ADMITIDO</v>
      </c>
      <c r="F1101" s="230" t="s">
        <v>42</v>
      </c>
      <c r="G1101" s="147" t="s">
        <v>43</v>
      </c>
      <c r="H1101" s="139" t="s">
        <v>40</v>
      </c>
      <c r="I1101" s="117" t="str">
        <f>IF(X1101="ADMITIDO","ADMITIDO",IF(X1101="CANCELADA","CANCELADA",IF(H1101="","",IFERROR(_xlfn.XLOOKUP(H1101,Listas!I:I,Listas!J:J),"OUTROS"))))</f>
        <v>ADMITIDO</v>
      </c>
      <c r="J1101" s="240" t="s">
        <v>53</v>
      </c>
      <c r="K1101" s="240" t="s">
        <v>45</v>
      </c>
      <c r="L1101" t="s">
        <v>2865</v>
      </c>
      <c r="M1101"/>
      <c r="N1101" t="s">
        <v>97</v>
      </c>
      <c r="O1101" s="119" t="s">
        <v>34</v>
      </c>
      <c r="P1101" s="119" t="s">
        <v>48</v>
      </c>
      <c r="Q1101" s="119" t="s">
        <v>131</v>
      </c>
      <c r="R1101" s="234" t="s">
        <v>2866</v>
      </c>
      <c r="S1101" s="508" t="s">
        <v>2867</v>
      </c>
      <c r="T1101" s="274">
        <v>11913658418</v>
      </c>
      <c r="U1101" s="73" t="s">
        <v>50</v>
      </c>
      <c r="V1101" s="216">
        <v>46217</v>
      </c>
      <c r="W1101" s="118" t="s">
        <v>2868</v>
      </c>
      <c r="X1101" s="119" t="s">
        <v>40</v>
      </c>
      <c r="Y1101" s="120">
        <v>46223</v>
      </c>
      <c r="Z1101" s="120">
        <v>46224</v>
      </c>
      <c r="AA1101" s="585">
        <v>914649</v>
      </c>
      <c r="AB1101" t="s">
        <v>2288</v>
      </c>
      <c r="AC1101" s="241"/>
      <c r="AD1101" s="244">
        <v>2</v>
      </c>
    </row>
    <row r="1102" spans="1:30" ht="18" customHeight="1">
      <c r="A1102" s="237">
        <v>30949</v>
      </c>
      <c r="B1102" s="405">
        <v>1</v>
      </c>
      <c r="C1102" s="238">
        <v>46202</v>
      </c>
      <c r="D1102" s="386">
        <f t="shared" ca="1" si="64"/>
        <v>25</v>
      </c>
      <c r="E1102" s="170" t="str">
        <f t="shared" si="65"/>
        <v>ADMITIDO</v>
      </c>
      <c r="F1102" s="230" t="s">
        <v>42</v>
      </c>
      <c r="G1102" s="147" t="s">
        <v>29</v>
      </c>
      <c r="H1102" s="146" t="s">
        <v>40</v>
      </c>
      <c r="I1102" s="117" t="str">
        <f>IF(X1102="ADMITIDO","ADMITIDO",IF(X1102="CANCELADA","CANCELADA",IF(H1102="","",IFERROR(_xlfn.XLOOKUP(H1102,Listas!I:I,Listas!J:J),"OUTROS"))))</f>
        <v>ADMITIDO</v>
      </c>
      <c r="J1102" s="240" t="s">
        <v>53</v>
      </c>
      <c r="K1102" s="240" t="s">
        <v>228</v>
      </c>
      <c r="L1102" s="240" t="s">
        <v>2869</v>
      </c>
      <c r="M1102" s="240"/>
      <c r="N1102" s="240" t="s">
        <v>2870</v>
      </c>
      <c r="O1102" s="119" t="s">
        <v>34</v>
      </c>
      <c r="P1102" s="119" t="s">
        <v>57</v>
      </c>
      <c r="Q1102" s="119" t="s">
        <v>2871</v>
      </c>
      <c r="R1102" s="234"/>
      <c r="S1102" s="273"/>
      <c r="T1102" s="274" t="s">
        <v>2872</v>
      </c>
      <c r="U1102" s="73" t="s">
        <v>38</v>
      </c>
      <c r="V1102" s="216" t="s">
        <v>2845</v>
      </c>
      <c r="W1102" s="118" t="s">
        <v>2873</v>
      </c>
      <c r="X1102" s="119" t="s">
        <v>40</v>
      </c>
      <c r="Y1102" s="120">
        <v>46206</v>
      </c>
      <c r="Z1102" s="120">
        <v>46207</v>
      </c>
      <c r="AA1102" s="244">
        <v>146177</v>
      </c>
      <c r="AB1102" s="241"/>
      <c r="AC1102" s="241"/>
      <c r="AD1102" s="244">
        <v>0</v>
      </c>
    </row>
    <row r="1103" spans="1:30" ht="18" customHeight="1">
      <c r="A1103" s="237">
        <v>30941</v>
      </c>
      <c r="B1103" s="405">
        <v>1</v>
      </c>
      <c r="C1103" s="238">
        <v>46202</v>
      </c>
      <c r="D1103" s="386">
        <f t="shared" ca="1" si="64"/>
        <v>25</v>
      </c>
      <c r="E1103" s="170" t="str">
        <f t="shared" si="65"/>
        <v>ADMITIDO</v>
      </c>
      <c r="F1103" s="230" t="s">
        <v>42</v>
      </c>
      <c r="G1103" s="147" t="s">
        <v>29</v>
      </c>
      <c r="H1103" s="146" t="s">
        <v>40</v>
      </c>
      <c r="I1103" s="117" t="str">
        <f>IF(X1103="ADMITIDO","ADMITIDO",IF(X1103="CANCELADA","CANCELADA",IF(H1103="","",IFERROR(_xlfn.XLOOKUP(H1103,Listas!I:I,Listas!J:J),"OUTROS"))))</f>
        <v>ADMITIDO</v>
      </c>
      <c r="J1103" s="240" t="s">
        <v>227</v>
      </c>
      <c r="K1103" s="240" t="s">
        <v>228</v>
      </c>
      <c r="L1103" s="240" t="s">
        <v>2869</v>
      </c>
      <c r="M1103" s="240"/>
      <c r="N1103" s="240" t="s">
        <v>2870</v>
      </c>
      <c r="O1103" s="119" t="s">
        <v>34</v>
      </c>
      <c r="P1103" s="119" t="s">
        <v>35</v>
      </c>
      <c r="Q1103" s="119" t="s">
        <v>362</v>
      </c>
      <c r="R1103" s="234"/>
      <c r="S1103" s="273"/>
      <c r="T1103" s="274" t="s">
        <v>2874</v>
      </c>
      <c r="U1103" s="73" t="s">
        <v>38</v>
      </c>
      <c r="V1103" s="216">
        <v>46029</v>
      </c>
      <c r="W1103" s="118" t="s">
        <v>2875</v>
      </c>
      <c r="X1103" s="119" t="s">
        <v>40</v>
      </c>
      <c r="Y1103" s="120">
        <v>46209</v>
      </c>
      <c r="Z1103" s="120">
        <v>46210</v>
      </c>
      <c r="AA1103" s="244">
        <v>146187</v>
      </c>
      <c r="AB1103" s="241"/>
      <c r="AC1103" s="241"/>
      <c r="AD1103" s="244">
        <v>0</v>
      </c>
    </row>
    <row r="1104" spans="1:30" ht="18" customHeight="1">
      <c r="A1104" s="237">
        <v>30943</v>
      </c>
      <c r="B1104" s="405">
        <v>1</v>
      </c>
      <c r="C1104" s="238">
        <v>46202</v>
      </c>
      <c r="D1104" s="386">
        <f t="shared" ca="1" si="64"/>
        <v>25</v>
      </c>
      <c r="E1104" s="170" t="str">
        <f t="shared" ca="1" si="65"/>
        <v>CRÍTICO</v>
      </c>
      <c r="F1104" s="230" t="s">
        <v>28</v>
      </c>
      <c r="G1104" s="147" t="s">
        <v>29</v>
      </c>
      <c r="H1104" s="139" t="s">
        <v>181</v>
      </c>
      <c r="I1104" s="117" t="str">
        <f>IF(X1104="ADMITIDO","ADMITIDO",IF(X1104="CANCELADA","CANCELADA",IF(H1104="","",IFERROR(_xlfn.XLOOKUP(H1104,Listas!I:I,Listas!J:J),"OUTROS"))))</f>
        <v>DOCUMENTAÇÃO</v>
      </c>
      <c r="J1104" s="240" t="s">
        <v>146</v>
      </c>
      <c r="K1104" s="240" t="s">
        <v>31</v>
      </c>
      <c r="L1104" s="240" t="s">
        <v>147</v>
      </c>
      <c r="M1104" s="240"/>
      <c r="N1104" s="240" t="s">
        <v>148</v>
      </c>
      <c r="O1104" s="119" t="s">
        <v>34</v>
      </c>
      <c r="P1104" s="119" t="s">
        <v>35</v>
      </c>
      <c r="Q1104" s="119" t="s">
        <v>2876</v>
      </c>
      <c r="R1104" s="273" t="s">
        <v>2877</v>
      </c>
      <c r="S1104" s="273"/>
      <c r="T1104" s="274" t="s">
        <v>2878</v>
      </c>
      <c r="U1104" s="73" t="s">
        <v>38</v>
      </c>
      <c r="V1104" s="216" t="s">
        <v>2220</v>
      </c>
      <c r="W1104" s="118" t="s">
        <v>2879</v>
      </c>
      <c r="X1104" s="119" t="s">
        <v>810</v>
      </c>
      <c r="Y1104" s="120"/>
      <c r="Z1104" s="120"/>
      <c r="AA1104" s="244"/>
      <c r="AB1104" s="241"/>
      <c r="AC1104" s="241"/>
      <c r="AD1104" s="244">
        <v>1</v>
      </c>
    </row>
    <row r="1105" spans="1:30" ht="18" customHeight="1">
      <c r="A1105" s="237">
        <v>30940</v>
      </c>
      <c r="B1105" s="405">
        <v>1</v>
      </c>
      <c r="C1105" s="238">
        <v>46202</v>
      </c>
      <c r="D1105" s="386">
        <f t="shared" ca="1" si="64"/>
        <v>25</v>
      </c>
      <c r="E1105" s="170" t="str">
        <f t="shared" si="65"/>
        <v>ADMITIDO</v>
      </c>
      <c r="F1105" s="230" t="s">
        <v>28</v>
      </c>
      <c r="G1105" s="147" t="s">
        <v>240</v>
      </c>
      <c r="H1105" s="146" t="s">
        <v>40</v>
      </c>
      <c r="I1105" s="117" t="str">
        <f>IF(X1105="ADMITIDO","ADMITIDO",IF(X1105="CANCELADA","CANCELADA",IF(H1105="","",IFERROR(_xlfn.XLOOKUP(H1105,Listas!I:I,Listas!J:J),"OUTROS"))))</f>
        <v>ADMITIDO</v>
      </c>
      <c r="J1105" s="240" t="s">
        <v>268</v>
      </c>
      <c r="K1105" s="240" t="s">
        <v>676</v>
      </c>
      <c r="L1105" s="240" t="s">
        <v>1068</v>
      </c>
      <c r="M1105" s="240"/>
      <c r="N1105" s="240" t="s">
        <v>63</v>
      </c>
      <c r="O1105" s="119" t="s">
        <v>56</v>
      </c>
      <c r="P1105" s="119" t="s">
        <v>35</v>
      </c>
      <c r="Q1105" s="119" t="s">
        <v>176</v>
      </c>
      <c r="R1105" s="234"/>
      <c r="S1105" s="273" t="s">
        <v>1229</v>
      </c>
      <c r="T1105" s="274"/>
      <c r="U1105" s="73" t="s">
        <v>76</v>
      </c>
      <c r="V1105" s="216">
        <v>46210</v>
      </c>
      <c r="W1105" s="118" t="s">
        <v>2880</v>
      </c>
      <c r="X1105" s="119" t="s">
        <v>40</v>
      </c>
      <c r="Y1105" s="120">
        <v>46213</v>
      </c>
      <c r="Z1105" s="120">
        <v>46215</v>
      </c>
      <c r="AA1105" s="244">
        <v>914615</v>
      </c>
      <c r="AB1105" s="241"/>
      <c r="AC1105" s="241"/>
      <c r="AD1105" s="244">
        <v>0</v>
      </c>
    </row>
    <row r="1106" spans="1:30" ht="18" customHeight="1">
      <c r="A1106" s="237">
        <v>30948</v>
      </c>
      <c r="B1106" s="405">
        <v>1</v>
      </c>
      <c r="C1106" s="238">
        <v>46202</v>
      </c>
      <c r="D1106" s="386">
        <f t="shared" ca="1" si="64"/>
        <v>25</v>
      </c>
      <c r="E1106" s="170" t="str">
        <f t="shared" si="65"/>
        <v>ADMITIDO</v>
      </c>
      <c r="F1106" s="230" t="s">
        <v>42</v>
      </c>
      <c r="G1106" s="147" t="s">
        <v>102</v>
      </c>
      <c r="H1106" s="139" t="s">
        <v>181</v>
      </c>
      <c r="I1106" s="117" t="str">
        <f>IF(X1106="ADMITIDO","ADMITIDO",IF(X1106="CANCELADA","CANCELADA",IF(H1106="","",IFERROR(_xlfn.XLOOKUP(H1106,Listas!I:I,Listas!J:J),"OUTROS"))))</f>
        <v>ADMITIDO</v>
      </c>
      <c r="J1106" s="240" t="s">
        <v>1247</v>
      </c>
      <c r="K1106" s="240" t="s">
        <v>103</v>
      </c>
      <c r="L1106" s="240" t="s">
        <v>194</v>
      </c>
      <c r="M1106" s="240"/>
      <c r="N1106" s="240" t="s">
        <v>63</v>
      </c>
      <c r="O1106" s="119" t="s">
        <v>34</v>
      </c>
      <c r="P1106" s="119" t="s">
        <v>35</v>
      </c>
      <c r="Q1106" s="119" t="s">
        <v>711</v>
      </c>
      <c r="R1106" s="273" t="s">
        <v>2881</v>
      </c>
      <c r="S1106" s="273"/>
      <c r="T1106" s="274"/>
      <c r="U1106" s="73" t="s">
        <v>109</v>
      </c>
      <c r="V1106" s="216">
        <v>46218</v>
      </c>
      <c r="W1106" s="118" t="s">
        <v>2882</v>
      </c>
      <c r="X1106" s="119" t="s">
        <v>40</v>
      </c>
      <c r="Y1106" s="120">
        <v>46223</v>
      </c>
      <c r="Z1106" s="120">
        <v>46225</v>
      </c>
      <c r="AA1106" s="244">
        <v>914657</v>
      </c>
      <c r="AB1106" s="241" t="s">
        <v>2883</v>
      </c>
      <c r="AC1106" s="241"/>
      <c r="AD1106" s="244">
        <v>1</v>
      </c>
    </row>
    <row r="1107" spans="1:30" ht="18" customHeight="1">
      <c r="A1107" s="396">
        <v>30958</v>
      </c>
      <c r="B1107" s="405">
        <v>1</v>
      </c>
      <c r="C1107" s="404">
        <v>46198</v>
      </c>
      <c r="D1107" s="386">
        <f ca="1">TODAY()-C1107</f>
        <v>29</v>
      </c>
      <c r="E1107" s="170" t="str">
        <f>IF(X1107="ADMITIDO","ADMITIDO",IF(X1107="CANCELADA","CANCELADA",IF(H1107="","",IF(H1107="ADMITIDO","ADMITIDO",IF(H1107="CANCELADA","CANCELADA",IF(OR(H1107="ANALISE CANCELAMENTO",H1107="ANÁLISE CANCELAMENTO"),"EM ANÁLISE",IF(D1107="","",IF(D1107&lt;=7,"NO PRAZO",IF(D1107&lt;=14,"ATENÇÃO","CRÍTICO")))))))))</f>
        <v>ADMITIDO</v>
      </c>
      <c r="F1107" s="397" t="s">
        <v>28</v>
      </c>
      <c r="G1107" s="392" t="s">
        <v>240</v>
      </c>
      <c r="H1107" s="146" t="s">
        <v>40</v>
      </c>
      <c r="I1107" s="139" t="str">
        <f>IF(X1107="ADMITIDO","ADMITIDO",IF(X1107="CANCELADA","CANCELADA",IF(H1107="","",IFERROR(_xlfn.XLOOKUP(H1107,Listas!I:I,Listas!J:J),"OUTROS"))))</f>
        <v>ADMITIDO</v>
      </c>
      <c r="J1107" s="428" t="s">
        <v>819</v>
      </c>
      <c r="K1107" s="428" t="s">
        <v>423</v>
      </c>
      <c r="L1107" s="428" t="s">
        <v>62</v>
      </c>
      <c r="M1107" s="428"/>
      <c r="N1107" s="428" t="s">
        <v>63</v>
      </c>
      <c r="O1107" s="308" t="s">
        <v>34</v>
      </c>
      <c r="P1107" s="308" t="s">
        <v>57</v>
      </c>
      <c r="Q1107" s="308" t="s">
        <v>98</v>
      </c>
      <c r="R1107" s="431"/>
      <c r="S1107" s="432" t="s">
        <v>1229</v>
      </c>
      <c r="T1107" s="352" t="s">
        <v>2814</v>
      </c>
      <c r="U1107" s="327" t="s">
        <v>76</v>
      </c>
      <c r="V1107" s="315">
        <v>46202</v>
      </c>
      <c r="W1107" s="310" t="s">
        <v>2815</v>
      </c>
      <c r="X1107" s="308" t="s">
        <v>40</v>
      </c>
      <c r="Y1107" s="309">
        <v>46204</v>
      </c>
      <c r="Z1107" s="309">
        <v>46205</v>
      </c>
      <c r="AA1107" s="316">
        <v>914561</v>
      </c>
      <c r="AB1107" s="351"/>
      <c r="AC1107" s="351"/>
      <c r="AD1107" s="316">
        <v>0</v>
      </c>
    </row>
    <row r="1108" spans="1:30" ht="18" customHeight="1">
      <c r="A1108" s="237">
        <v>30966</v>
      </c>
      <c r="B1108" s="121">
        <v>1</v>
      </c>
      <c r="C1108" s="238">
        <v>46203</v>
      </c>
      <c r="D1108" s="105">
        <f t="shared" ref="D1108:D1173" ca="1" si="66">TODAY()-C1108</f>
        <v>24</v>
      </c>
      <c r="E1108" s="138" t="str">
        <f t="shared" ref="E1108:E1173" si="67">IF(X1108="ADMITIDO","ADMITIDO",IF(X1108="CANCELADA","CANCELADA",IF(H1108="","",IF(H1108="ADMITIDO","ADMITIDO",IF(H1108="CANCELADA","CANCELADA",IF(OR(H1108="ANALISE CANCELAMENTO",H1108="ANÁLISE CANCELAMENTO"),"EM ANÁLISE",IF(D1108="","",IF(D1108&lt;=7,"NO PRAZO",IF(D1108&lt;=14,"ATENÇÃO","CRÍTICO")))))))))</f>
        <v>ADMITIDO</v>
      </c>
      <c r="F1108" s="230" t="s">
        <v>119</v>
      </c>
      <c r="G1108" s="147" t="s">
        <v>821</v>
      </c>
      <c r="H1108" s="146" t="s">
        <v>40</v>
      </c>
      <c r="I1108" s="117" t="str">
        <f>IF(X1108="ADMITIDO","ADMITIDO",IF(X1108="CANCELADA","CANCELADA",IF(H1108="","",IFERROR(_xlfn.XLOOKUP(H1108,Listas!I:I,Listas!J:J),"OUTROS"))))</f>
        <v>ADMITIDO</v>
      </c>
      <c r="J1108" s="240" t="s">
        <v>2884</v>
      </c>
      <c r="K1108" s="240" t="s">
        <v>2524</v>
      </c>
      <c r="L1108" s="240" t="s">
        <v>2525</v>
      </c>
      <c r="M1108" s="240"/>
      <c r="N1108" s="240" t="s">
        <v>2250</v>
      </c>
      <c r="O1108" s="119" t="s">
        <v>56</v>
      </c>
      <c r="P1108" s="119" t="s">
        <v>35</v>
      </c>
      <c r="Q1108" s="119" t="s">
        <v>176</v>
      </c>
      <c r="R1108" s="234"/>
      <c r="S1108" s="273" t="s">
        <v>2526</v>
      </c>
      <c r="T1108" s="274"/>
      <c r="U1108" s="73" t="s">
        <v>109</v>
      </c>
      <c r="V1108" s="216">
        <v>46203</v>
      </c>
      <c r="W1108" s="118" t="s">
        <v>2885</v>
      </c>
      <c r="X1108" s="119" t="s">
        <v>40</v>
      </c>
      <c r="Y1108" s="120">
        <v>46203</v>
      </c>
      <c r="Z1108" s="120">
        <v>46204</v>
      </c>
      <c r="AA1108" s="244"/>
      <c r="AB1108" s="241"/>
      <c r="AC1108" s="241"/>
      <c r="AD1108" s="244">
        <v>0</v>
      </c>
    </row>
    <row r="1109" spans="1:30" ht="18" customHeight="1">
      <c r="A1109" s="237">
        <v>30967</v>
      </c>
      <c r="B1109" s="121">
        <v>1</v>
      </c>
      <c r="C1109" s="238">
        <v>46203</v>
      </c>
      <c r="D1109" s="105">
        <f t="shared" ca="1" si="66"/>
        <v>24</v>
      </c>
      <c r="E1109" s="138" t="str">
        <f t="shared" si="67"/>
        <v>CANCELADA</v>
      </c>
      <c r="F1109" s="230" t="s">
        <v>119</v>
      </c>
      <c r="G1109" s="147" t="s">
        <v>821</v>
      </c>
      <c r="H1109" s="117" t="s">
        <v>52</v>
      </c>
      <c r="I1109" s="117" t="str">
        <f>IF(X1109="ADMITIDO","ADMITIDO",IF(X1109="CANCELADA","CANCELADA",IF(H1109="","",IFERROR(_xlfn.XLOOKUP(H1109,Listas!I:I,Listas!J:J),"OUTROS"))))</f>
        <v>CANCELADA</v>
      </c>
      <c r="J1109" s="240" t="s">
        <v>2441</v>
      </c>
      <c r="K1109" s="240" t="s">
        <v>835</v>
      </c>
      <c r="L1109" s="240" t="s">
        <v>835</v>
      </c>
      <c r="M1109" s="240"/>
      <c r="N1109" s="240" t="s">
        <v>119</v>
      </c>
      <c r="O1109" s="119" t="s">
        <v>34</v>
      </c>
      <c r="P1109" s="119" t="s">
        <v>48</v>
      </c>
      <c r="Q1109" s="119" t="s">
        <v>441</v>
      </c>
      <c r="R1109" s="234" t="s">
        <v>2886</v>
      </c>
      <c r="S1109" s="273"/>
      <c r="T1109" s="274"/>
      <c r="U1109" s="73"/>
      <c r="V1109" s="216"/>
      <c r="W1109" s="118"/>
      <c r="X1109" s="119"/>
      <c r="Y1109" s="120"/>
      <c r="Z1109" s="120"/>
      <c r="AA1109" s="244"/>
      <c r="AB1109" s="241"/>
      <c r="AC1109" s="241"/>
      <c r="AD1109" s="244">
        <v>0</v>
      </c>
    </row>
    <row r="1110" spans="1:30" ht="18" customHeight="1">
      <c r="A1110" s="237">
        <v>30961</v>
      </c>
      <c r="B1110" s="121">
        <v>1</v>
      </c>
      <c r="C1110" s="238">
        <v>46203</v>
      </c>
      <c r="D1110" s="105">
        <f t="shared" ca="1" si="66"/>
        <v>24</v>
      </c>
      <c r="E1110" s="138" t="str">
        <f t="shared" ca="1" si="67"/>
        <v>CRÍTICO</v>
      </c>
      <c r="F1110" s="230" t="s">
        <v>28</v>
      </c>
      <c r="G1110" s="147" t="s">
        <v>102</v>
      </c>
      <c r="H1110" s="117" t="s">
        <v>259</v>
      </c>
      <c r="I1110" s="117" t="str">
        <f>IF(X1110="ADMITIDO","ADMITIDO",IF(X1110="CANCELADA","CANCELADA",IF(H1110="","",IFERROR(_xlfn.XLOOKUP(H1110,Listas!I:I,Listas!J:J),"OUTROS"))))</f>
        <v>TRIAGEM</v>
      </c>
      <c r="J1110" s="240" t="s">
        <v>268</v>
      </c>
      <c r="K1110" s="240" t="s">
        <v>1820</v>
      </c>
      <c r="L1110" s="240" t="s">
        <v>546</v>
      </c>
      <c r="M1110" s="240"/>
      <c r="N1110" s="240" t="s">
        <v>63</v>
      </c>
      <c r="O1110" s="119" t="s">
        <v>34</v>
      </c>
      <c r="P1110" s="119" t="s">
        <v>35</v>
      </c>
      <c r="Q1110" s="119" t="s">
        <v>36</v>
      </c>
      <c r="R1110" s="273" t="s">
        <v>2887</v>
      </c>
      <c r="S1110" s="273"/>
      <c r="T1110" s="274"/>
      <c r="U1110" s="73"/>
      <c r="V1110" s="216"/>
      <c r="W1110" s="118"/>
      <c r="X1110" s="119"/>
      <c r="Y1110" s="120"/>
      <c r="Z1110" s="120"/>
      <c r="AA1110" s="244"/>
      <c r="AB1110" s="241" t="s">
        <v>2888</v>
      </c>
      <c r="AC1110" s="241"/>
      <c r="AD1110" s="244">
        <v>1</v>
      </c>
    </row>
    <row r="1111" spans="1:30" ht="18" customHeight="1">
      <c r="A1111" s="237">
        <v>30960</v>
      </c>
      <c r="B1111" s="121">
        <v>1</v>
      </c>
      <c r="C1111" s="238">
        <v>46203</v>
      </c>
      <c r="D1111" s="105">
        <f t="shared" ca="1" si="66"/>
        <v>24</v>
      </c>
      <c r="E1111" s="138" t="str">
        <f t="shared" ca="1" si="67"/>
        <v>CRÍTICO</v>
      </c>
      <c r="F1111" s="230" t="s">
        <v>42</v>
      </c>
      <c r="G1111" s="147" t="s">
        <v>663</v>
      </c>
      <c r="H1111" s="117" t="s">
        <v>181</v>
      </c>
      <c r="I1111" s="117" t="str">
        <f>IF(X1111="ADMITIDO","ADMITIDO",IF(X1111="CANCELADA","CANCELADA",IF(H1111="","",IFERROR(_xlfn.XLOOKUP(H1111,Listas!I:I,Listas!J:J),"OUTROS"))))</f>
        <v>DOCUMENTAÇÃO</v>
      </c>
      <c r="J1111" s="240" t="s">
        <v>53</v>
      </c>
      <c r="K1111" s="240" t="s">
        <v>2889</v>
      </c>
      <c r="L1111" s="240" t="s">
        <v>2890</v>
      </c>
      <c r="M1111" s="240"/>
      <c r="N1111" s="240" t="s">
        <v>2891</v>
      </c>
      <c r="O1111" s="119" t="s">
        <v>34</v>
      </c>
      <c r="P1111" s="119" t="s">
        <v>57</v>
      </c>
      <c r="Q1111" s="119" t="s">
        <v>432</v>
      </c>
      <c r="R1111" s="234" t="s">
        <v>2892</v>
      </c>
      <c r="S1111" s="273"/>
      <c r="T1111" s="274" t="s">
        <v>2893</v>
      </c>
      <c r="U1111" s="73" t="s">
        <v>38</v>
      </c>
      <c r="V1111" s="216" t="s">
        <v>2220</v>
      </c>
      <c r="W1111" s="602" t="s">
        <v>2894</v>
      </c>
      <c r="X1111" s="602" t="s">
        <v>2895</v>
      </c>
      <c r="Y1111" s="120"/>
      <c r="Z1111" s="120"/>
      <c r="AA1111" s="244"/>
      <c r="AB1111" s="241"/>
      <c r="AC1111" s="241"/>
      <c r="AD1111" s="244">
        <v>0</v>
      </c>
    </row>
    <row r="1112" spans="1:30" ht="18" customHeight="1">
      <c r="A1112" s="237">
        <v>30973</v>
      </c>
      <c r="B1112" s="121">
        <v>1</v>
      </c>
      <c r="C1112" s="238">
        <v>46203</v>
      </c>
      <c r="D1112" s="105">
        <f t="shared" ca="1" si="66"/>
        <v>24</v>
      </c>
      <c r="E1112" s="138" t="str">
        <f t="shared" ca="1" si="67"/>
        <v>CRÍTICO</v>
      </c>
      <c r="F1112" s="230" t="s">
        <v>42</v>
      </c>
      <c r="G1112" s="147" t="s">
        <v>29</v>
      </c>
      <c r="H1112" s="117" t="s">
        <v>181</v>
      </c>
      <c r="I1112" s="117" t="str">
        <f>IF(X1112="ADMITIDO","ADMITIDO",IF(X1112="CANCELADA","CANCELADA",IF(H1112="","",IFERROR(_xlfn.XLOOKUP(H1112,Listas!I:I,Listas!J:J),"OUTROS"))))</f>
        <v>DOCUMENTAÇÃO</v>
      </c>
      <c r="J1112" s="240" t="s">
        <v>53</v>
      </c>
      <c r="K1112" s="240" t="s">
        <v>54</v>
      </c>
      <c r="L1112" s="240" t="s">
        <v>164</v>
      </c>
      <c r="M1112" s="240"/>
      <c r="N1112" s="240" t="s">
        <v>88</v>
      </c>
      <c r="O1112" s="119" t="s">
        <v>34</v>
      </c>
      <c r="P1112" s="119" t="s">
        <v>57</v>
      </c>
      <c r="Q1112" s="119" t="s">
        <v>231</v>
      </c>
      <c r="R1112" s="234"/>
      <c r="S1112" s="273"/>
      <c r="T1112" s="274" t="s">
        <v>2896</v>
      </c>
      <c r="U1112" s="73" t="s">
        <v>38</v>
      </c>
      <c r="V1112" s="216" t="s">
        <v>2220</v>
      </c>
      <c r="W1112" t="s">
        <v>2897</v>
      </c>
      <c r="X1112" s="508" t="s">
        <v>2895</v>
      </c>
      <c r="Y1112" s="120">
        <v>46227</v>
      </c>
      <c r="Z1112" s="120">
        <v>46228</v>
      </c>
      <c r="AA1112" s="244">
        <v>146282</v>
      </c>
      <c r="AB1112" s="241"/>
      <c r="AC1112" s="241"/>
      <c r="AD1112" s="244">
        <v>0</v>
      </c>
    </row>
    <row r="1113" spans="1:30" ht="18" customHeight="1">
      <c r="A1113" s="374">
        <v>30974</v>
      </c>
      <c r="B1113" s="376">
        <v>1</v>
      </c>
      <c r="C1113" s="375">
        <v>46203</v>
      </c>
      <c r="D1113" s="367">
        <f t="shared" ca="1" si="66"/>
        <v>24</v>
      </c>
      <c r="E1113" s="368" t="str">
        <f t="shared" ca="1" si="67"/>
        <v>CRÍTICO</v>
      </c>
      <c r="F1113" s="371" t="s">
        <v>42</v>
      </c>
      <c r="G1113" s="369" t="s">
        <v>29</v>
      </c>
      <c r="H1113" s="146" t="s">
        <v>181</v>
      </c>
      <c r="I1113" s="146" t="str">
        <f>IF(X1113="ADMITIDO","ADMITIDO",IF(X1113="CANCELADA","CANCELADA",IF(H1113="","",IFERROR(_xlfn.XLOOKUP(H1113,Listas!I:I,Listas!J:J),"OUTROS"))))</f>
        <v>DOCUMENTAÇÃO</v>
      </c>
      <c r="J1113" s="415" t="s">
        <v>53</v>
      </c>
      <c r="K1113" s="415" t="s">
        <v>54</v>
      </c>
      <c r="L1113" s="240" t="s">
        <v>164</v>
      </c>
      <c r="M1113" s="415"/>
      <c r="N1113" s="415" t="s">
        <v>88</v>
      </c>
      <c r="O1113" s="303" t="s">
        <v>34</v>
      </c>
      <c r="P1113" s="303" t="s">
        <v>57</v>
      </c>
      <c r="Q1113" s="303" t="s">
        <v>94</v>
      </c>
      <c r="R1113" s="418"/>
      <c r="S1113" s="419"/>
      <c r="T1113" s="345" t="s">
        <v>2898</v>
      </c>
      <c r="U1113" s="326" t="s">
        <v>38</v>
      </c>
      <c r="V1113" s="313" t="s">
        <v>2899</v>
      </c>
      <c r="W1113" t="s">
        <v>2900</v>
      </c>
      <c r="X1113" s="303" t="s">
        <v>810</v>
      </c>
      <c r="Y1113" s="304"/>
      <c r="Z1113" s="304"/>
      <c r="AA1113" s="314"/>
      <c r="AB1113" s="346" t="s">
        <v>2901</v>
      </c>
      <c r="AC1113" s="346"/>
      <c r="AD1113" s="314">
        <v>1</v>
      </c>
    </row>
    <row r="1114" spans="1:30" ht="18" customHeight="1">
      <c r="A1114" s="223">
        <v>30970</v>
      </c>
      <c r="B1114" s="224">
        <v>1</v>
      </c>
      <c r="C1114" s="201">
        <v>46203</v>
      </c>
      <c r="D1114" s="105">
        <f t="shared" ca="1" si="66"/>
        <v>24</v>
      </c>
      <c r="E1114" s="551" t="str">
        <f t="shared" si="67"/>
        <v>CANCELADA</v>
      </c>
      <c r="F1114" s="248" t="s">
        <v>28</v>
      </c>
      <c r="G1114" s="258" t="s">
        <v>102</v>
      </c>
      <c r="H1114" s="73" t="s">
        <v>52</v>
      </c>
      <c r="I1114" s="73" t="str">
        <f>IF(X1114="ADMITIDO","ADMITIDO",IF(X1114="CANCELADA","CANCELADA",IF(H1114="","",IFERROR(_xlfn.XLOOKUP(H1114,Listas!I:I,Listas!J:J),"OUTROS"))))</f>
        <v>CANCELADA</v>
      </c>
      <c r="J1114" s="226" t="s">
        <v>268</v>
      </c>
      <c r="K1114" s="226" t="s">
        <v>1820</v>
      </c>
      <c r="L1114" s="226" t="s">
        <v>1097</v>
      </c>
      <c r="M1114" s="226"/>
      <c r="N1114" s="226" t="s">
        <v>63</v>
      </c>
      <c r="O1114" s="227" t="s">
        <v>34</v>
      </c>
      <c r="P1114" s="227" t="s">
        <v>35</v>
      </c>
      <c r="Q1114" s="227" t="s">
        <v>36</v>
      </c>
      <c r="R1114" s="236"/>
      <c r="S1114" s="250"/>
      <c r="T1114" s="261"/>
      <c r="U1114" s="73"/>
      <c r="V1114" s="220"/>
      <c r="W1114" s="203"/>
      <c r="X1114" s="227"/>
      <c r="Y1114" s="249"/>
      <c r="Z1114" s="249"/>
      <c r="AA1114" s="256"/>
      <c r="AB1114" s="74"/>
      <c r="AC1114" s="74"/>
      <c r="AD1114" s="256">
        <v>0</v>
      </c>
    </row>
    <row r="1115" spans="1:30" ht="18" customHeight="1">
      <c r="A1115" s="396">
        <v>30963</v>
      </c>
      <c r="B1115" s="405">
        <v>1</v>
      </c>
      <c r="C1115" s="404">
        <v>46203</v>
      </c>
      <c r="D1115" s="386">
        <f t="shared" ca="1" si="66"/>
        <v>24</v>
      </c>
      <c r="E1115" s="170" t="str">
        <f t="shared" si="67"/>
        <v>ADMITIDO</v>
      </c>
      <c r="F1115" s="397" t="s">
        <v>28</v>
      </c>
      <c r="G1115" s="392" t="s">
        <v>240</v>
      </c>
      <c r="H1115" s="117" t="s">
        <v>40</v>
      </c>
      <c r="I1115" s="139" t="str">
        <f>IF(X1115="ADMITIDO","ADMITIDO",IF(X1115="CANCELADA","CANCELADA",IF(H1115="","",IFERROR(_xlfn.XLOOKUP(H1115,Listas!I:I,Listas!J:J),"OUTROS"))))</f>
        <v>ADMITIDO</v>
      </c>
      <c r="J1115" s="428" t="s">
        <v>268</v>
      </c>
      <c r="K1115" s="428" t="s">
        <v>423</v>
      </c>
      <c r="L1115" s="428" t="s">
        <v>423</v>
      </c>
      <c r="M1115" s="428"/>
      <c r="N1115" s="428" t="s">
        <v>63</v>
      </c>
      <c r="O1115" s="308" t="s">
        <v>34</v>
      </c>
      <c r="P1115" s="308" t="s">
        <v>35</v>
      </c>
      <c r="Q1115" s="308" t="s">
        <v>36</v>
      </c>
      <c r="R1115" s="431"/>
      <c r="S1115" s="432" t="s">
        <v>2902</v>
      </c>
      <c r="T1115" s="352"/>
      <c r="U1115" s="327" t="s">
        <v>109</v>
      </c>
      <c r="V1115" s="315">
        <v>46211</v>
      </c>
      <c r="W1115" s="310" t="s">
        <v>2903</v>
      </c>
      <c r="X1115" s="308" t="s">
        <v>40</v>
      </c>
      <c r="Y1115" s="309">
        <v>46217</v>
      </c>
      <c r="Z1115" s="309">
        <v>46223</v>
      </c>
      <c r="AA1115" s="316">
        <v>914621</v>
      </c>
      <c r="AB1115" s="351"/>
      <c r="AC1115" s="351"/>
      <c r="AD1115" s="316">
        <v>0</v>
      </c>
    </row>
    <row r="1116" spans="1:30" ht="18" customHeight="1">
      <c r="A1116" s="237">
        <v>30975</v>
      </c>
      <c r="B1116" s="121">
        <v>1</v>
      </c>
      <c r="C1116" s="238">
        <v>46203</v>
      </c>
      <c r="D1116" s="105">
        <f t="shared" ca="1" si="66"/>
        <v>24</v>
      </c>
      <c r="E1116" s="138" t="str">
        <f t="shared" ca="1" si="67"/>
        <v>CRÍTICO</v>
      </c>
      <c r="F1116" s="230" t="s">
        <v>28</v>
      </c>
      <c r="G1116" s="147" t="s">
        <v>29</v>
      </c>
      <c r="H1116" s="117" t="s">
        <v>181</v>
      </c>
      <c r="I1116" s="117" t="str">
        <f>IF(X1116="ADMITIDO","ADMITIDO",IF(X1116="CANCELADA","CANCELADA",IF(H1116="","",IFERROR(_xlfn.XLOOKUP(H1116,Listas!I:I,Listas!J:J),"OUTROS"))))</f>
        <v>DOCUMENTAÇÃO</v>
      </c>
      <c r="J1116" s="240" t="s">
        <v>172</v>
      </c>
      <c r="K1116" s="240" t="s">
        <v>2904</v>
      </c>
      <c r="L1116" s="240" t="s">
        <v>31</v>
      </c>
      <c r="M1116" s="240"/>
      <c r="N1116" s="240" t="s">
        <v>205</v>
      </c>
      <c r="O1116" s="119" t="s">
        <v>56</v>
      </c>
      <c r="P1116" s="119" t="s">
        <v>35</v>
      </c>
      <c r="Q1116" s="119" t="s">
        <v>760</v>
      </c>
      <c r="R1116" s="234" t="s">
        <v>2905</v>
      </c>
      <c r="S1116" s="273"/>
      <c r="T1116" s="274" t="s">
        <v>2906</v>
      </c>
      <c r="U1116" s="73" t="s">
        <v>38</v>
      </c>
      <c r="V1116" s="216" t="s">
        <v>2620</v>
      </c>
      <c r="W1116" s="58" t="s">
        <v>2907</v>
      </c>
      <c r="X1116" s="119" t="s">
        <v>188</v>
      </c>
      <c r="Y1116" s="120">
        <v>46232</v>
      </c>
      <c r="Z1116" s="120">
        <v>46233</v>
      </c>
      <c r="AA1116" s="244">
        <v>83399</v>
      </c>
      <c r="AB1116" s="241" t="s">
        <v>2908</v>
      </c>
      <c r="AC1116" s="241"/>
      <c r="AD1116" s="244">
        <v>1</v>
      </c>
    </row>
    <row r="1117" spans="1:30" ht="18" customHeight="1">
      <c r="A1117" s="237">
        <v>30972</v>
      </c>
      <c r="B1117" s="121">
        <v>1</v>
      </c>
      <c r="C1117" s="238">
        <v>46203</v>
      </c>
      <c r="D1117" s="105">
        <f t="shared" ca="1" si="66"/>
        <v>24</v>
      </c>
      <c r="E1117" s="138" t="str">
        <f t="shared" si="67"/>
        <v>ADMITIDO</v>
      </c>
      <c r="F1117" s="230" t="s">
        <v>28</v>
      </c>
      <c r="G1117" s="147" t="s">
        <v>240</v>
      </c>
      <c r="H1117" s="146" t="s">
        <v>40</v>
      </c>
      <c r="I1117" s="117" t="str">
        <f>IF(X1117="ADMITIDO","ADMITIDO",IF(X1117="CANCELADA","CANCELADA",IF(H1117="","",IFERROR(_xlfn.XLOOKUP(H1117,Listas!I:I,Listas!J:J),"OUTROS"))))</f>
        <v>ADMITIDO</v>
      </c>
      <c r="J1117" s="240" t="s">
        <v>268</v>
      </c>
      <c r="K1117" s="240" t="s">
        <v>423</v>
      </c>
      <c r="L1117" s="240" t="s">
        <v>423</v>
      </c>
      <c r="M1117" s="240"/>
      <c r="N1117" s="240" t="s">
        <v>63</v>
      </c>
      <c r="O1117" s="119" t="s">
        <v>34</v>
      </c>
      <c r="P1117" s="119" t="s">
        <v>35</v>
      </c>
      <c r="Q1117" s="119" t="s">
        <v>36</v>
      </c>
      <c r="R1117" s="234"/>
      <c r="S1117" s="273" t="s">
        <v>2474</v>
      </c>
      <c r="T1117" s="274"/>
      <c r="U1117" s="73" t="s">
        <v>76</v>
      </c>
      <c r="V1117" s="216">
        <v>46205</v>
      </c>
      <c r="W1117" s="118" t="s">
        <v>2909</v>
      </c>
      <c r="X1117" s="119" t="s">
        <v>40</v>
      </c>
      <c r="Y1117" s="120">
        <v>46211</v>
      </c>
      <c r="Z1117" s="120">
        <v>46216</v>
      </c>
      <c r="AA1117" s="244">
        <v>914601</v>
      </c>
      <c r="AB1117" s="241"/>
      <c r="AC1117" s="241"/>
      <c r="AD1117" s="244">
        <v>0</v>
      </c>
    </row>
    <row r="1118" spans="1:30" ht="18" customHeight="1">
      <c r="A1118" s="237">
        <v>30969</v>
      </c>
      <c r="B1118" s="121">
        <v>1</v>
      </c>
      <c r="C1118" s="238">
        <v>46203</v>
      </c>
      <c r="D1118" s="105">
        <f t="shared" ca="1" si="66"/>
        <v>24</v>
      </c>
      <c r="E1118" s="138" t="str">
        <f t="shared" si="67"/>
        <v>ADMITIDO</v>
      </c>
      <c r="F1118" s="230" t="s">
        <v>63</v>
      </c>
      <c r="G1118" s="147" t="s">
        <v>240</v>
      </c>
      <c r="H1118" s="146" t="s">
        <v>40</v>
      </c>
      <c r="I1118" s="117" t="str">
        <f>IF(X1118="ADMITIDO","ADMITIDO",IF(X1118="CANCELADA","CANCELADA",IF(H1118="","",IFERROR(_xlfn.XLOOKUP(H1118,Listas!I:I,Listas!J:J),"OUTROS"))))</f>
        <v>ADMITIDO</v>
      </c>
      <c r="J1118" s="240" t="s">
        <v>448</v>
      </c>
      <c r="K1118" s="240" t="s">
        <v>423</v>
      </c>
      <c r="L1118" s="240" t="s">
        <v>423</v>
      </c>
      <c r="M1118" s="240"/>
      <c r="N1118" s="240" t="s">
        <v>63</v>
      </c>
      <c r="O1118" s="119" t="s">
        <v>34</v>
      </c>
      <c r="P1118" s="119" t="s">
        <v>48</v>
      </c>
      <c r="Q1118" s="119" t="s">
        <v>290</v>
      </c>
      <c r="R1118" s="234"/>
      <c r="S1118" s="273"/>
      <c r="T1118" s="274"/>
      <c r="U1118" s="73" t="s">
        <v>76</v>
      </c>
      <c r="V1118" s="216">
        <v>46206</v>
      </c>
      <c r="W1118" s="118" t="s">
        <v>2910</v>
      </c>
      <c r="X1118" s="119" t="s">
        <v>40</v>
      </c>
      <c r="Y1118" s="120">
        <v>46210</v>
      </c>
      <c r="Z1118" s="120">
        <v>46212</v>
      </c>
      <c r="AA1118" s="244">
        <v>914600</v>
      </c>
      <c r="AB1118" s="241"/>
      <c r="AC1118" s="241"/>
      <c r="AD1118" s="244">
        <v>0</v>
      </c>
    </row>
    <row r="1119" spans="1:30" ht="18" customHeight="1">
      <c r="A1119" s="237">
        <v>30971</v>
      </c>
      <c r="B1119" s="121">
        <v>1</v>
      </c>
      <c r="C1119" s="238">
        <v>46203</v>
      </c>
      <c r="D1119" s="105">
        <f t="shared" ca="1" si="66"/>
        <v>24</v>
      </c>
      <c r="E1119" s="138" t="str">
        <f t="shared" si="67"/>
        <v>ADMITIDO</v>
      </c>
      <c r="F1119" s="230" t="s">
        <v>28</v>
      </c>
      <c r="G1119" s="147" t="s">
        <v>240</v>
      </c>
      <c r="H1119" s="146" t="s">
        <v>40</v>
      </c>
      <c r="I1119" s="117" t="str">
        <f>IF(X1119="ADMITIDO","ADMITIDO",IF(X1119="CANCELADA","CANCELADA",IF(H1119="","",IFERROR(_xlfn.XLOOKUP(H1119,Listas!I:I,Listas!J:J),"OUTROS"))))</f>
        <v>ADMITIDO</v>
      </c>
      <c r="J1119" s="240" t="s">
        <v>268</v>
      </c>
      <c r="K1119" s="240" t="s">
        <v>423</v>
      </c>
      <c r="L1119" s="240" t="s">
        <v>423</v>
      </c>
      <c r="M1119" s="240"/>
      <c r="N1119" s="240" t="s">
        <v>63</v>
      </c>
      <c r="O1119" s="119" t="s">
        <v>34</v>
      </c>
      <c r="P1119" s="119" t="s">
        <v>48</v>
      </c>
      <c r="Q1119" s="119" t="s">
        <v>414</v>
      </c>
      <c r="R1119" s="234"/>
      <c r="S1119" s="273" t="s">
        <v>1880</v>
      </c>
      <c r="T1119" s="274"/>
      <c r="U1119" s="73" t="s">
        <v>76</v>
      </c>
      <c r="V1119" s="216">
        <v>46205</v>
      </c>
      <c r="W1119" s="118" t="s">
        <v>2911</v>
      </c>
      <c r="X1119" s="119" t="s">
        <v>40</v>
      </c>
      <c r="Y1119" s="120">
        <v>46209</v>
      </c>
      <c r="Z1119" s="120">
        <v>46211</v>
      </c>
      <c r="AA1119" s="244">
        <v>914586</v>
      </c>
      <c r="AB1119" s="241"/>
      <c r="AC1119" s="241"/>
      <c r="AD1119" s="244">
        <v>0</v>
      </c>
    </row>
    <row r="1120" spans="1:30" ht="18" customHeight="1">
      <c r="A1120" s="237">
        <v>30976</v>
      </c>
      <c r="B1120" s="121">
        <v>1</v>
      </c>
      <c r="C1120" s="238">
        <v>46203</v>
      </c>
      <c r="D1120" s="105">
        <f t="shared" ca="1" si="66"/>
        <v>24</v>
      </c>
      <c r="E1120" s="138" t="str">
        <f t="shared" si="67"/>
        <v>ADMITIDO</v>
      </c>
      <c r="F1120" s="230" t="s">
        <v>28</v>
      </c>
      <c r="G1120" s="147" t="s">
        <v>29</v>
      </c>
      <c r="H1120" s="117" t="s">
        <v>40</v>
      </c>
      <c r="I1120" s="117" t="str">
        <f>IF(X1120="ADMITIDO","ADMITIDO",IF(X1120="CANCELADA","CANCELADA",IF(H1120="","",IFERROR(_xlfn.XLOOKUP(H1120,Listas!I:I,Listas!J:J),"OUTROS"))))</f>
        <v>ADMITIDO</v>
      </c>
      <c r="J1120" s="240" t="s">
        <v>202</v>
      </c>
      <c r="K1120" s="240" t="s">
        <v>31</v>
      </c>
      <c r="L1120" s="240" t="s">
        <v>31</v>
      </c>
      <c r="M1120" s="240"/>
      <c r="N1120" s="240" t="s">
        <v>205</v>
      </c>
      <c r="O1120" s="119" t="s">
        <v>56</v>
      </c>
      <c r="P1120" s="119" t="s">
        <v>35</v>
      </c>
      <c r="Q1120" s="119" t="s">
        <v>176</v>
      </c>
      <c r="R1120" s="234"/>
      <c r="S1120" s="273"/>
      <c r="T1120" s="274" t="s">
        <v>2912</v>
      </c>
      <c r="U1120" s="73" t="s">
        <v>38</v>
      </c>
      <c r="V1120" s="216">
        <v>46242</v>
      </c>
      <c r="W1120" s="118" t="s">
        <v>2913</v>
      </c>
      <c r="X1120" s="119" t="s">
        <v>40</v>
      </c>
      <c r="Y1120" s="120">
        <v>46218</v>
      </c>
      <c r="Z1120" s="120">
        <v>46219</v>
      </c>
      <c r="AA1120" s="244">
        <v>914623</v>
      </c>
      <c r="AB1120" s="241"/>
      <c r="AC1120" s="241"/>
      <c r="AD1120" s="244">
        <v>0</v>
      </c>
    </row>
    <row r="1121" spans="1:30" ht="18" customHeight="1">
      <c r="A1121" s="237">
        <v>30959</v>
      </c>
      <c r="B1121" s="121">
        <v>1</v>
      </c>
      <c r="C1121" s="238">
        <v>46203</v>
      </c>
      <c r="D1121" s="105">
        <f t="shared" ca="1" si="66"/>
        <v>24</v>
      </c>
      <c r="E1121" s="138" t="str">
        <f t="shared" si="67"/>
        <v>CANCELADA</v>
      </c>
      <c r="F1121" s="230" t="s">
        <v>1876</v>
      </c>
      <c r="G1121" s="147" t="s">
        <v>552</v>
      </c>
      <c r="H1121" s="117" t="s">
        <v>52</v>
      </c>
      <c r="I1121" s="117" t="str">
        <f>IF(X1121="ADMITIDO","ADMITIDO",IF(X1121="CANCELADA","CANCELADA",IF(H1121="","",IFERROR(_xlfn.XLOOKUP(H1121,Listas!I:I,Listas!J:J),"OUTROS"))))</f>
        <v>CANCELADA</v>
      </c>
      <c r="J1121" s="240" t="s">
        <v>44</v>
      </c>
      <c r="K1121" s="240" t="s">
        <v>553</v>
      </c>
      <c r="L1121" s="240" t="s">
        <v>553</v>
      </c>
      <c r="M1121" s="240"/>
      <c r="N1121" s="240" t="s">
        <v>1876</v>
      </c>
      <c r="O1121" s="119" t="s">
        <v>34</v>
      </c>
      <c r="P1121" s="119" t="s">
        <v>48</v>
      </c>
      <c r="Q1121" s="119" t="s">
        <v>414</v>
      </c>
      <c r="R1121" s="234"/>
      <c r="S1121" s="273"/>
      <c r="T1121" s="274"/>
      <c r="U1121" s="73" t="s">
        <v>552</v>
      </c>
      <c r="V1121" s="216"/>
      <c r="W1121" s="118"/>
      <c r="X1121" s="119" t="s">
        <v>52</v>
      </c>
      <c r="Y1121" s="120"/>
      <c r="Z1121" s="120"/>
      <c r="AA1121" s="244"/>
      <c r="AB1121" s="241" t="s">
        <v>2914</v>
      </c>
      <c r="AC1121" s="241" t="s">
        <v>2915</v>
      </c>
      <c r="AD1121" s="244">
        <v>0</v>
      </c>
    </row>
    <row r="1122" spans="1:30" ht="18" customHeight="1">
      <c r="A1122" s="237">
        <v>30964</v>
      </c>
      <c r="B1122" s="121">
        <v>1</v>
      </c>
      <c r="C1122" s="238">
        <v>46203</v>
      </c>
      <c r="D1122" s="105">
        <f t="shared" ca="1" si="66"/>
        <v>24</v>
      </c>
      <c r="E1122" s="138" t="str">
        <f t="shared" si="67"/>
        <v>ADMITIDO</v>
      </c>
      <c r="F1122" s="230" t="s">
        <v>28</v>
      </c>
      <c r="G1122" s="147" t="s">
        <v>240</v>
      </c>
      <c r="H1122" s="146" t="s">
        <v>40</v>
      </c>
      <c r="I1122" s="117" t="str">
        <f>IF(X1122="ADMITIDO","ADMITIDO",IF(X1122="CANCELADA","CANCELADA",IF(H1122="","",IFERROR(_xlfn.XLOOKUP(H1122,Listas!I:I,Listas!J:J),"OUTROS"))))</f>
        <v>ADMITIDO</v>
      </c>
      <c r="J1122" s="240" t="s">
        <v>268</v>
      </c>
      <c r="K1122" s="240" t="s">
        <v>423</v>
      </c>
      <c r="L1122" s="240" t="s">
        <v>423</v>
      </c>
      <c r="M1122" s="240"/>
      <c r="N1122" s="240" t="s">
        <v>63</v>
      </c>
      <c r="O1122" s="119" t="s">
        <v>34</v>
      </c>
      <c r="P1122" s="119" t="s">
        <v>35</v>
      </c>
      <c r="Q1122" s="119" t="s">
        <v>1805</v>
      </c>
      <c r="R1122" s="234"/>
      <c r="S1122" s="273" t="s">
        <v>65</v>
      </c>
      <c r="T1122" s="274">
        <v>11963193870</v>
      </c>
      <c r="U1122" s="73" t="s">
        <v>67</v>
      </c>
      <c r="V1122" s="216">
        <v>46205</v>
      </c>
      <c r="W1122" s="118" t="s">
        <v>2916</v>
      </c>
      <c r="X1122" s="119" t="s">
        <v>40</v>
      </c>
      <c r="Y1122" s="120">
        <v>46210</v>
      </c>
      <c r="Z1122" s="120">
        <v>46212</v>
      </c>
      <c r="AA1122" s="244">
        <v>914598</v>
      </c>
      <c r="AB1122" s="241"/>
      <c r="AC1122" s="241"/>
      <c r="AD1122" s="244">
        <v>0</v>
      </c>
    </row>
    <row r="1123" spans="1:30" ht="18" customHeight="1">
      <c r="A1123" s="374">
        <v>30981</v>
      </c>
      <c r="B1123" s="376">
        <v>1</v>
      </c>
      <c r="C1123" s="375">
        <v>46204</v>
      </c>
      <c r="D1123" s="367">
        <f t="shared" ca="1" si="66"/>
        <v>23</v>
      </c>
      <c r="E1123" s="368" t="str">
        <f t="shared" si="67"/>
        <v>ADMITIDO</v>
      </c>
      <c r="F1123" s="371" t="s">
        <v>28</v>
      </c>
      <c r="G1123" s="369" t="s">
        <v>60</v>
      </c>
      <c r="H1123" s="146" t="s">
        <v>40</v>
      </c>
      <c r="I1123" s="146" t="str">
        <f>IF(X1123="ADMITIDO","ADMITIDO",IF(X1123="CANCELADA","CANCELADA",IF(H1123="","",IFERROR(_xlfn.XLOOKUP(H1123,Listas!I:I,Listas!J:J),"OUTROS"))))</f>
        <v>ADMITIDO</v>
      </c>
      <c r="J1123" s="415" t="s">
        <v>268</v>
      </c>
      <c r="K1123" s="415" t="s">
        <v>330</v>
      </c>
      <c r="L1123" s="415" t="s">
        <v>2071</v>
      </c>
      <c r="M1123" s="415"/>
      <c r="N1123" s="415" t="s">
        <v>435</v>
      </c>
      <c r="O1123" s="303" t="s">
        <v>34</v>
      </c>
      <c r="P1123" s="303" t="s">
        <v>35</v>
      </c>
      <c r="Q1123" s="303" t="s">
        <v>36</v>
      </c>
      <c r="R1123" s="418"/>
      <c r="S1123" s="419" t="s">
        <v>2451</v>
      </c>
      <c r="T1123" s="345" t="s">
        <v>2917</v>
      </c>
      <c r="U1123" s="326" t="s">
        <v>109</v>
      </c>
      <c r="V1123" s="313">
        <v>46206</v>
      </c>
      <c r="W1123" s="302" t="s">
        <v>2918</v>
      </c>
      <c r="X1123" s="303" t="s">
        <v>40</v>
      </c>
      <c r="Y1123" s="304">
        <v>46210</v>
      </c>
      <c r="Z1123" s="304">
        <v>46212</v>
      </c>
      <c r="AA1123" s="314">
        <v>914594</v>
      </c>
      <c r="AB1123" s="346"/>
      <c r="AC1123" s="346"/>
      <c r="AD1123" s="314">
        <v>0</v>
      </c>
    </row>
    <row r="1124" spans="1:30" ht="15" customHeight="1">
      <c r="A1124" s="237">
        <v>30982</v>
      </c>
      <c r="B1124" s="121">
        <v>1</v>
      </c>
      <c r="C1124" s="238">
        <v>46204</v>
      </c>
      <c r="D1124" s="105">
        <f t="shared" ca="1" si="66"/>
        <v>23</v>
      </c>
      <c r="E1124" s="138" t="str">
        <f t="shared" si="67"/>
        <v>ADMITIDO</v>
      </c>
      <c r="F1124" s="230" t="s">
        <v>28</v>
      </c>
      <c r="G1124" s="147" t="s">
        <v>60</v>
      </c>
      <c r="H1124" s="117" t="s">
        <v>40</v>
      </c>
      <c r="I1124" s="117" t="str">
        <f>IF(X1124="ADMITIDO","ADMITIDO",IF(X1124="CANCELADA","CANCELADA",IF(H1124="","",IFERROR(_xlfn.XLOOKUP(H1124,Listas!I:I,Listas!J:J),"OUTROS"))))</f>
        <v>ADMITIDO</v>
      </c>
      <c r="J1124" s="240" t="s">
        <v>268</v>
      </c>
      <c r="K1124" s="240" t="s">
        <v>330</v>
      </c>
      <c r="L1124" s="240" t="s">
        <v>2071</v>
      </c>
      <c r="M1124" s="240"/>
      <c r="N1124" s="240" t="s">
        <v>435</v>
      </c>
      <c r="O1124" s="119" t="s">
        <v>34</v>
      </c>
      <c r="P1124" s="119" t="s">
        <v>35</v>
      </c>
      <c r="Q1124" s="119" t="s">
        <v>36</v>
      </c>
      <c r="R1124" s="234" t="s">
        <v>2919</v>
      </c>
      <c r="S1124" s="273" t="s">
        <v>1533</v>
      </c>
      <c r="T1124" s="274" t="s">
        <v>2920</v>
      </c>
      <c r="U1124" s="73" t="s">
        <v>67</v>
      </c>
      <c r="V1124" s="216">
        <v>46211</v>
      </c>
      <c r="W1124" s="118" t="s">
        <v>2921</v>
      </c>
      <c r="X1124" s="119" t="s">
        <v>40</v>
      </c>
      <c r="Y1124" s="120">
        <v>46217</v>
      </c>
      <c r="Z1124" s="120">
        <v>46218</v>
      </c>
      <c r="AA1124" s="244">
        <v>916231</v>
      </c>
      <c r="AB1124" s="241"/>
      <c r="AC1124" s="241"/>
      <c r="AD1124" s="244">
        <v>0</v>
      </c>
    </row>
    <row r="1125" spans="1:30" ht="15" customHeight="1">
      <c r="A1125" s="396">
        <v>30983</v>
      </c>
      <c r="B1125" s="405">
        <v>1</v>
      </c>
      <c r="C1125" s="404">
        <v>46204</v>
      </c>
      <c r="D1125" s="386">
        <f t="shared" ca="1" si="66"/>
        <v>23</v>
      </c>
      <c r="E1125" s="170" t="str">
        <f t="shared" si="67"/>
        <v>CANCELADA</v>
      </c>
      <c r="F1125" s="397" t="s">
        <v>28</v>
      </c>
      <c r="G1125" s="392" t="s">
        <v>69</v>
      </c>
      <c r="H1125" s="139" t="s">
        <v>52</v>
      </c>
      <c r="I1125" s="139" t="str">
        <f>IF(X1125="ADMITIDO","ADMITIDO",IF(X1125="CANCELADA","CANCELADA",IF(H1125="","",IFERROR(_xlfn.XLOOKUP(H1125,Listas!I:I,Listas!J:J),"OUTROS"))))</f>
        <v>CANCELADA</v>
      </c>
      <c r="J1125" s="428" t="s">
        <v>268</v>
      </c>
      <c r="K1125" s="428" t="s">
        <v>173</v>
      </c>
      <c r="L1125" s="428" t="s">
        <v>2071</v>
      </c>
      <c r="M1125" s="428"/>
      <c r="N1125" s="428" t="s">
        <v>435</v>
      </c>
      <c r="O1125" s="308" t="s">
        <v>56</v>
      </c>
      <c r="P1125" s="308" t="s">
        <v>35</v>
      </c>
      <c r="Q1125" s="308" t="s">
        <v>176</v>
      </c>
      <c r="R1125" s="431"/>
      <c r="S1125" s="432"/>
      <c r="T1125" s="352"/>
      <c r="U1125" s="327" t="s">
        <v>132</v>
      </c>
      <c r="V1125" s="315">
        <v>46211</v>
      </c>
      <c r="W1125" s="310" t="s">
        <v>2922</v>
      </c>
      <c r="X1125" s="308" t="s">
        <v>284</v>
      </c>
      <c r="Y1125" s="309"/>
      <c r="Z1125" s="309"/>
      <c r="AA1125" s="316"/>
      <c r="AB1125" s="351"/>
      <c r="AC1125" s="351"/>
      <c r="AD1125" s="316">
        <v>0</v>
      </c>
    </row>
    <row r="1126" spans="1:30" ht="15" customHeight="1">
      <c r="A1126" s="237">
        <v>30980</v>
      </c>
      <c r="B1126" s="121">
        <v>1</v>
      </c>
      <c r="C1126" s="238">
        <v>46204</v>
      </c>
      <c r="D1126" s="105">
        <f t="shared" ca="1" si="66"/>
        <v>23</v>
      </c>
      <c r="E1126" s="138" t="str">
        <f t="shared" ca="1" si="67"/>
        <v>CRÍTICO</v>
      </c>
      <c r="F1126" s="230" t="s">
        <v>42</v>
      </c>
      <c r="G1126" s="147" t="s">
        <v>69</v>
      </c>
      <c r="H1126" s="117" t="s">
        <v>638</v>
      </c>
      <c r="I1126" s="117" t="str">
        <f>IF(X1126="ADMITIDO","ADMITIDO",IF(X1126="CANCELADA","CANCELADA",IF(H1126="","",IFERROR(_xlfn.XLOOKUP(H1126,Listas!I:I,Listas!J:J),"OUTROS"))))</f>
        <v>TRIAGEM</v>
      </c>
      <c r="J1126" s="240" t="s">
        <v>53</v>
      </c>
      <c r="K1126" s="240" t="s">
        <v>70</v>
      </c>
      <c r="L1126" s="240" t="s">
        <v>71</v>
      </c>
      <c r="M1126" s="240"/>
      <c r="N1126" s="240" t="s">
        <v>33</v>
      </c>
      <c r="O1126" s="119" t="s">
        <v>34</v>
      </c>
      <c r="P1126" s="119" t="s">
        <v>72</v>
      </c>
      <c r="Q1126" s="119" t="s">
        <v>73</v>
      </c>
      <c r="R1126" s="234"/>
      <c r="S1126" s="273"/>
      <c r="T1126" s="274"/>
      <c r="U1126" s="73"/>
      <c r="V1126" s="216"/>
      <c r="W1126" s="118"/>
      <c r="X1126" s="119"/>
      <c r="Y1126" s="120"/>
      <c r="Z1126" s="120"/>
      <c r="AA1126" s="244"/>
      <c r="AB1126" s="241" t="s">
        <v>2923</v>
      </c>
      <c r="AC1126" s="241"/>
      <c r="AD1126" s="244">
        <v>1</v>
      </c>
    </row>
    <row r="1127" spans="1:30" ht="15" customHeight="1">
      <c r="A1127" s="237">
        <v>30999</v>
      </c>
      <c r="B1127" s="121">
        <v>1</v>
      </c>
      <c r="C1127" s="238">
        <v>46204</v>
      </c>
      <c r="D1127" s="105">
        <f t="shared" ca="1" si="66"/>
        <v>23</v>
      </c>
      <c r="E1127" s="138" t="str">
        <f t="shared" si="67"/>
        <v>ADMITIDO</v>
      </c>
      <c r="F1127" s="230" t="s">
        <v>42</v>
      </c>
      <c r="G1127" s="147" t="s">
        <v>43</v>
      </c>
      <c r="H1127" s="117" t="s">
        <v>40</v>
      </c>
      <c r="I1127" s="117" t="str">
        <f>IF(X1127="ADMITIDO","ADMITIDO",IF(X1127="CANCELADA","CANCELADA",IF(H1127="","",IFERROR(_xlfn.XLOOKUP(H1127,Listas!I:I,Listas!J:J),"OUTROS"))))</f>
        <v>ADMITIDO</v>
      </c>
      <c r="J1127" s="240" t="s">
        <v>346</v>
      </c>
      <c r="K1127" s="240" t="s">
        <v>189</v>
      </c>
      <c r="L1127" s="240" t="s">
        <v>924</v>
      </c>
      <c r="M1127" s="240"/>
      <c r="N1127" s="240" t="s">
        <v>925</v>
      </c>
      <c r="O1127" s="119" t="s">
        <v>34</v>
      </c>
      <c r="P1127" s="119" t="s">
        <v>57</v>
      </c>
      <c r="Q1127" s="119" t="s">
        <v>231</v>
      </c>
      <c r="R1127" s="234"/>
      <c r="S1127" s="273" t="s">
        <v>2794</v>
      </c>
      <c r="T1127" s="274">
        <v>11950735354</v>
      </c>
      <c r="U1127" s="73" t="s">
        <v>50</v>
      </c>
      <c r="V1127" s="216">
        <v>46217</v>
      </c>
      <c r="W1127" s="118" t="s">
        <v>2924</v>
      </c>
      <c r="X1127" s="119" t="s">
        <v>40</v>
      </c>
      <c r="Y1127" s="120">
        <v>46225</v>
      </c>
      <c r="Z1127" s="120">
        <v>46226</v>
      </c>
      <c r="AA1127" s="520">
        <v>146263</v>
      </c>
      <c r="AB1127" s="241" t="s">
        <v>2925</v>
      </c>
      <c r="AC1127" s="241"/>
      <c r="AD1127" s="244">
        <v>0</v>
      </c>
    </row>
    <row r="1128" spans="1:30" ht="15" customHeight="1">
      <c r="A1128" s="237">
        <v>31000</v>
      </c>
      <c r="B1128" s="121">
        <v>1</v>
      </c>
      <c r="C1128" s="238">
        <v>46204</v>
      </c>
      <c r="D1128" s="105">
        <f t="shared" ca="1" si="66"/>
        <v>23</v>
      </c>
      <c r="E1128" s="138" t="str">
        <f t="shared" ca="1" si="67"/>
        <v>CRÍTICO</v>
      </c>
      <c r="F1128" s="230" t="s">
        <v>42</v>
      </c>
      <c r="G1128" s="147" t="s">
        <v>43</v>
      </c>
      <c r="H1128" s="117" t="s">
        <v>334</v>
      </c>
      <c r="I1128" s="117" t="str">
        <f>IF(X1128="ADMITIDO","ADMITIDO",IF(X1128="CANCELADA","CANCELADA",IF(H1128="","",IFERROR(_xlfn.XLOOKUP(H1128,Listas!I:I,Listas!J:J),"OUTROS"))))</f>
        <v>DOCUMENTAÇÃO</v>
      </c>
      <c r="J1128" s="240" t="s">
        <v>53</v>
      </c>
      <c r="K1128" s="240" t="s">
        <v>189</v>
      </c>
      <c r="L1128" s="240" t="s">
        <v>924</v>
      </c>
      <c r="M1128" s="240"/>
      <c r="N1128" s="240" t="s">
        <v>925</v>
      </c>
      <c r="O1128" s="119" t="s">
        <v>34</v>
      </c>
      <c r="P1128" s="119" t="s">
        <v>57</v>
      </c>
      <c r="Q1128" s="119" t="s">
        <v>2194</v>
      </c>
      <c r="R1128" s="234" t="s">
        <v>2926</v>
      </c>
      <c r="S1128" s="273" t="s">
        <v>2867</v>
      </c>
      <c r="T1128" s="274">
        <v>11947068619</v>
      </c>
      <c r="U1128" s="73" t="s">
        <v>50</v>
      </c>
      <c r="V1128" s="216">
        <v>46220</v>
      </c>
      <c r="W1128" s="118" t="s">
        <v>2927</v>
      </c>
      <c r="X1128" s="119" t="s">
        <v>188</v>
      </c>
      <c r="Y1128" s="120">
        <v>46227</v>
      </c>
      <c r="Z1128" s="120">
        <v>46231</v>
      </c>
      <c r="AA1128" s="520">
        <v>914685</v>
      </c>
      <c r="AB1128" s="65" t="s">
        <v>2928</v>
      </c>
      <c r="AC1128" s="241"/>
      <c r="AD1128" s="244">
        <v>1</v>
      </c>
    </row>
    <row r="1129" spans="1:30" ht="15" customHeight="1">
      <c r="A1129" s="237">
        <v>30998</v>
      </c>
      <c r="B1129" s="121">
        <v>1</v>
      </c>
      <c r="C1129" s="238">
        <v>46204</v>
      </c>
      <c r="D1129" s="105">
        <f t="shared" ca="1" si="66"/>
        <v>23</v>
      </c>
      <c r="E1129" s="138" t="str">
        <f t="shared" si="67"/>
        <v>ADMITIDO</v>
      </c>
      <c r="F1129" s="230" t="s">
        <v>42</v>
      </c>
      <c r="G1129" s="147" t="s">
        <v>43</v>
      </c>
      <c r="H1129" s="117" t="s">
        <v>40</v>
      </c>
      <c r="I1129" s="117" t="str">
        <f>IF(X1129="ADMITIDO","ADMITIDO",IF(X1129="CANCELADA","CANCELADA",IF(H1129="","",IFERROR(_xlfn.XLOOKUP(H1129,Listas!I:I,Listas!J:J),"OUTROS"))))</f>
        <v>ADMITIDO</v>
      </c>
      <c r="J1129" t="s">
        <v>2929</v>
      </c>
      <c r="K1129" s="240" t="s">
        <v>189</v>
      </c>
      <c r="L1129" s="240" t="s">
        <v>924</v>
      </c>
      <c r="M1129" s="240"/>
      <c r="N1129" s="240" t="s">
        <v>925</v>
      </c>
      <c r="O1129" s="119" t="s">
        <v>34</v>
      </c>
      <c r="P1129" s="119" t="s">
        <v>35</v>
      </c>
      <c r="Q1129" s="119" t="s">
        <v>36</v>
      </c>
      <c r="R1129" s="234" t="s">
        <v>2930</v>
      </c>
      <c r="S1129" s="306" t="s">
        <v>2794</v>
      </c>
      <c r="T1129" s="274">
        <v>11941798698</v>
      </c>
      <c r="U1129" s="73" t="s">
        <v>50</v>
      </c>
      <c r="V1129" s="216">
        <v>46217</v>
      </c>
      <c r="W1129" t="s">
        <v>2931</v>
      </c>
      <c r="X1129" s="119" t="s">
        <v>40</v>
      </c>
      <c r="Y1129" s="120">
        <v>46225</v>
      </c>
      <c r="Z1129" s="120">
        <v>46226</v>
      </c>
      <c r="AA1129" s="520">
        <v>83389</v>
      </c>
      <c r="AB1129" s="241" t="s">
        <v>2925</v>
      </c>
      <c r="AC1129" s="241"/>
      <c r="AD1129" s="244">
        <v>0</v>
      </c>
    </row>
    <row r="1130" spans="1:30" ht="15" customHeight="1">
      <c r="A1130" s="237">
        <v>31001</v>
      </c>
      <c r="B1130" s="121">
        <v>1</v>
      </c>
      <c r="C1130" s="238">
        <v>46204</v>
      </c>
      <c r="D1130" s="105">
        <f t="shared" ca="1" si="66"/>
        <v>23</v>
      </c>
      <c r="E1130" s="138" t="str">
        <f t="shared" si="67"/>
        <v>ADMITIDO</v>
      </c>
      <c r="F1130" s="230" t="s">
        <v>42</v>
      </c>
      <c r="G1130" s="147" t="s">
        <v>43</v>
      </c>
      <c r="H1130" s="117" t="s">
        <v>40</v>
      </c>
      <c r="I1130" s="117" t="str">
        <f>IF(X1130="ADMITIDO","ADMITIDO",IF(X1130="CANCELADA","CANCELADA",IF(H1130="","",IFERROR(_xlfn.XLOOKUP(H1130,Listas!I:I,Listas!J:J),"OUTROS"))))</f>
        <v>ADMITIDO</v>
      </c>
      <c r="J1130" s="240" t="s">
        <v>44</v>
      </c>
      <c r="K1130" s="240" t="s">
        <v>189</v>
      </c>
      <c r="L1130" s="240" t="s">
        <v>924</v>
      </c>
      <c r="M1130" s="240"/>
      <c r="N1130" s="240" t="s">
        <v>925</v>
      </c>
      <c r="O1130" s="119" t="s">
        <v>34</v>
      </c>
      <c r="P1130" s="119" t="s">
        <v>57</v>
      </c>
      <c r="Q1130" s="119" t="s">
        <v>308</v>
      </c>
      <c r="R1130" s="234" t="s">
        <v>2932</v>
      </c>
      <c r="S1130" s="273" t="s">
        <v>2933</v>
      </c>
      <c r="T1130" s="273">
        <v>11978662859</v>
      </c>
      <c r="U1130" s="73" t="s">
        <v>50</v>
      </c>
      <c r="V1130" s="216">
        <v>46210</v>
      </c>
      <c r="W1130" s="118" t="s">
        <v>2934</v>
      </c>
      <c r="X1130" s="119" t="s">
        <v>40</v>
      </c>
      <c r="Y1130" s="120">
        <v>46218</v>
      </c>
      <c r="Z1130" s="120">
        <v>46219</v>
      </c>
      <c r="AA1130" s="550">
        <v>914632</v>
      </c>
      <c r="AB1130" s="241" t="s">
        <v>2935</v>
      </c>
      <c r="AC1130" s="241"/>
      <c r="AD1130" s="244">
        <v>0</v>
      </c>
    </row>
    <row r="1131" spans="1:30" ht="15" customHeight="1">
      <c r="A1131" s="237">
        <v>30997</v>
      </c>
      <c r="B1131" s="121">
        <v>1</v>
      </c>
      <c r="C1131" s="238">
        <v>46204</v>
      </c>
      <c r="D1131" s="105">
        <f t="shared" ca="1" si="66"/>
        <v>23</v>
      </c>
      <c r="E1131" s="138" t="str">
        <f t="shared" si="67"/>
        <v>ADMITIDO</v>
      </c>
      <c r="F1131" s="230" t="s">
        <v>28</v>
      </c>
      <c r="G1131" s="147" t="s">
        <v>663</v>
      </c>
      <c r="H1131" s="117" t="s">
        <v>40</v>
      </c>
      <c r="I1131" s="117" t="str">
        <f>IF(X1131="ADMITIDO","ADMITIDO",IF(X1131="CANCELADA","CANCELADA",IF(H1131="","",IFERROR(_xlfn.XLOOKUP(H1131,Listas!I:I,Listas!J:J),"OUTROS"))))</f>
        <v>ADMITIDO</v>
      </c>
      <c r="J1131" s="240" t="s">
        <v>427</v>
      </c>
      <c r="K1131" s="240" t="s">
        <v>2936</v>
      </c>
      <c r="L1131" s="240" t="s">
        <v>1018</v>
      </c>
      <c r="M1131" s="240"/>
      <c r="N1131" s="240" t="s">
        <v>205</v>
      </c>
      <c r="O1131" s="119" t="s">
        <v>56</v>
      </c>
      <c r="P1131" s="119" t="s">
        <v>35</v>
      </c>
      <c r="Q1131" s="119" t="s">
        <v>176</v>
      </c>
      <c r="R1131" s="234"/>
      <c r="S1131" s="273"/>
      <c r="T1131" s="274" t="s">
        <v>2937</v>
      </c>
      <c r="U1131" s="73" t="s">
        <v>38</v>
      </c>
      <c r="V1131" s="216">
        <v>46180</v>
      </c>
      <c r="W1131" s="526" t="s">
        <v>2938</v>
      </c>
      <c r="X1131" s="119" t="s">
        <v>40</v>
      </c>
      <c r="Y1131" s="120">
        <v>46211</v>
      </c>
      <c r="Z1131" s="120">
        <v>46212</v>
      </c>
      <c r="AA1131" s="244">
        <v>914605</v>
      </c>
      <c r="AB1131" s="241"/>
      <c r="AC1131" s="241"/>
      <c r="AD1131" s="244">
        <v>0</v>
      </c>
    </row>
    <row r="1132" spans="1:30" ht="15" customHeight="1">
      <c r="A1132" s="237">
        <v>30995</v>
      </c>
      <c r="B1132" s="121">
        <v>1</v>
      </c>
      <c r="C1132" s="238">
        <v>46204</v>
      </c>
      <c r="D1132" s="105">
        <f t="shared" ref="D1132" ca="1" si="68">TODAY()-C1132</f>
        <v>23</v>
      </c>
      <c r="E1132" s="138" t="str">
        <f t="shared" ref="E1132" si="69">IF(X1132="ADMITIDO","ADMITIDO",IF(X1132="CANCELADA","CANCELADA",IF(H1132="","",IF(H1132="ADMITIDO","ADMITIDO",IF(H1132="CANCELADA","CANCELADA",IF(OR(H1132="ANALISE CANCELAMENTO",H1132="ANÁLISE CANCELAMENTO"),"EM ANÁLISE",IF(D1132="","",IF(D1132&lt;=7,"NO PRAZO",IF(D1132&lt;=14,"ATENÇÃO","CRÍTICO")))))))))</f>
        <v>ADMITIDO</v>
      </c>
      <c r="F1132" s="230" t="s">
        <v>42</v>
      </c>
      <c r="G1132" s="147" t="s">
        <v>102</v>
      </c>
      <c r="H1132" s="117" t="s">
        <v>40</v>
      </c>
      <c r="I1132" s="117" t="str">
        <f>IF(X1132="ADMITIDO","ADMITIDO",IF(X1132="CANCELADA","CANCELADA",IF(H1132="","",IFERROR(_xlfn.XLOOKUP(H1132,Listas!I:I,Listas!J:J),"OUTROS"))))</f>
        <v>ADMITIDO</v>
      </c>
      <c r="J1132" s="240" t="s">
        <v>53</v>
      </c>
      <c r="K1132" s="240" t="s">
        <v>103</v>
      </c>
      <c r="L1132" s="240" t="s">
        <v>1173</v>
      </c>
      <c r="M1132" s="240"/>
      <c r="N1132" s="240" t="s">
        <v>1174</v>
      </c>
      <c r="O1132" s="119" t="s">
        <v>34</v>
      </c>
      <c r="P1132" s="119" t="s">
        <v>35</v>
      </c>
      <c r="Q1132" s="119" t="s">
        <v>36</v>
      </c>
      <c r="R1132" s="273" t="s">
        <v>2939</v>
      </c>
      <c r="S1132" s="273" t="s">
        <v>65</v>
      </c>
      <c r="T1132" s="274"/>
      <c r="U1132" s="73" t="s">
        <v>76</v>
      </c>
      <c r="V1132" s="216">
        <v>46217</v>
      </c>
      <c r="W1132" s="118" t="s">
        <v>2940</v>
      </c>
      <c r="X1132" s="119" t="s">
        <v>188</v>
      </c>
      <c r="Y1132" s="120">
        <v>46220</v>
      </c>
      <c r="Z1132" s="120">
        <v>46225</v>
      </c>
      <c r="AA1132" s="244">
        <v>146255</v>
      </c>
      <c r="AB1132" s="241"/>
      <c r="AC1132" s="241"/>
      <c r="AD1132" s="244">
        <v>0</v>
      </c>
    </row>
    <row r="1133" spans="1:30" ht="15" customHeight="1">
      <c r="A1133" s="237">
        <v>30995</v>
      </c>
      <c r="B1133" s="121">
        <v>1</v>
      </c>
      <c r="C1133" s="238">
        <v>46204</v>
      </c>
      <c r="D1133" s="105">
        <f t="shared" ca="1" si="66"/>
        <v>23</v>
      </c>
      <c r="E1133" s="138" t="str">
        <f t="shared" si="67"/>
        <v>ADMITIDO</v>
      </c>
      <c r="F1133" s="230" t="s">
        <v>42</v>
      </c>
      <c r="G1133" s="147" t="s">
        <v>102</v>
      </c>
      <c r="H1133" s="117" t="s">
        <v>40</v>
      </c>
      <c r="I1133" s="117" t="str">
        <f>IF(X1133="ADMITIDO","ADMITIDO",IF(X1133="CANCELADA","CANCELADA",IF(H1133="","",IFERROR(_xlfn.XLOOKUP(H1133,Listas!I:I,Listas!J:J),"OUTROS"))))</f>
        <v>ADMITIDO</v>
      </c>
      <c r="J1133" s="240" t="s">
        <v>53</v>
      </c>
      <c r="K1133" s="240" t="s">
        <v>103</v>
      </c>
      <c r="L1133" s="240" t="s">
        <v>1173</v>
      </c>
      <c r="M1133" s="240"/>
      <c r="N1133" s="240" t="s">
        <v>1174</v>
      </c>
      <c r="O1133" s="119" t="s">
        <v>34</v>
      </c>
      <c r="P1133" s="119" t="s">
        <v>35</v>
      </c>
      <c r="Q1133" s="119" t="s">
        <v>36</v>
      </c>
      <c r="R1133" s="273" t="s">
        <v>2941</v>
      </c>
      <c r="S1133" s="273" t="s">
        <v>65</v>
      </c>
      <c r="T1133" s="274"/>
      <c r="U1133" s="73" t="s">
        <v>76</v>
      </c>
      <c r="V1133" s="216">
        <v>46218</v>
      </c>
      <c r="W1133" s="118" t="s">
        <v>2942</v>
      </c>
      <c r="X1133" s="119" t="s">
        <v>40</v>
      </c>
      <c r="Y1133" s="120">
        <v>46220</v>
      </c>
      <c r="Z1133" s="120">
        <v>46225</v>
      </c>
      <c r="AA1133" s="244">
        <v>146256</v>
      </c>
      <c r="AB1133" s="241"/>
      <c r="AC1133" s="241"/>
      <c r="AD1133" s="244">
        <v>0</v>
      </c>
    </row>
    <row r="1134" spans="1:30" ht="15" customHeight="1">
      <c r="A1134" s="237">
        <v>30965</v>
      </c>
      <c r="B1134" s="121">
        <v>1</v>
      </c>
      <c r="C1134" s="238">
        <v>46204</v>
      </c>
      <c r="D1134" s="105">
        <f t="shared" ref="D1134" ca="1" si="70">TODAY()-C1134</f>
        <v>23</v>
      </c>
      <c r="E1134" s="138" t="str">
        <f t="shared" ref="E1134" si="71">IF(X1134="ADMITIDO","ADMITIDO",IF(X1134="CANCELADA","CANCELADA",IF(H1134="","",IF(H1134="ADMITIDO","ADMITIDO",IF(H1134="CANCELADA","CANCELADA",IF(OR(H1134="ANALISE CANCELAMENTO",H1134="ANÁLISE CANCELAMENTO"),"EM ANÁLISE",IF(D1134="","",IF(D1134&lt;=7,"NO PRAZO",IF(D1134&lt;=14,"ATENÇÃO","CRÍTICO")))))))))</f>
        <v>CANCELADA</v>
      </c>
      <c r="F1134" s="230" t="s">
        <v>42</v>
      </c>
      <c r="G1134" s="147" t="s">
        <v>102</v>
      </c>
      <c r="H1134" s="117" t="s">
        <v>52</v>
      </c>
      <c r="I1134" s="117" t="str">
        <f>IF(X1134="ADMITIDO","ADMITIDO",IF(X1134="CANCELADA","CANCELADA",IF(H1134="","",IFERROR(_xlfn.XLOOKUP(H1134,Listas!I:I,Listas!J:J),"OUTROS"))))</f>
        <v>CANCELADA</v>
      </c>
      <c r="J1134" s="240" t="s">
        <v>44</v>
      </c>
      <c r="K1134" s="240" t="s">
        <v>103</v>
      </c>
      <c r="L1134" s="240" t="s">
        <v>1173</v>
      </c>
      <c r="M1134" s="240"/>
      <c r="N1134" s="240" t="s">
        <v>1174</v>
      </c>
      <c r="O1134" s="119" t="s">
        <v>34</v>
      </c>
      <c r="P1134" s="119" t="s">
        <v>48</v>
      </c>
      <c r="Q1134" s="119" t="s">
        <v>131</v>
      </c>
      <c r="R1134" s="273" t="s">
        <v>2943</v>
      </c>
      <c r="S1134" s="273" t="s">
        <v>65</v>
      </c>
      <c r="T1134" s="274"/>
      <c r="U1134" s="73"/>
      <c r="V1134" s="216"/>
      <c r="W1134" s="118"/>
      <c r="X1134" s="119"/>
      <c r="Y1134" s="120"/>
      <c r="Z1134" s="120"/>
      <c r="AA1134" s="244"/>
      <c r="AB1134" s="241"/>
      <c r="AC1134" s="241"/>
      <c r="AD1134" s="244">
        <v>0</v>
      </c>
    </row>
    <row r="1135" spans="1:30" ht="15" customHeight="1">
      <c r="A1135" s="237">
        <v>30965</v>
      </c>
      <c r="B1135" s="121">
        <v>1</v>
      </c>
      <c r="C1135" s="238">
        <v>46204</v>
      </c>
      <c r="D1135" s="105">
        <f t="shared" ca="1" si="66"/>
        <v>23</v>
      </c>
      <c r="E1135" s="138" t="str">
        <f t="shared" si="67"/>
        <v>CANCELADA</v>
      </c>
      <c r="F1135" s="230" t="s">
        <v>42</v>
      </c>
      <c r="G1135" s="147" t="s">
        <v>102</v>
      </c>
      <c r="H1135" s="117" t="s">
        <v>52</v>
      </c>
      <c r="I1135" s="117" t="str">
        <f>IF(X1135="ADMITIDO","ADMITIDO",IF(X1135="CANCELADA","CANCELADA",IF(H1135="","",IFERROR(_xlfn.XLOOKUP(H1135,Listas!I:I,Listas!J:J),"OUTROS"))))</f>
        <v>CANCELADA</v>
      </c>
      <c r="J1135" s="240" t="s">
        <v>44</v>
      </c>
      <c r="K1135" s="240" t="s">
        <v>103</v>
      </c>
      <c r="L1135" s="240" t="s">
        <v>1173</v>
      </c>
      <c r="M1135" s="240"/>
      <c r="N1135" s="240" t="s">
        <v>1174</v>
      </c>
      <c r="O1135" s="119" t="s">
        <v>34</v>
      </c>
      <c r="P1135" s="119" t="s">
        <v>48</v>
      </c>
      <c r="Q1135" s="119" t="s">
        <v>131</v>
      </c>
      <c r="R1135" s="273"/>
      <c r="S1135" s="273"/>
      <c r="T1135" s="274"/>
      <c r="U1135" s="73"/>
      <c r="V1135" s="216"/>
      <c r="W1135" s="118"/>
      <c r="X1135" s="119"/>
      <c r="Y1135" s="120"/>
      <c r="Z1135" s="120"/>
      <c r="AA1135" s="244"/>
      <c r="AB1135" s="241"/>
      <c r="AC1135" s="241"/>
      <c r="AD1135" s="244">
        <v>0</v>
      </c>
    </row>
    <row r="1136" spans="1:30" ht="15" customHeight="1">
      <c r="A1136" s="237">
        <v>30978</v>
      </c>
      <c r="B1136" s="121">
        <v>1</v>
      </c>
      <c r="C1136" s="238">
        <v>46204</v>
      </c>
      <c r="D1136" s="105">
        <f t="shared" ca="1" si="66"/>
        <v>23</v>
      </c>
      <c r="E1136" s="138" t="str">
        <f t="shared" si="67"/>
        <v>ADMITIDO</v>
      </c>
      <c r="F1136" s="230" t="s">
        <v>28</v>
      </c>
      <c r="G1136" s="147" t="s">
        <v>29</v>
      </c>
      <c r="H1136" s="117" t="s">
        <v>40</v>
      </c>
      <c r="I1136" s="117" t="str">
        <f>IF(X1136="ADMITIDO","ADMITIDO",IF(X1136="CANCELADA","CANCELADA",IF(H1136="","",IFERROR(_xlfn.XLOOKUP(H1136,Listas!I:I,Listas!J:J),"OUTROS"))))</f>
        <v>ADMITIDO</v>
      </c>
      <c r="J1136" s="240" t="s">
        <v>146</v>
      </c>
      <c r="K1136" s="240" t="s">
        <v>31</v>
      </c>
      <c r="L1136" s="240" t="s">
        <v>1205</v>
      </c>
      <c r="M1136" s="240"/>
      <c r="N1136" s="240" t="s">
        <v>205</v>
      </c>
      <c r="O1136" s="119" t="s">
        <v>34</v>
      </c>
      <c r="P1136" s="119" t="s">
        <v>35</v>
      </c>
      <c r="Q1136" s="119" t="s">
        <v>36</v>
      </c>
      <c r="R1136" s="234"/>
      <c r="S1136" s="273"/>
      <c r="T1136" s="274" t="s">
        <v>2944</v>
      </c>
      <c r="U1136" s="73" t="s">
        <v>38</v>
      </c>
      <c r="V1136" s="216">
        <v>46242</v>
      </c>
      <c r="W1136" s="118" t="s">
        <v>2945</v>
      </c>
      <c r="X1136" s="119" t="s">
        <v>40</v>
      </c>
      <c r="Y1136" s="120">
        <v>46218</v>
      </c>
      <c r="Z1136" s="120">
        <v>46219</v>
      </c>
      <c r="AA1136" s="244">
        <v>914625</v>
      </c>
      <c r="AB1136" s="241"/>
      <c r="AC1136" s="241"/>
      <c r="AD1136" s="244">
        <v>0</v>
      </c>
    </row>
    <row r="1137" spans="1:30" ht="15" customHeight="1">
      <c r="A1137" s="237">
        <v>30977</v>
      </c>
      <c r="B1137" s="121">
        <v>1</v>
      </c>
      <c r="C1137" s="238">
        <v>46204</v>
      </c>
      <c r="D1137" s="105">
        <f t="shared" ca="1" si="66"/>
        <v>23</v>
      </c>
      <c r="E1137" s="138" t="str">
        <f t="shared" ca="1" si="67"/>
        <v>CRÍTICO</v>
      </c>
      <c r="F1137" s="230" t="s">
        <v>28</v>
      </c>
      <c r="G1137" s="147" t="s">
        <v>663</v>
      </c>
      <c r="H1137" s="117" t="s">
        <v>91</v>
      </c>
      <c r="I1137" s="117" t="str">
        <f>IF(X1137="ADMITIDO","ADMITIDO",IF(X1137="CANCELADA","CANCELADA",IF(H1137="","",IFERROR(_xlfn.XLOOKUP(H1137,Listas!I:I,Listas!J:J),"OUTROS"))))</f>
        <v>TRIAGEM</v>
      </c>
      <c r="J1137" s="240" t="s">
        <v>146</v>
      </c>
      <c r="K1137" s="240" t="s">
        <v>2936</v>
      </c>
      <c r="L1137" s="240" t="s">
        <v>1205</v>
      </c>
      <c r="M1137" s="240"/>
      <c r="N1137" s="240" t="s">
        <v>205</v>
      </c>
      <c r="O1137" s="119" t="s">
        <v>56</v>
      </c>
      <c r="P1137" s="119" t="s">
        <v>35</v>
      </c>
      <c r="Q1137" s="119" t="s">
        <v>176</v>
      </c>
      <c r="R1137" s="234"/>
      <c r="S1137" s="273"/>
      <c r="T1137" s="274"/>
      <c r="U1137" s="73"/>
      <c r="V1137" s="216"/>
      <c r="W1137" s="118"/>
      <c r="X1137" s="119"/>
      <c r="Y1137" s="120"/>
      <c r="Z1137" s="120"/>
      <c r="AA1137" s="244"/>
      <c r="AB1137" s="241"/>
      <c r="AC1137" s="241"/>
      <c r="AD1137" s="244">
        <v>0</v>
      </c>
    </row>
    <row r="1138" spans="1:30" ht="15" customHeight="1">
      <c r="A1138" s="237">
        <v>30979</v>
      </c>
      <c r="B1138" s="121">
        <v>1</v>
      </c>
      <c r="C1138" s="238">
        <v>46204</v>
      </c>
      <c r="D1138" s="105">
        <f t="shared" ca="1" si="66"/>
        <v>23</v>
      </c>
      <c r="E1138" s="138" t="str">
        <f t="shared" si="67"/>
        <v>ADMITIDO</v>
      </c>
      <c r="F1138" s="230" t="s">
        <v>28</v>
      </c>
      <c r="G1138" s="147" t="s">
        <v>29</v>
      </c>
      <c r="H1138" s="117" t="s">
        <v>40</v>
      </c>
      <c r="I1138" s="117" t="str">
        <f>IF(X1138="ADMITIDO","ADMITIDO",IF(X1138="CANCELADA","CANCELADA",IF(H1138="","",IFERROR(_xlfn.XLOOKUP(H1138,Listas!I:I,Listas!J:J),"OUTROS"))))</f>
        <v>ADMITIDO</v>
      </c>
      <c r="J1138" s="240" t="s">
        <v>146</v>
      </c>
      <c r="K1138" s="240" t="s">
        <v>2936</v>
      </c>
      <c r="L1138" s="415" t="s">
        <v>1205</v>
      </c>
      <c r="M1138" s="415"/>
      <c r="N1138" s="240" t="s">
        <v>205</v>
      </c>
      <c r="O1138" s="119" t="s">
        <v>56</v>
      </c>
      <c r="P1138" s="119" t="s">
        <v>35</v>
      </c>
      <c r="Q1138" s="119" t="s">
        <v>176</v>
      </c>
      <c r="R1138" s="234"/>
      <c r="S1138" s="273"/>
      <c r="T1138" s="274" t="s">
        <v>2946</v>
      </c>
      <c r="U1138" s="73" t="s">
        <v>38</v>
      </c>
      <c r="V1138" s="216">
        <v>46216</v>
      </c>
      <c r="W1138" s="118" t="s">
        <v>2947</v>
      </c>
      <c r="X1138" s="119" t="s">
        <v>40</v>
      </c>
      <c r="Y1138" s="120">
        <v>46218</v>
      </c>
      <c r="Z1138" s="120">
        <v>46219</v>
      </c>
      <c r="AA1138" s="244">
        <v>914633</v>
      </c>
      <c r="AB1138" s="241"/>
      <c r="AC1138" s="241"/>
      <c r="AD1138" s="244">
        <v>0</v>
      </c>
    </row>
    <row r="1139" spans="1:30" ht="15" customHeight="1">
      <c r="A1139" s="237">
        <v>30986</v>
      </c>
      <c r="B1139" s="121">
        <v>1</v>
      </c>
      <c r="C1139" s="238">
        <v>46204</v>
      </c>
      <c r="D1139" s="105">
        <f t="shared" ca="1" si="66"/>
        <v>23</v>
      </c>
      <c r="E1139" s="138" t="str">
        <f t="shared" si="67"/>
        <v>ADMITIDO</v>
      </c>
      <c r="F1139" s="230" t="s">
        <v>42</v>
      </c>
      <c r="G1139" s="147" t="s">
        <v>69</v>
      </c>
      <c r="H1139" s="146" t="s">
        <v>40</v>
      </c>
      <c r="I1139" s="117" t="str">
        <f>IF(X1139="ADMITIDO","ADMITIDO",IF(X1139="CANCELADA","CANCELADA",IF(H1139="","",IFERROR(_xlfn.XLOOKUP(H1139,Listas!I:I,Listas!J:J),"OUTROS"))))</f>
        <v>ADMITIDO</v>
      </c>
      <c r="J1139" s="240" t="s">
        <v>53</v>
      </c>
      <c r="K1139" s="518" t="s">
        <v>70</v>
      </c>
      <c r="L1139" s="527" t="s">
        <v>639</v>
      </c>
      <c r="M1139" s="600"/>
      <c r="N1139" s="363" t="s">
        <v>63</v>
      </c>
      <c r="O1139" s="119" t="s">
        <v>34</v>
      </c>
      <c r="P1139" s="119" t="s">
        <v>57</v>
      </c>
      <c r="Q1139" s="119" t="s">
        <v>432</v>
      </c>
      <c r="R1139" s="234"/>
      <c r="S1139" s="273"/>
      <c r="T1139" s="274"/>
      <c r="U1139" s="73" t="s">
        <v>67</v>
      </c>
      <c r="V1139" s="300">
        <v>46210</v>
      </c>
      <c r="W1139" s="118" t="s">
        <v>2948</v>
      </c>
      <c r="X1139" s="119" t="s">
        <v>40</v>
      </c>
      <c r="Y1139" s="120">
        <v>46213</v>
      </c>
      <c r="Z1139" s="120">
        <v>46217</v>
      </c>
      <c r="AA1139" s="244">
        <v>146219</v>
      </c>
      <c r="AB1139" s="241"/>
      <c r="AC1139" s="241"/>
      <c r="AD1139" s="244">
        <v>0</v>
      </c>
    </row>
    <row r="1140" spans="1:30" ht="15" customHeight="1">
      <c r="A1140" s="237">
        <v>31023</v>
      </c>
      <c r="B1140" s="121">
        <v>1</v>
      </c>
      <c r="C1140" s="238">
        <v>46205</v>
      </c>
      <c r="D1140" s="105">
        <f t="shared" ca="1" si="66"/>
        <v>22</v>
      </c>
      <c r="E1140" s="138" t="str">
        <f t="shared" si="67"/>
        <v>ADMITIDO</v>
      </c>
      <c r="F1140" s="230" t="s">
        <v>171</v>
      </c>
      <c r="G1140" s="147" t="s">
        <v>102</v>
      </c>
      <c r="H1140" s="146" t="s">
        <v>40</v>
      </c>
      <c r="I1140" s="117" t="str">
        <f>IF(X1140="ADMITIDO","ADMITIDO",IF(X1140="CANCELADA","CANCELADA",IF(H1140="","",IFERROR(_xlfn.XLOOKUP(H1140,Listas!I:I,Listas!J:J),"OUTROS"))))</f>
        <v>ADMITIDO</v>
      </c>
      <c r="J1140" s="240" t="s">
        <v>172</v>
      </c>
      <c r="K1140" s="240" t="s">
        <v>371</v>
      </c>
      <c r="L1140" s="428" t="s">
        <v>895</v>
      </c>
      <c r="M1140" s="428"/>
      <c r="N1140" s="240" t="s">
        <v>391</v>
      </c>
      <c r="O1140" s="119" t="s">
        <v>34</v>
      </c>
      <c r="P1140" s="119" t="s">
        <v>35</v>
      </c>
      <c r="Q1140" s="119" t="s">
        <v>362</v>
      </c>
      <c r="R1140" s="234"/>
      <c r="S1140" s="273"/>
      <c r="T1140" s="274"/>
      <c r="U1140" s="73" t="s">
        <v>132</v>
      </c>
      <c r="V1140" s="216">
        <v>46203</v>
      </c>
      <c r="W1140" s="118" t="s">
        <v>2949</v>
      </c>
      <c r="X1140" s="119" t="s">
        <v>40</v>
      </c>
      <c r="Y1140" s="120">
        <v>46209</v>
      </c>
      <c r="Z1140" s="120">
        <v>46212</v>
      </c>
      <c r="AA1140" s="244">
        <v>83370</v>
      </c>
      <c r="AB1140" s="241"/>
      <c r="AC1140" s="241"/>
      <c r="AD1140" s="244">
        <v>0</v>
      </c>
    </row>
    <row r="1141" spans="1:30" ht="15" customHeight="1">
      <c r="A1141" s="237">
        <v>31005</v>
      </c>
      <c r="B1141" s="121">
        <v>1</v>
      </c>
      <c r="C1141" s="238">
        <v>46205</v>
      </c>
      <c r="D1141" s="105">
        <f t="shared" ca="1" si="66"/>
        <v>22</v>
      </c>
      <c r="E1141" s="138" t="str">
        <f t="shared" ca="1" si="67"/>
        <v>CRÍTICO</v>
      </c>
      <c r="F1141" s="230" t="s">
        <v>28</v>
      </c>
      <c r="G1141" s="147" t="s">
        <v>663</v>
      </c>
      <c r="H1141" s="117" t="s">
        <v>91</v>
      </c>
      <c r="I1141" s="117" t="str">
        <f>IF(X1141="ADMITIDO","ADMITIDO",IF(X1141="CANCELADA","CANCELADA",IF(H1141="","",IFERROR(_xlfn.XLOOKUP(H1141,Listas!I:I,Listas!J:J),"OUTROS"))))</f>
        <v>TRIAGEM</v>
      </c>
      <c r="J1141" s="240" t="s">
        <v>146</v>
      </c>
      <c r="K1141" s="240" t="s">
        <v>31</v>
      </c>
      <c r="L1141" s="240" t="s">
        <v>2950</v>
      </c>
      <c r="M1141" s="240"/>
      <c r="N1141" s="240" t="s">
        <v>93</v>
      </c>
      <c r="O1141" s="119" t="s">
        <v>34</v>
      </c>
      <c r="P1141" s="119" t="s">
        <v>35</v>
      </c>
      <c r="Q1141" s="119" t="s">
        <v>612</v>
      </c>
      <c r="R1141" s="234"/>
      <c r="S1141" s="273"/>
      <c r="T1141" s="274"/>
      <c r="U1141" s="73"/>
      <c r="V1141" s="216"/>
      <c r="W1141" s="118"/>
      <c r="X1141" s="119"/>
      <c r="Y1141" s="120"/>
      <c r="Z1141" s="120"/>
      <c r="AA1141" s="244"/>
      <c r="AB1141" s="241"/>
      <c r="AC1141" s="241"/>
      <c r="AD1141" s="244">
        <v>0</v>
      </c>
    </row>
    <row r="1142" spans="1:30" ht="15" customHeight="1">
      <c r="A1142" s="237">
        <v>31011</v>
      </c>
      <c r="B1142" s="121">
        <v>1</v>
      </c>
      <c r="C1142" s="238">
        <v>46205</v>
      </c>
      <c r="D1142" s="105">
        <f t="shared" ca="1" si="66"/>
        <v>22</v>
      </c>
      <c r="E1142" s="138" t="str">
        <f t="shared" si="67"/>
        <v>ADMITIDO</v>
      </c>
      <c r="F1142" s="230" t="s">
        <v>171</v>
      </c>
      <c r="G1142" s="147" t="s">
        <v>29</v>
      </c>
      <c r="H1142" s="117" t="s">
        <v>40</v>
      </c>
      <c r="I1142" s="117" t="str">
        <f>IF(X1142="ADMITIDO","ADMITIDO",IF(X1142="CANCELADA","CANCELADA",IF(H1142="","",IFERROR(_xlfn.XLOOKUP(H1142,Listas!I:I,Listas!J:J),"OUTROS"))))</f>
        <v>ADMITIDO</v>
      </c>
      <c r="J1142" s="240" t="s">
        <v>172</v>
      </c>
      <c r="K1142" s="240" t="s">
        <v>2951</v>
      </c>
      <c r="L1142" s="240" t="s">
        <v>2952</v>
      </c>
      <c r="M1142" s="240"/>
      <c r="N1142" s="240" t="s">
        <v>2953</v>
      </c>
      <c r="O1142" s="119" t="s">
        <v>34</v>
      </c>
      <c r="P1142" s="119" t="s">
        <v>35</v>
      </c>
      <c r="Q1142" s="119" t="s">
        <v>905</v>
      </c>
      <c r="R1142" s="234"/>
      <c r="S1142" s="273"/>
      <c r="T1142" s="274" t="s">
        <v>2954</v>
      </c>
      <c r="U1142" s="73" t="s">
        <v>38</v>
      </c>
      <c r="V1142" s="216">
        <v>46242</v>
      </c>
      <c r="W1142" s="118" t="s">
        <v>2955</v>
      </c>
      <c r="X1142" s="119" t="s">
        <v>40</v>
      </c>
      <c r="Y1142" s="120">
        <v>46218</v>
      </c>
      <c r="Z1142" s="120">
        <v>46217</v>
      </c>
      <c r="AA1142" s="244">
        <v>83380</v>
      </c>
      <c r="AB1142" s="241"/>
      <c r="AC1142" s="241"/>
      <c r="AD1142" s="244">
        <v>0</v>
      </c>
    </row>
    <row r="1143" spans="1:30" ht="15" customHeight="1">
      <c r="A1143" s="237">
        <v>31025</v>
      </c>
      <c r="B1143" s="121">
        <v>1</v>
      </c>
      <c r="C1143" s="238">
        <v>46205</v>
      </c>
      <c r="D1143" s="105">
        <f t="shared" ca="1" si="66"/>
        <v>22</v>
      </c>
      <c r="E1143" s="138" t="str">
        <f t="shared" ca="1" si="67"/>
        <v>CRÍTICO</v>
      </c>
      <c r="F1143" s="230" t="s">
        <v>42</v>
      </c>
      <c r="G1143" s="147" t="s">
        <v>69</v>
      </c>
      <c r="H1143" s="117" t="s">
        <v>91</v>
      </c>
      <c r="I1143" s="117" t="str">
        <f>IF(X1143="ADMITIDO","ADMITIDO",IF(X1143="CANCELADA","CANCELADA",IF(H1143="","",IFERROR(_xlfn.XLOOKUP(H1143,Listas!I:I,Listas!J:J),"OUTROS"))))</f>
        <v>TRIAGEM</v>
      </c>
      <c r="J1143" s="240" t="s">
        <v>53</v>
      </c>
      <c r="K1143" s="240" t="s">
        <v>70</v>
      </c>
      <c r="L1143" s="240" t="s">
        <v>343</v>
      </c>
      <c r="M1143" s="240"/>
      <c r="N1143" s="240" t="s">
        <v>63</v>
      </c>
      <c r="O1143" s="119" t="s">
        <v>34</v>
      </c>
      <c r="P1143" s="119" t="s">
        <v>219</v>
      </c>
      <c r="Q1143" s="119" t="s">
        <v>2956</v>
      </c>
      <c r="R1143" s="234"/>
      <c r="S1143" s="273"/>
      <c r="T1143" s="274"/>
      <c r="U1143" s="73"/>
      <c r="V1143" s="216"/>
      <c r="W1143" s="118"/>
      <c r="X1143" s="119"/>
      <c r="Y1143" s="120"/>
      <c r="Z1143" s="120"/>
      <c r="AA1143" s="244"/>
      <c r="AB1143" s="241"/>
      <c r="AC1143" s="241"/>
      <c r="AD1143" s="244">
        <v>0</v>
      </c>
    </row>
    <row r="1144" spans="1:30" ht="15" customHeight="1">
      <c r="A1144" s="237">
        <v>31007</v>
      </c>
      <c r="B1144" s="121">
        <v>1</v>
      </c>
      <c r="C1144" s="238">
        <v>46205</v>
      </c>
      <c r="D1144" s="105">
        <f t="shared" ca="1" si="66"/>
        <v>22</v>
      </c>
      <c r="E1144" s="138" t="str">
        <f t="shared" ca="1" si="67"/>
        <v>CRÍTICO</v>
      </c>
      <c r="F1144" s="230" t="s">
        <v>42</v>
      </c>
      <c r="G1144" s="147" t="s">
        <v>29</v>
      </c>
      <c r="H1144" s="117" t="s">
        <v>91</v>
      </c>
      <c r="I1144" s="117" t="str">
        <f>IF(X1144="ADMITIDO","ADMITIDO",IF(X1144="CANCELADA","CANCELADA",IF(H1144="","",IFERROR(_xlfn.XLOOKUP(H1144,Listas!I:I,Listas!J:J),"OUTROS"))))</f>
        <v>TRIAGEM</v>
      </c>
      <c r="J1144" s="240" t="s">
        <v>227</v>
      </c>
      <c r="K1144" s="240" t="s">
        <v>228</v>
      </c>
      <c r="L1144" s="240" t="s">
        <v>229</v>
      </c>
      <c r="M1144" s="240"/>
      <c r="N1144" s="240" t="s">
        <v>88</v>
      </c>
      <c r="O1144" s="119" t="s">
        <v>34</v>
      </c>
      <c r="P1144" s="119" t="s">
        <v>48</v>
      </c>
      <c r="Q1144" s="119" t="s">
        <v>120</v>
      </c>
      <c r="R1144" s="234"/>
      <c r="S1144" s="273"/>
      <c r="T1144" s="274"/>
      <c r="U1144" s="73"/>
      <c r="V1144" s="216"/>
      <c r="W1144" s="118"/>
      <c r="X1144" s="119"/>
      <c r="Y1144" s="120"/>
      <c r="Z1144" s="120"/>
      <c r="AA1144" s="244"/>
      <c r="AB1144" s="241"/>
      <c r="AC1144" s="241"/>
      <c r="AD1144" s="244">
        <v>0</v>
      </c>
    </row>
    <row r="1145" spans="1:30" ht="15" customHeight="1">
      <c r="A1145" s="237">
        <v>31008</v>
      </c>
      <c r="B1145" s="121">
        <v>1</v>
      </c>
      <c r="C1145" s="238">
        <v>46205</v>
      </c>
      <c r="D1145" s="105">
        <f t="shared" ca="1" si="66"/>
        <v>22</v>
      </c>
      <c r="E1145" s="138" t="str">
        <f t="shared" ca="1" si="67"/>
        <v>CRÍTICO</v>
      </c>
      <c r="F1145" s="230" t="s">
        <v>42</v>
      </c>
      <c r="G1145" s="147" t="s">
        <v>29</v>
      </c>
      <c r="H1145" s="117" t="s">
        <v>91</v>
      </c>
      <c r="I1145" s="117" t="str">
        <f>IF(X1145="ADMITIDO","ADMITIDO",IF(X1145="CANCELADA","CANCELADA",IF(H1145="","",IFERROR(_xlfn.XLOOKUP(H1145,Listas!I:I,Listas!J:J),"OUTROS"))))</f>
        <v>TRIAGEM</v>
      </c>
      <c r="J1145" s="240" t="s">
        <v>227</v>
      </c>
      <c r="K1145" s="240" t="s">
        <v>228</v>
      </c>
      <c r="L1145" s="240" t="s">
        <v>229</v>
      </c>
      <c r="M1145" s="240"/>
      <c r="N1145" s="240" t="s">
        <v>88</v>
      </c>
      <c r="O1145" s="119" t="s">
        <v>34</v>
      </c>
      <c r="P1145" s="119" t="s">
        <v>35</v>
      </c>
      <c r="Q1145" s="119" t="s">
        <v>266</v>
      </c>
      <c r="R1145" s="234"/>
      <c r="S1145" s="273"/>
      <c r="T1145" s="274"/>
      <c r="U1145" s="73"/>
      <c r="V1145" s="216"/>
      <c r="W1145" s="118"/>
      <c r="X1145" s="119"/>
      <c r="Y1145" s="120"/>
      <c r="Z1145" s="120"/>
      <c r="AA1145" s="244"/>
      <c r="AB1145" s="241"/>
      <c r="AC1145" s="241"/>
      <c r="AD1145" s="244">
        <v>0</v>
      </c>
    </row>
    <row r="1146" spans="1:30" ht="15" customHeight="1">
      <c r="A1146" s="374">
        <v>30945</v>
      </c>
      <c r="B1146" s="376">
        <v>1</v>
      </c>
      <c r="C1146" s="375">
        <v>46205</v>
      </c>
      <c r="D1146" s="367">
        <f t="shared" ca="1" si="66"/>
        <v>22</v>
      </c>
      <c r="E1146" s="368" t="str">
        <f t="shared" si="67"/>
        <v>ADMITIDO</v>
      </c>
      <c r="F1146" s="371" t="s">
        <v>28</v>
      </c>
      <c r="G1146" s="369" t="s">
        <v>102</v>
      </c>
      <c r="H1146" s="146" t="s">
        <v>334</v>
      </c>
      <c r="I1146" s="146" t="str">
        <f>IF(X1146="ADMITIDO","ADMITIDO",IF(X1146="CANCELADA","CANCELADA",IF(H1146="","",IFERROR(_xlfn.XLOOKUP(H1146,Listas!I:I,Listas!J:J),"OUTROS"))))</f>
        <v>ADMITIDO</v>
      </c>
      <c r="J1146" s="415" t="s">
        <v>268</v>
      </c>
      <c r="K1146" s="415" t="s">
        <v>563</v>
      </c>
      <c r="L1146" s="415" t="s">
        <v>270</v>
      </c>
      <c r="M1146" s="415"/>
      <c r="N1146" s="415" t="s">
        <v>63</v>
      </c>
      <c r="O1146" s="303" t="s">
        <v>34</v>
      </c>
      <c r="P1146" s="303" t="s">
        <v>35</v>
      </c>
      <c r="Q1146" s="303" t="s">
        <v>362</v>
      </c>
      <c r="R1146" s="419"/>
      <c r="S1146" s="419" t="s">
        <v>2957</v>
      </c>
      <c r="T1146" s="345"/>
      <c r="U1146" s="326" t="s">
        <v>109</v>
      </c>
      <c r="V1146" s="313">
        <v>46219</v>
      </c>
      <c r="W1146" s="302" t="s">
        <v>2958</v>
      </c>
      <c r="X1146" s="303" t="s">
        <v>40</v>
      </c>
      <c r="Y1146" s="304">
        <v>46226</v>
      </c>
      <c r="Z1146" s="304">
        <v>46228</v>
      </c>
      <c r="AA1146" s="314">
        <v>914673</v>
      </c>
      <c r="AB1146" s="346"/>
      <c r="AC1146" s="346"/>
      <c r="AD1146" s="314">
        <v>0</v>
      </c>
    </row>
    <row r="1147" spans="1:30" ht="15" customHeight="1">
      <c r="A1147" s="237">
        <v>31004</v>
      </c>
      <c r="B1147" s="121">
        <v>1</v>
      </c>
      <c r="C1147" s="238">
        <v>46205</v>
      </c>
      <c r="D1147" s="105">
        <f t="shared" ca="1" si="66"/>
        <v>22</v>
      </c>
      <c r="E1147" s="138" t="str">
        <f t="shared" si="67"/>
        <v>ADMITIDO</v>
      </c>
      <c r="F1147" s="230" t="s">
        <v>28</v>
      </c>
      <c r="G1147" s="147" t="s">
        <v>60</v>
      </c>
      <c r="H1147" s="117" t="s">
        <v>40</v>
      </c>
      <c r="I1147" s="117" t="str">
        <f>IF(X1147="ADMITIDO","ADMITIDO",IF(X1147="CANCELADA","CANCELADA",IF(H1147="","",IFERROR(_xlfn.XLOOKUP(H1147,Listas!I:I,Listas!J:J),"OUTROS"))))</f>
        <v>ADMITIDO</v>
      </c>
      <c r="J1147" s="240" t="s">
        <v>616</v>
      </c>
      <c r="K1147" s="240" t="s">
        <v>330</v>
      </c>
      <c r="L1147" s="240" t="s">
        <v>996</v>
      </c>
      <c r="M1147" s="240"/>
      <c r="N1147" s="240" t="s">
        <v>63</v>
      </c>
      <c r="O1147" s="119" t="s">
        <v>34</v>
      </c>
      <c r="P1147" s="119" t="s">
        <v>35</v>
      </c>
      <c r="Q1147" s="119" t="s">
        <v>36</v>
      </c>
      <c r="R1147" s="234"/>
      <c r="S1147" s="273" t="s">
        <v>1533</v>
      </c>
      <c r="T1147" s="274" t="s">
        <v>2959</v>
      </c>
      <c r="U1147" s="73" t="s">
        <v>132</v>
      </c>
      <c r="V1147" s="216">
        <v>46217</v>
      </c>
      <c r="W1147" s="118" t="s">
        <v>2960</v>
      </c>
      <c r="X1147" s="119" t="s">
        <v>40</v>
      </c>
      <c r="Y1147" s="120">
        <v>46218</v>
      </c>
      <c r="Z1147" s="120">
        <v>46219</v>
      </c>
      <c r="AA1147" s="244">
        <v>916242</v>
      </c>
      <c r="AB1147" s="241"/>
      <c r="AC1147" s="241"/>
      <c r="AD1147" s="244">
        <v>0</v>
      </c>
    </row>
    <row r="1148" spans="1:30" ht="15" customHeight="1">
      <c r="A1148" s="396">
        <v>31003</v>
      </c>
      <c r="B1148" s="405">
        <v>1</v>
      </c>
      <c r="C1148" s="404">
        <v>46205</v>
      </c>
      <c r="D1148" s="386">
        <f t="shared" ca="1" si="66"/>
        <v>22</v>
      </c>
      <c r="E1148" s="170" t="str">
        <f t="shared" si="67"/>
        <v>ADMITIDO</v>
      </c>
      <c r="F1148" s="397" t="s">
        <v>42</v>
      </c>
      <c r="G1148" s="392" t="s">
        <v>663</v>
      </c>
      <c r="H1148" s="146" t="s">
        <v>40</v>
      </c>
      <c r="I1148" s="139" t="str">
        <f>IF(X1148="ADMITIDO","ADMITIDO",IF(X1148="CANCELADA","CANCELADA",IF(H1148="","",IFERROR(_xlfn.XLOOKUP(H1148,Listas!I:I,Listas!J:J),"OUTROS"))))</f>
        <v>ADMITIDO</v>
      </c>
      <c r="J1148" s="428" t="s">
        <v>53</v>
      </c>
      <c r="K1148" s="428" t="s">
        <v>2889</v>
      </c>
      <c r="L1148" s="428" t="s">
        <v>2890</v>
      </c>
      <c r="M1148" s="428"/>
      <c r="N1148" s="428" t="s">
        <v>2891</v>
      </c>
      <c r="O1148" s="308" t="s">
        <v>34</v>
      </c>
      <c r="P1148" s="308" t="s">
        <v>57</v>
      </c>
      <c r="Q1148" s="308" t="s">
        <v>98</v>
      </c>
      <c r="R1148" s="431"/>
      <c r="S1148" s="432"/>
      <c r="T1148" s="352" t="s">
        <v>2961</v>
      </c>
      <c r="U1148" s="327" t="s">
        <v>38</v>
      </c>
      <c r="V1148" s="315">
        <v>46210</v>
      </c>
      <c r="W1148" s="310" t="s">
        <v>2962</v>
      </c>
      <c r="X1148" s="308" t="s">
        <v>40</v>
      </c>
      <c r="Y1148" s="309">
        <v>46213</v>
      </c>
      <c r="Z1148" s="309">
        <v>46214</v>
      </c>
      <c r="AA1148" s="316">
        <v>146215</v>
      </c>
      <c r="AB1148" s="351"/>
      <c r="AC1148" s="351"/>
      <c r="AD1148" s="316">
        <v>0</v>
      </c>
    </row>
    <row r="1149" spans="1:30" ht="15" customHeight="1">
      <c r="A1149" s="237">
        <v>31014</v>
      </c>
      <c r="B1149" s="121">
        <v>1</v>
      </c>
      <c r="C1149" s="238">
        <v>46205</v>
      </c>
      <c r="D1149" s="105">
        <f t="shared" ca="1" si="66"/>
        <v>22</v>
      </c>
      <c r="E1149" s="138" t="str">
        <f t="shared" si="67"/>
        <v>ADMITIDO</v>
      </c>
      <c r="F1149" s="230" t="s">
        <v>42</v>
      </c>
      <c r="G1149" s="147" t="s">
        <v>29</v>
      </c>
      <c r="H1149" s="146" t="s">
        <v>40</v>
      </c>
      <c r="I1149" s="117" t="str">
        <f>IF(X1149="ADMITIDO","ADMITIDO",IF(X1149="CANCELADA","CANCELADA",IF(H1149="","",IFERROR(_xlfn.XLOOKUP(H1149,Listas!I:I,Listas!J:J),"OUTROS"))))</f>
        <v>ADMITIDO</v>
      </c>
      <c r="J1149" s="240" t="s">
        <v>53</v>
      </c>
      <c r="K1149" s="240" t="s">
        <v>54</v>
      </c>
      <c r="L1149" s="240" t="s">
        <v>164</v>
      </c>
      <c r="M1149" s="240"/>
      <c r="N1149" s="240" t="s">
        <v>88</v>
      </c>
      <c r="O1149" s="119" t="s">
        <v>34</v>
      </c>
      <c r="P1149" s="119" t="s">
        <v>57</v>
      </c>
      <c r="Q1149" s="119" t="s">
        <v>231</v>
      </c>
      <c r="R1149" s="234"/>
      <c r="S1149" s="273"/>
      <c r="T1149" s="274" t="s">
        <v>2963</v>
      </c>
      <c r="U1149" s="73" t="s">
        <v>38</v>
      </c>
      <c r="V1149" s="216">
        <v>46088</v>
      </c>
      <c r="W1149" s="118" t="s">
        <v>2964</v>
      </c>
      <c r="X1149" s="119" t="s">
        <v>40</v>
      </c>
      <c r="Y1149" s="120">
        <v>46211</v>
      </c>
      <c r="Z1149" s="120">
        <v>46212</v>
      </c>
      <c r="AA1149" s="244">
        <v>146196</v>
      </c>
      <c r="AB1149" s="241"/>
      <c r="AC1149" s="241"/>
      <c r="AD1149" s="244">
        <v>0</v>
      </c>
    </row>
    <row r="1150" spans="1:30" ht="15" customHeight="1">
      <c r="A1150" s="237">
        <v>31016</v>
      </c>
      <c r="B1150" s="121">
        <v>1</v>
      </c>
      <c r="C1150" s="238">
        <v>46205</v>
      </c>
      <c r="D1150" s="105">
        <f t="shared" ca="1" si="66"/>
        <v>22</v>
      </c>
      <c r="E1150" s="138" t="str">
        <f t="shared" ca="1" si="67"/>
        <v>CRÍTICO</v>
      </c>
      <c r="F1150" s="230" t="s">
        <v>42</v>
      </c>
      <c r="G1150" s="147" t="s">
        <v>663</v>
      </c>
      <c r="H1150" s="117" t="s">
        <v>181</v>
      </c>
      <c r="I1150" s="117" t="str">
        <f>IF(X1150="ADMITIDO","ADMITIDO",IF(X1150="CANCELADA","CANCELADA",IF(H1150="","",IFERROR(_xlfn.XLOOKUP(H1150,Listas!I:I,Listas!J:J),"OUTROS"))))</f>
        <v>DOCUMENTAÇÃO</v>
      </c>
      <c r="J1150" s="240" t="s">
        <v>53</v>
      </c>
      <c r="K1150" s="240" t="s">
        <v>54</v>
      </c>
      <c r="L1150" s="240" t="s">
        <v>164</v>
      </c>
      <c r="M1150" s="240"/>
      <c r="N1150" s="240" t="s">
        <v>88</v>
      </c>
      <c r="O1150" s="119" t="s">
        <v>34</v>
      </c>
      <c r="P1150" s="119" t="s">
        <v>57</v>
      </c>
      <c r="Q1150" s="119" t="s">
        <v>231</v>
      </c>
      <c r="R1150" s="234"/>
      <c r="S1150" s="273"/>
      <c r="T1150" s="274" t="s">
        <v>2965</v>
      </c>
      <c r="U1150" s="73" t="s">
        <v>38</v>
      </c>
      <c r="V1150" s="216" t="s">
        <v>2620</v>
      </c>
      <c r="W1150" s="598" t="s">
        <v>2966</v>
      </c>
      <c r="X1150" s="119" t="s">
        <v>188</v>
      </c>
      <c r="Y1150" s="120">
        <v>46227</v>
      </c>
      <c r="Z1150" s="120">
        <v>46231</v>
      </c>
      <c r="AA1150" s="244">
        <v>146280</v>
      </c>
      <c r="AB1150" s="241" t="s">
        <v>2967</v>
      </c>
      <c r="AC1150" s="241"/>
      <c r="AD1150" s="244">
        <v>3</v>
      </c>
    </row>
    <row r="1151" spans="1:30" ht="15" customHeight="1">
      <c r="A1151" s="237">
        <v>31017</v>
      </c>
      <c r="B1151" s="121">
        <v>1</v>
      </c>
      <c r="C1151" s="238">
        <v>46205</v>
      </c>
      <c r="D1151" s="105">
        <f t="shared" ca="1" si="66"/>
        <v>22</v>
      </c>
      <c r="E1151" s="138" t="str">
        <f t="shared" ca="1" si="67"/>
        <v>CRÍTICO</v>
      </c>
      <c r="F1151" s="230" t="s">
        <v>42</v>
      </c>
      <c r="G1151" s="147" t="s">
        <v>663</v>
      </c>
      <c r="H1151" s="117" t="s">
        <v>181</v>
      </c>
      <c r="I1151" s="117" t="str">
        <f>IF(X1151="ADMITIDO","ADMITIDO",IF(X1151="CANCELADA","CANCELADA",IF(H1151="","",IFERROR(_xlfn.XLOOKUP(H1151,Listas!I:I,Listas!J:J),"OUTROS"))))</f>
        <v>DOCUMENTAÇÃO</v>
      </c>
      <c r="J1151" s="240" t="s">
        <v>53</v>
      </c>
      <c r="K1151" s="240" t="s">
        <v>54</v>
      </c>
      <c r="L1151" s="240" t="s">
        <v>164</v>
      </c>
      <c r="M1151" s="240"/>
      <c r="N1151" s="240" t="s">
        <v>88</v>
      </c>
      <c r="O1151" s="119" t="s">
        <v>34</v>
      </c>
      <c r="P1151" s="119" t="s">
        <v>57</v>
      </c>
      <c r="Q1151" s="119" t="s">
        <v>231</v>
      </c>
      <c r="R1151" s="234"/>
      <c r="S1151" s="273"/>
      <c r="T1151" s="274" t="s">
        <v>2968</v>
      </c>
      <c r="U1151" s="73" t="s">
        <v>38</v>
      </c>
      <c r="V1151" s="216" t="s">
        <v>2220</v>
      </c>
      <c r="W1151" t="s">
        <v>2969</v>
      </c>
      <c r="X1151" s="119" t="s">
        <v>810</v>
      </c>
      <c r="Y1151" s="120"/>
      <c r="Z1151" s="120"/>
      <c r="AA1151" s="244"/>
      <c r="AB1151" s="241"/>
      <c r="AC1151" s="241"/>
      <c r="AD1151" s="244">
        <v>0</v>
      </c>
    </row>
    <row r="1152" spans="1:30" ht="15" customHeight="1">
      <c r="A1152" s="237">
        <v>31018</v>
      </c>
      <c r="B1152" s="121">
        <v>1</v>
      </c>
      <c r="C1152" s="238">
        <v>46205</v>
      </c>
      <c r="D1152" s="105">
        <f t="shared" ca="1" si="66"/>
        <v>22</v>
      </c>
      <c r="E1152" s="138" t="str">
        <f t="shared" ca="1" si="67"/>
        <v>CRÍTICO</v>
      </c>
      <c r="F1152" s="230" t="s">
        <v>42</v>
      </c>
      <c r="G1152" s="147" t="s">
        <v>663</v>
      </c>
      <c r="H1152" s="117" t="s">
        <v>181</v>
      </c>
      <c r="I1152" s="117" t="str">
        <f>IF(X1152="ADMITIDO","ADMITIDO",IF(X1152="CANCELADA","CANCELADA",IF(H1152="","",IFERROR(_xlfn.XLOOKUP(H1152,Listas!I:I,Listas!J:J),"OUTROS"))))</f>
        <v>DOCUMENTAÇÃO</v>
      </c>
      <c r="J1152" s="240" t="s">
        <v>53</v>
      </c>
      <c r="K1152" s="240" t="s">
        <v>54</v>
      </c>
      <c r="L1152" s="240" t="s">
        <v>164</v>
      </c>
      <c r="M1152" s="240"/>
      <c r="N1152" s="240" t="s">
        <v>88</v>
      </c>
      <c r="O1152" s="119" t="s">
        <v>34</v>
      </c>
      <c r="P1152" s="119" t="s">
        <v>57</v>
      </c>
      <c r="Q1152" s="119" t="s">
        <v>94</v>
      </c>
      <c r="R1152" s="234"/>
      <c r="S1152" s="273"/>
      <c r="T1152" s="274" t="s">
        <v>2970</v>
      </c>
      <c r="U1152" s="73" t="s">
        <v>38</v>
      </c>
      <c r="V1152" s="216" t="s">
        <v>2220</v>
      </c>
      <c r="W1152" s="526" t="s">
        <v>2971</v>
      </c>
      <c r="X1152" s="119" t="s">
        <v>810</v>
      </c>
      <c r="Y1152" s="120"/>
      <c r="Z1152" s="120"/>
      <c r="AA1152" s="244"/>
      <c r="AB1152" s="241"/>
      <c r="AC1152" s="241"/>
      <c r="AD1152" s="244">
        <v>0</v>
      </c>
    </row>
    <row r="1153" spans="1:30" ht="15" customHeight="1">
      <c r="A1153" s="237">
        <v>31019</v>
      </c>
      <c r="B1153" s="121">
        <v>1</v>
      </c>
      <c r="C1153" s="238">
        <v>46205</v>
      </c>
      <c r="D1153" s="105">
        <f t="shared" ca="1" si="66"/>
        <v>22</v>
      </c>
      <c r="E1153" s="138" t="str">
        <f t="shared" ca="1" si="67"/>
        <v>CRÍTICO</v>
      </c>
      <c r="F1153" s="230" t="s">
        <v>42</v>
      </c>
      <c r="G1153" s="147" t="s">
        <v>29</v>
      </c>
      <c r="H1153" s="117" t="s">
        <v>259</v>
      </c>
      <c r="I1153" s="117" t="str">
        <f>IF(X1153="ADMITIDO","ADMITIDO",IF(X1153="CANCELADA","CANCELADA",IF(H1153="","",IFERROR(_xlfn.XLOOKUP(H1153,Listas!I:I,Listas!J:J),"OUTROS"))))</f>
        <v>TRIAGEM</v>
      </c>
      <c r="J1153" s="240" t="s">
        <v>53</v>
      </c>
      <c r="K1153" s="240" t="s">
        <v>54</v>
      </c>
      <c r="L1153" s="240" t="s">
        <v>164</v>
      </c>
      <c r="M1153" s="240"/>
      <c r="N1153" s="240" t="s">
        <v>88</v>
      </c>
      <c r="O1153" s="119" t="s">
        <v>34</v>
      </c>
      <c r="P1153" s="119" t="s">
        <v>57</v>
      </c>
      <c r="Q1153" s="119" t="s">
        <v>94</v>
      </c>
      <c r="R1153" s="234"/>
      <c r="S1153" s="273"/>
      <c r="T1153" s="274" t="s">
        <v>2972</v>
      </c>
      <c r="U1153" s="73" t="s">
        <v>38</v>
      </c>
      <c r="V1153" s="216" t="s">
        <v>2776</v>
      </c>
      <c r="W1153" s="58"/>
      <c r="X1153" s="119"/>
      <c r="Y1153" s="120"/>
      <c r="Z1153" s="120"/>
      <c r="AA1153" s="244"/>
      <c r="AB1153" s="241" t="s">
        <v>2973</v>
      </c>
      <c r="AC1153" s="241"/>
      <c r="AD1153" s="244">
        <v>2</v>
      </c>
    </row>
    <row r="1154" spans="1:30" ht="15" customHeight="1">
      <c r="A1154" s="237">
        <v>31021</v>
      </c>
      <c r="B1154" s="121">
        <v>1</v>
      </c>
      <c r="C1154" s="238">
        <v>46205</v>
      </c>
      <c r="D1154" s="105">
        <f t="shared" ca="1" si="66"/>
        <v>22</v>
      </c>
      <c r="E1154" s="138" t="str">
        <f t="shared" si="67"/>
        <v>ADMITIDO</v>
      </c>
      <c r="F1154" s="230" t="s">
        <v>42</v>
      </c>
      <c r="G1154" s="147" t="s">
        <v>29</v>
      </c>
      <c r="H1154" s="146" t="s">
        <v>40</v>
      </c>
      <c r="I1154" s="117" t="str">
        <f>IF(X1154="ADMITIDO","ADMITIDO",IF(X1154="CANCELADA","CANCELADA",IF(H1154="","",IFERROR(_xlfn.XLOOKUP(H1154,Listas!I:I,Listas!J:J),"OUTROS"))))</f>
        <v>ADMITIDO</v>
      </c>
      <c r="J1154" s="240" t="s">
        <v>53</v>
      </c>
      <c r="K1154" s="240" t="s">
        <v>54</v>
      </c>
      <c r="L1154" s="240" t="s">
        <v>164</v>
      </c>
      <c r="M1154" s="240"/>
      <c r="N1154" s="240" t="s">
        <v>88</v>
      </c>
      <c r="O1154" s="119" t="s">
        <v>34</v>
      </c>
      <c r="P1154" s="119" t="s">
        <v>57</v>
      </c>
      <c r="Q1154" s="119" t="s">
        <v>231</v>
      </c>
      <c r="R1154" s="234"/>
      <c r="S1154" s="273"/>
      <c r="T1154" s="274" t="s">
        <v>2974</v>
      </c>
      <c r="U1154" s="73" t="s">
        <v>38</v>
      </c>
      <c r="V1154" s="216">
        <v>46210</v>
      </c>
      <c r="W1154" s="118" t="s">
        <v>2975</v>
      </c>
      <c r="X1154" s="119" t="s">
        <v>40</v>
      </c>
      <c r="Y1154" s="120">
        <v>46211</v>
      </c>
      <c r="Z1154" s="120">
        <v>46213</v>
      </c>
      <c r="AA1154" s="244">
        <v>146202</v>
      </c>
      <c r="AB1154" s="241"/>
      <c r="AC1154" s="241"/>
      <c r="AD1154" s="244">
        <v>0</v>
      </c>
    </row>
    <row r="1155" spans="1:30" ht="15" customHeight="1">
      <c r="A1155" s="237">
        <v>31022</v>
      </c>
      <c r="B1155" s="121">
        <v>1</v>
      </c>
      <c r="C1155" s="238">
        <v>46205</v>
      </c>
      <c r="D1155" s="105">
        <f t="shared" ca="1" si="66"/>
        <v>22</v>
      </c>
      <c r="E1155" s="138" t="str">
        <f t="shared" ca="1" si="67"/>
        <v>CRÍTICO</v>
      </c>
      <c r="F1155" s="230" t="s">
        <v>42</v>
      </c>
      <c r="G1155" s="147" t="s">
        <v>29</v>
      </c>
      <c r="H1155" s="117" t="s">
        <v>259</v>
      </c>
      <c r="I1155" s="117" t="str">
        <f>IF(X1155="ADMITIDO","ADMITIDO",IF(X1155="CANCELADA","CANCELADA",IF(H1155="","",IFERROR(_xlfn.XLOOKUP(H1155,Listas!I:I,Listas!J:J),"OUTROS"))))</f>
        <v>TRIAGEM</v>
      </c>
      <c r="J1155" s="240" t="s">
        <v>53</v>
      </c>
      <c r="K1155" s="240" t="s">
        <v>54</v>
      </c>
      <c r="L1155" s="240" t="s">
        <v>164</v>
      </c>
      <c r="M1155" s="240"/>
      <c r="N1155" s="240" t="s">
        <v>88</v>
      </c>
      <c r="O1155" s="119" t="s">
        <v>34</v>
      </c>
      <c r="P1155" s="119" t="s">
        <v>57</v>
      </c>
      <c r="Q1155" s="119" t="s">
        <v>94</v>
      </c>
      <c r="R1155" s="234"/>
      <c r="S1155" s="273"/>
      <c r="T1155" s="274"/>
      <c r="U1155" s="73"/>
      <c r="V1155" s="216"/>
      <c r="W1155" s="58"/>
      <c r="X1155" s="119"/>
      <c r="Y1155" s="120"/>
      <c r="Z1155" s="120"/>
      <c r="AA1155" s="244"/>
      <c r="AB1155" s="241" t="s">
        <v>2976</v>
      </c>
      <c r="AC1155" s="241"/>
      <c r="AD1155" s="244">
        <v>1</v>
      </c>
    </row>
    <row r="1156" spans="1:30" ht="15" customHeight="1">
      <c r="A1156" s="237">
        <v>31024</v>
      </c>
      <c r="B1156" s="121">
        <v>1</v>
      </c>
      <c r="C1156" s="238">
        <v>46205</v>
      </c>
      <c r="D1156" s="105">
        <f t="shared" ca="1" si="66"/>
        <v>22</v>
      </c>
      <c r="E1156" s="138" t="str">
        <f t="shared" ca="1" si="67"/>
        <v>CRÍTICO</v>
      </c>
      <c r="F1156" s="230" t="s">
        <v>42</v>
      </c>
      <c r="G1156" s="147" t="s">
        <v>29</v>
      </c>
      <c r="H1156" s="117" t="s">
        <v>259</v>
      </c>
      <c r="I1156" s="117" t="str">
        <f>IF(X1156="ADMITIDO","ADMITIDO",IF(X1156="CANCELADA","CANCELADA",IF(H1156="","",IFERROR(_xlfn.XLOOKUP(H1156,Listas!I:I,Listas!J:J),"OUTROS"))))</f>
        <v>TRIAGEM</v>
      </c>
      <c r="J1156" s="240" t="s">
        <v>53</v>
      </c>
      <c r="K1156" s="240" t="s">
        <v>54</v>
      </c>
      <c r="L1156" s="240" t="s">
        <v>164</v>
      </c>
      <c r="M1156" s="240"/>
      <c r="N1156" s="240" t="s">
        <v>88</v>
      </c>
      <c r="O1156" s="119" t="s">
        <v>34</v>
      </c>
      <c r="P1156" s="119" t="s">
        <v>57</v>
      </c>
      <c r="Q1156" s="119" t="s">
        <v>94</v>
      </c>
      <c r="R1156" s="234"/>
      <c r="S1156" s="273"/>
      <c r="T1156" s="274"/>
      <c r="U1156" s="73"/>
      <c r="V1156" s="216"/>
      <c r="W1156" s="118"/>
      <c r="X1156" s="119"/>
      <c r="Y1156" s="120"/>
      <c r="Z1156" s="120"/>
      <c r="AA1156" s="244"/>
      <c r="AB1156" s="241" t="s">
        <v>2977</v>
      </c>
      <c r="AC1156" s="241"/>
      <c r="AD1156" s="244">
        <v>1</v>
      </c>
    </row>
    <row r="1157" spans="1:30" ht="15" customHeight="1">
      <c r="A1157" s="237">
        <v>31026</v>
      </c>
      <c r="B1157" s="121">
        <v>1</v>
      </c>
      <c r="C1157" s="238">
        <v>46205</v>
      </c>
      <c r="D1157" s="105">
        <f t="shared" ca="1" si="66"/>
        <v>22</v>
      </c>
      <c r="E1157" s="138" t="str">
        <f ca="1">IF(X1157="ADMITIDO","ADMITIDO",IF(X1157="CANCELADA","CANCELADA",IF(H1157="","",IF(H1157="ADMITIDO","ADMITIDO",IF(H1157="CANCELADA","CANCELADA",IF(OR(H1157="ANALISE CANCELAMENTO",H1157="ANÁLISE CANCELAMENTO"),"EM ANÁLISE",IF(D1157="","",IF(D1157&lt;=7,"NO PRAZO",IF(D1157&lt;=14,"ATENÇÃO","CRÍTICO")))))))))</f>
        <v>CRÍTICO</v>
      </c>
      <c r="F1157" s="230" t="s">
        <v>42</v>
      </c>
      <c r="G1157" s="147" t="s">
        <v>663</v>
      </c>
      <c r="H1157" s="117" t="s">
        <v>181</v>
      </c>
      <c r="I1157" s="117" t="str">
        <f>IF(X1157="ADMITIDO","ADMITIDO",IF(X1157="CANCELADA","CANCELADA",IF(H1157="","",IFERROR(_xlfn.XLOOKUP(H1157,Listas!I:I,Listas!J:J),"OUTROS"))))</f>
        <v>DOCUMENTAÇÃO</v>
      </c>
      <c r="J1157" s="240" t="s">
        <v>53</v>
      </c>
      <c r="K1157" s="240" t="s">
        <v>54</v>
      </c>
      <c r="L1157" s="240" t="s">
        <v>164</v>
      </c>
      <c r="M1157" s="240"/>
      <c r="N1157" s="240" t="s">
        <v>88</v>
      </c>
      <c r="O1157" s="119" t="s">
        <v>34</v>
      </c>
      <c r="P1157" s="119" t="s">
        <v>35</v>
      </c>
      <c r="Q1157" s="119" t="s">
        <v>2177</v>
      </c>
      <c r="R1157" s="234"/>
      <c r="S1157" s="273"/>
      <c r="T1157" s="274" t="s">
        <v>2978</v>
      </c>
      <c r="U1157" s="73" t="s">
        <v>38</v>
      </c>
      <c r="V1157" s="216" t="s">
        <v>2220</v>
      </c>
      <c r="W1157" s="597" t="s">
        <v>2979</v>
      </c>
      <c r="X1157" s="119" t="s">
        <v>810</v>
      </c>
      <c r="Y1157" s="120"/>
      <c r="Z1157" s="120"/>
      <c r="AA1157" s="244"/>
      <c r="AB1157" t="s">
        <v>2980</v>
      </c>
      <c r="AC1157" s="241"/>
      <c r="AD1157" s="244">
        <v>2</v>
      </c>
    </row>
    <row r="1158" spans="1:30" ht="15" customHeight="1">
      <c r="A1158" s="237">
        <v>31009</v>
      </c>
      <c r="B1158" s="121">
        <v>1</v>
      </c>
      <c r="C1158" s="238">
        <v>46205</v>
      </c>
      <c r="D1158" s="105">
        <f t="shared" ca="1" si="66"/>
        <v>22</v>
      </c>
      <c r="E1158" s="138" t="str">
        <f t="shared" ca="1" si="67"/>
        <v>CRÍTICO</v>
      </c>
      <c r="F1158" s="230" t="s">
        <v>42</v>
      </c>
      <c r="G1158" s="147" t="s">
        <v>663</v>
      </c>
      <c r="H1158" s="117" t="s">
        <v>259</v>
      </c>
      <c r="I1158" s="117" t="str">
        <f>IF(X1158="ADMITIDO","ADMITIDO",IF(X1158="CANCELADA","CANCELADA",IF(H1158="","",IFERROR(_xlfn.XLOOKUP(H1158,Listas!I:I,Listas!J:J),"OUTROS"))))</f>
        <v>TRIAGEM</v>
      </c>
      <c r="J1158" s="240" t="s">
        <v>53</v>
      </c>
      <c r="K1158" s="240" t="s">
        <v>228</v>
      </c>
      <c r="L1158" s="240" t="s">
        <v>1017</v>
      </c>
      <c r="M1158" s="240"/>
      <c r="N1158" s="240" t="s">
        <v>435</v>
      </c>
      <c r="O1158" s="119" t="s">
        <v>34</v>
      </c>
      <c r="P1158" s="119" t="s">
        <v>57</v>
      </c>
      <c r="Q1158" s="119" t="s">
        <v>1437</v>
      </c>
      <c r="R1158" s="234"/>
      <c r="S1158" s="273"/>
      <c r="T1158" s="274"/>
      <c r="U1158" s="73"/>
      <c r="V1158" s="216"/>
      <c r="W1158" s="275"/>
      <c r="X1158" s="119"/>
      <c r="Y1158" s="120"/>
      <c r="Z1158" s="120"/>
      <c r="AA1158" s="244"/>
      <c r="AB1158" s="241" t="s">
        <v>2981</v>
      </c>
      <c r="AC1158" s="241"/>
      <c r="AD1158" s="244">
        <v>1</v>
      </c>
    </row>
    <row r="1159" spans="1:30" ht="15" customHeight="1">
      <c r="A1159" s="237">
        <v>31010</v>
      </c>
      <c r="B1159" s="121">
        <v>1</v>
      </c>
      <c r="C1159" s="238">
        <v>46205</v>
      </c>
      <c r="D1159" s="105">
        <f t="shared" ca="1" si="66"/>
        <v>22</v>
      </c>
      <c r="E1159" s="138" t="str">
        <f t="shared" ca="1" si="67"/>
        <v>CRÍTICO</v>
      </c>
      <c r="F1159" s="230" t="s">
        <v>42</v>
      </c>
      <c r="G1159" s="147" t="s">
        <v>663</v>
      </c>
      <c r="H1159" s="117" t="s">
        <v>91</v>
      </c>
      <c r="I1159" s="117" t="str">
        <f>IF(X1159="ADMITIDO","ADMITIDO",IF(X1159="CANCELADA","CANCELADA",IF(H1159="","",IFERROR(_xlfn.XLOOKUP(H1159,Listas!I:I,Listas!J:J),"OUTROS"))))</f>
        <v>TRIAGEM</v>
      </c>
      <c r="J1159" s="240" t="s">
        <v>53</v>
      </c>
      <c r="K1159" s="240" t="s">
        <v>228</v>
      </c>
      <c r="L1159" s="240" t="s">
        <v>1017</v>
      </c>
      <c r="M1159" s="240"/>
      <c r="N1159" s="240" t="s">
        <v>435</v>
      </c>
      <c r="O1159" s="119" t="s">
        <v>34</v>
      </c>
      <c r="P1159" s="119" t="s">
        <v>57</v>
      </c>
      <c r="Q1159" s="119" t="s">
        <v>1050</v>
      </c>
      <c r="R1159" s="234"/>
      <c r="S1159" s="273"/>
      <c r="T1159" s="274"/>
      <c r="U1159" s="73"/>
      <c r="V1159" s="216"/>
      <c r="W1159" s="236"/>
      <c r="X1159" s="119"/>
      <c r="Y1159" s="120"/>
      <c r="Z1159" s="120"/>
      <c r="AA1159" s="244"/>
      <c r="AB1159" s="241"/>
      <c r="AC1159" s="241"/>
      <c r="AD1159" s="244">
        <v>0</v>
      </c>
    </row>
    <row r="1160" spans="1:30" ht="15" customHeight="1">
      <c r="A1160" s="374">
        <v>31028</v>
      </c>
      <c r="B1160" s="376">
        <v>1</v>
      </c>
      <c r="C1160" s="375">
        <v>46205</v>
      </c>
      <c r="D1160" s="367">
        <f t="shared" ca="1" si="66"/>
        <v>22</v>
      </c>
      <c r="E1160" s="368" t="str">
        <f t="shared" ca="1" si="67"/>
        <v>CRÍTICO</v>
      </c>
      <c r="F1160" s="371" t="s">
        <v>42</v>
      </c>
      <c r="G1160" s="369" t="s">
        <v>102</v>
      </c>
      <c r="H1160" s="146" t="s">
        <v>334</v>
      </c>
      <c r="I1160" s="146" t="str">
        <f>IF(X1160="ADMITIDO","ADMITIDO",IF(X1160="CANCELADA","CANCELADA",IF(H1160="","",IFERROR(_xlfn.XLOOKUP(H1160,Listas!I:I,Listas!J:J),"OUTROS"))))</f>
        <v>DOCUMENTAÇÃO</v>
      </c>
      <c r="J1160" s="415" t="s">
        <v>198</v>
      </c>
      <c r="K1160" s="415" t="s">
        <v>103</v>
      </c>
      <c r="L1160" s="415" t="s">
        <v>273</v>
      </c>
      <c r="M1160" s="415"/>
      <c r="N1160" s="415" t="s">
        <v>274</v>
      </c>
      <c r="O1160" s="303" t="s">
        <v>34</v>
      </c>
      <c r="P1160" s="303" t="s">
        <v>48</v>
      </c>
      <c r="Q1160" s="303" t="s">
        <v>49</v>
      </c>
      <c r="R1160" s="419" t="s">
        <v>2982</v>
      </c>
      <c r="S1160" s="419"/>
      <c r="T1160" s="345"/>
      <c r="U1160" s="326" t="s">
        <v>109</v>
      </c>
      <c r="V1160" s="313">
        <v>46226</v>
      </c>
      <c r="W1160" s="305" t="s">
        <v>2983</v>
      </c>
      <c r="X1160" s="303" t="s">
        <v>284</v>
      </c>
      <c r="Y1160" s="304"/>
      <c r="Z1160" s="304"/>
      <c r="AA1160" s="314"/>
      <c r="AB1160" s="346"/>
      <c r="AC1160" s="346"/>
      <c r="AD1160" s="314">
        <v>0</v>
      </c>
    </row>
    <row r="1161" spans="1:30" ht="15" customHeight="1">
      <c r="A1161" s="237">
        <v>31020</v>
      </c>
      <c r="B1161" s="121">
        <v>1</v>
      </c>
      <c r="C1161" s="238">
        <v>46205</v>
      </c>
      <c r="D1161" s="105">
        <f t="shared" ca="1" si="66"/>
        <v>22</v>
      </c>
      <c r="E1161" s="138" t="str">
        <f t="shared" si="67"/>
        <v>ADMITIDO</v>
      </c>
      <c r="F1161" s="230" t="s">
        <v>42</v>
      </c>
      <c r="G1161" s="147" t="s">
        <v>60</v>
      </c>
      <c r="H1161" s="146" t="s">
        <v>40</v>
      </c>
      <c r="I1161" s="117" t="str">
        <f>IF(X1161="ADMITIDO","ADMITIDO",IF(X1161="CANCELADA","CANCELADA",IF(H1161="","",IFERROR(_xlfn.XLOOKUP(H1161,Listas!I:I,Listas!J:J),"OUTROS"))))</f>
        <v>ADMITIDO</v>
      </c>
      <c r="J1161" s="240" t="s">
        <v>53</v>
      </c>
      <c r="K1161" s="240" t="s">
        <v>61</v>
      </c>
      <c r="L1161" s="240" t="s">
        <v>750</v>
      </c>
      <c r="M1161" s="240"/>
      <c r="N1161" s="240" t="s">
        <v>63</v>
      </c>
      <c r="O1161" s="119" t="s">
        <v>34</v>
      </c>
      <c r="P1161" s="119" t="s">
        <v>57</v>
      </c>
      <c r="Q1161" s="119" t="s">
        <v>751</v>
      </c>
      <c r="R1161" s="234"/>
      <c r="S1161" s="273" t="s">
        <v>65</v>
      </c>
      <c r="T1161" s="274" t="s">
        <v>2984</v>
      </c>
      <c r="U1161" s="73" t="s">
        <v>109</v>
      </c>
      <c r="V1161" s="216">
        <v>46210</v>
      </c>
      <c r="W1161" s="118" t="s">
        <v>2985</v>
      </c>
      <c r="X1161" s="119" t="s">
        <v>40</v>
      </c>
      <c r="Y1161" s="120">
        <v>46213</v>
      </c>
      <c r="Z1161" s="120">
        <v>46216</v>
      </c>
      <c r="AA1161" s="244">
        <v>146216</v>
      </c>
      <c r="AB1161" s="241"/>
      <c r="AC1161" s="241"/>
      <c r="AD1161" s="244">
        <v>0</v>
      </c>
    </row>
    <row r="1162" spans="1:30" ht="15" customHeight="1">
      <c r="A1162" s="396">
        <v>31013</v>
      </c>
      <c r="B1162" s="405">
        <v>1</v>
      </c>
      <c r="C1162" s="404">
        <v>46205</v>
      </c>
      <c r="D1162" s="386">
        <f t="shared" ca="1" si="66"/>
        <v>22</v>
      </c>
      <c r="E1162" s="170" t="str">
        <f>IF(X1162="ADMITIDO","ADMITIDO",IF(X1162="CANCELADA","CANCELADA",IF(H1162="","",IF(H1162="ADMITIDO","ADMITIDO",IF(H1162="CANCELADA","CANCELADA",IF(OR(H1162="ANALISE CANCELAMENTO",H1162="ANÁLISE CANCELAMENTO"),"EM ANÁLISE",IF(D1162="","",IF(D1162&lt;=7,"NO PRAZO",IF(D1162&lt;=14,"ATENÇÃO","CRÍTICO")))))))))</f>
        <v>ADMITIDO</v>
      </c>
      <c r="F1162" s="397" t="s">
        <v>28</v>
      </c>
      <c r="G1162" s="392" t="s">
        <v>29</v>
      </c>
      <c r="H1162" s="139" t="s">
        <v>40</v>
      </c>
      <c r="I1162" s="139" t="str">
        <f>IF(X1162="ADMITIDO","ADMITIDO",IF(X1162="CANCELADA","CANCELADA",IF(H1162="","",IFERROR(_xlfn.XLOOKUP(H1162,Listas!I:I,Listas!J:J),"OUTROS"))))</f>
        <v>ADMITIDO</v>
      </c>
      <c r="J1162" s="428" t="s">
        <v>146</v>
      </c>
      <c r="K1162" s="428" t="s">
        <v>2951</v>
      </c>
      <c r="L1162" s="428" t="s">
        <v>903</v>
      </c>
      <c r="M1162" s="428"/>
      <c r="N1162" s="428" t="s">
        <v>904</v>
      </c>
      <c r="O1162" s="308" t="s">
        <v>34</v>
      </c>
      <c r="P1162" s="308" t="s">
        <v>35</v>
      </c>
      <c r="Q1162" s="308" t="s">
        <v>905</v>
      </c>
      <c r="R1162" s="431"/>
      <c r="S1162" s="432"/>
      <c r="T1162" s="352" t="s">
        <v>2986</v>
      </c>
      <c r="U1162" s="327" t="s">
        <v>38</v>
      </c>
      <c r="V1162" s="315" t="s">
        <v>2987</v>
      </c>
      <c r="W1162" s="310" t="s">
        <v>2988</v>
      </c>
      <c r="X1162" s="308" t="s">
        <v>40</v>
      </c>
      <c r="Y1162" s="309">
        <v>46223</v>
      </c>
      <c r="Z1162" s="309">
        <v>46224</v>
      </c>
      <c r="AA1162" s="316">
        <v>914644</v>
      </c>
      <c r="AB1162" s="351"/>
      <c r="AC1162" s="351"/>
      <c r="AD1162" s="316">
        <v>0</v>
      </c>
    </row>
    <row r="1163" spans="1:30" ht="15" customHeight="1">
      <c r="A1163" s="237">
        <v>31027</v>
      </c>
      <c r="B1163" s="121">
        <v>1</v>
      </c>
      <c r="C1163" s="238">
        <v>46205</v>
      </c>
      <c r="D1163" s="105">
        <f t="shared" ca="1" si="66"/>
        <v>22</v>
      </c>
      <c r="E1163" s="138" t="str">
        <f t="shared" si="67"/>
        <v>ADMITIDO</v>
      </c>
      <c r="F1163" s="230" t="s">
        <v>28</v>
      </c>
      <c r="G1163" s="147" t="s">
        <v>102</v>
      </c>
      <c r="H1163" s="146" t="s">
        <v>40</v>
      </c>
      <c r="I1163" s="117" t="str">
        <f>IF(X1163="ADMITIDO","ADMITIDO",IF(X1163="CANCELADA","CANCELADA",IF(H1163="","",IFERROR(_xlfn.XLOOKUP(H1163,Listas!I:I,Listas!J:J),"OUTROS"))))</f>
        <v>ADMITIDO</v>
      </c>
      <c r="J1163" s="240" t="s">
        <v>586</v>
      </c>
      <c r="K1163" s="240" t="s">
        <v>371</v>
      </c>
      <c r="L1163" s="240" t="s">
        <v>2683</v>
      </c>
      <c r="M1163" s="240"/>
      <c r="N1163" s="240" t="s">
        <v>391</v>
      </c>
      <c r="O1163" s="119" t="s">
        <v>34</v>
      </c>
      <c r="P1163" s="119" t="s">
        <v>35</v>
      </c>
      <c r="Q1163" s="119" t="s">
        <v>36</v>
      </c>
      <c r="R1163" s="234" t="s">
        <v>2989</v>
      </c>
      <c r="S1163" s="273"/>
      <c r="T1163" s="274"/>
      <c r="U1163" s="73" t="s">
        <v>76</v>
      </c>
      <c r="V1163" s="216">
        <v>46209</v>
      </c>
      <c r="W1163" s="118" t="s">
        <v>2990</v>
      </c>
      <c r="X1163" s="119" t="s">
        <v>40</v>
      </c>
      <c r="Y1163" s="120">
        <v>46211</v>
      </c>
      <c r="Z1163" s="120">
        <v>46213</v>
      </c>
      <c r="AA1163" s="244">
        <v>914610</v>
      </c>
      <c r="AB1163" s="241"/>
      <c r="AC1163" s="241"/>
      <c r="AD1163" s="244">
        <v>0</v>
      </c>
    </row>
    <row r="1164" spans="1:30" ht="15" customHeight="1">
      <c r="A1164" s="237">
        <v>31015</v>
      </c>
      <c r="B1164" s="121">
        <v>1</v>
      </c>
      <c r="C1164" s="238">
        <v>46205</v>
      </c>
      <c r="D1164" s="105">
        <f t="shared" ca="1" si="66"/>
        <v>22</v>
      </c>
      <c r="E1164" s="138" t="str">
        <f t="shared" si="67"/>
        <v>ADMITIDO</v>
      </c>
      <c r="F1164" s="230" t="s">
        <v>28</v>
      </c>
      <c r="G1164" s="147" t="s">
        <v>767</v>
      </c>
      <c r="H1164" s="117" t="s">
        <v>40</v>
      </c>
      <c r="I1164" s="117" t="str">
        <f>IF(X1164="ADMITIDO","ADMITIDO",IF(X1164="CANCELADA","CANCELADA",IF(H1164="","",IFERROR(_xlfn.XLOOKUP(H1164,Listas!I:I,Listas!J:J),"OUTROS"))))</f>
        <v>ADMITIDO</v>
      </c>
      <c r="J1164" s="240" t="s">
        <v>2574</v>
      </c>
      <c r="K1164" s="240" t="s">
        <v>2991</v>
      </c>
      <c r="L1164" s="240" t="s">
        <v>2992</v>
      </c>
      <c r="M1164" s="240"/>
      <c r="N1164" s="240" t="s">
        <v>119</v>
      </c>
      <c r="O1164" s="119" t="s">
        <v>56</v>
      </c>
      <c r="P1164" s="119" t="s">
        <v>984</v>
      </c>
      <c r="Q1164" s="119" t="s">
        <v>2993</v>
      </c>
      <c r="R1164" s="234"/>
      <c r="S1164" s="273"/>
      <c r="T1164" s="274"/>
      <c r="U1164" s="73" t="s">
        <v>132</v>
      </c>
      <c r="V1164" s="216">
        <v>46220</v>
      </c>
      <c r="W1164" s="118" t="s">
        <v>2994</v>
      </c>
      <c r="X1164" s="119" t="s">
        <v>188</v>
      </c>
      <c r="Y1164" s="120">
        <v>46227</v>
      </c>
      <c r="Z1164" s="120">
        <v>46227</v>
      </c>
      <c r="AA1164" s="244">
        <v>146265</v>
      </c>
      <c r="AB1164" s="241" t="s">
        <v>2995</v>
      </c>
      <c r="AC1164" s="241"/>
      <c r="AD1164" s="244">
        <v>1</v>
      </c>
    </row>
    <row r="1165" spans="1:30" ht="15" customHeight="1">
      <c r="A1165" s="237">
        <v>31006</v>
      </c>
      <c r="B1165" s="121">
        <v>1</v>
      </c>
      <c r="C1165" s="238">
        <v>46205</v>
      </c>
      <c r="D1165" s="105">
        <f t="shared" ca="1" si="66"/>
        <v>22</v>
      </c>
      <c r="E1165" s="138" t="str">
        <f t="shared" ca="1" si="67"/>
        <v>CRÍTICO</v>
      </c>
      <c r="F1165" s="230" t="s">
        <v>42</v>
      </c>
      <c r="G1165" s="147" t="s">
        <v>102</v>
      </c>
      <c r="H1165" s="117" t="s">
        <v>259</v>
      </c>
      <c r="I1165" s="117" t="str">
        <f>IF(X1165="ADMITIDO","ADMITIDO",IF(X1165="CANCELADA","CANCELADA",IF(H1165="","",IFERROR(_xlfn.XLOOKUP(H1165,Listas!I:I,Listas!J:J),"OUTROS"))))</f>
        <v>TRIAGEM</v>
      </c>
      <c r="J1165" s="240" t="s">
        <v>53</v>
      </c>
      <c r="K1165" s="240" t="s">
        <v>103</v>
      </c>
      <c r="L1165" s="240" t="s">
        <v>2996</v>
      </c>
      <c r="M1165" s="240"/>
      <c r="N1165" s="240" t="s">
        <v>2997</v>
      </c>
      <c r="O1165" s="119" t="s">
        <v>34</v>
      </c>
      <c r="P1165" s="119" t="s">
        <v>57</v>
      </c>
      <c r="Q1165" s="119" t="s">
        <v>94</v>
      </c>
      <c r="R1165" s="273"/>
      <c r="S1165" s="273"/>
      <c r="T1165" s="274"/>
      <c r="U1165" s="73"/>
      <c r="V1165" s="216"/>
      <c r="W1165" s="118"/>
      <c r="X1165" s="119"/>
      <c r="Y1165" s="120"/>
      <c r="Z1165" s="120"/>
      <c r="AA1165" s="244"/>
      <c r="AB1165" s="241" t="s">
        <v>2998</v>
      </c>
      <c r="AC1165" s="241"/>
      <c r="AD1165" s="244">
        <v>1</v>
      </c>
    </row>
    <row r="1166" spans="1:30" ht="15" customHeight="1">
      <c r="A1166" s="237">
        <v>31002</v>
      </c>
      <c r="B1166" s="121">
        <v>1</v>
      </c>
      <c r="C1166" s="238">
        <v>46205</v>
      </c>
      <c r="D1166" s="105">
        <f t="shared" ca="1" si="66"/>
        <v>22</v>
      </c>
      <c r="E1166" s="138" t="str">
        <f t="shared" ca="1" si="67"/>
        <v>CRÍTICO</v>
      </c>
      <c r="F1166" s="230" t="s">
        <v>28</v>
      </c>
      <c r="G1166" s="147" t="s">
        <v>43</v>
      </c>
      <c r="H1166" s="117" t="s">
        <v>181</v>
      </c>
      <c r="I1166" s="117" t="str">
        <f>IF(X1166="ADMITIDO","ADMITIDO",IF(X1166="CANCELADA","CANCELADA",IF(H1166="","",IFERROR(_xlfn.XLOOKUP(H1166,Listas!I:I,Listas!J:J),"OUTROS"))))</f>
        <v>DOCUMENTAÇÃO</v>
      </c>
      <c r="J1166" s="240" t="s">
        <v>268</v>
      </c>
      <c r="K1166" s="240" t="s">
        <v>360</v>
      </c>
      <c r="L1166" s="240" t="s">
        <v>2816</v>
      </c>
      <c r="M1166" s="240"/>
      <c r="N1166" s="240" t="s">
        <v>337</v>
      </c>
      <c r="O1166" s="119" t="s">
        <v>34</v>
      </c>
      <c r="P1166" s="119" t="s">
        <v>35</v>
      </c>
      <c r="Q1166" s="119" t="s">
        <v>36</v>
      </c>
      <c r="R1166" s="234"/>
      <c r="S1166" s="273" t="s">
        <v>2999</v>
      </c>
      <c r="T1166" s="274">
        <v>15997969764</v>
      </c>
      <c r="U1166" s="73" t="s">
        <v>67</v>
      </c>
      <c r="V1166" s="216">
        <v>46218</v>
      </c>
      <c r="W1166" s="118" t="s">
        <v>3000</v>
      </c>
      <c r="X1166" s="119" t="s">
        <v>284</v>
      </c>
      <c r="Y1166" s="120"/>
      <c r="Z1166" s="120"/>
      <c r="AA1166" s="244"/>
      <c r="AB1166" s="241"/>
      <c r="AC1166" s="241"/>
      <c r="AD1166" s="244">
        <v>0</v>
      </c>
    </row>
    <row r="1167" spans="1:30" ht="15" customHeight="1">
      <c r="A1167" s="237">
        <v>31029</v>
      </c>
      <c r="B1167" s="121">
        <v>1</v>
      </c>
      <c r="C1167" s="238">
        <v>46205</v>
      </c>
      <c r="D1167" s="105">
        <f t="shared" ca="1" si="66"/>
        <v>22</v>
      </c>
      <c r="E1167" s="138" t="str">
        <f t="shared" si="67"/>
        <v>ADMITIDO</v>
      </c>
      <c r="F1167" s="230" t="s">
        <v>42</v>
      </c>
      <c r="G1167" s="147" t="s">
        <v>102</v>
      </c>
      <c r="H1167" s="117" t="s">
        <v>334</v>
      </c>
      <c r="I1167" s="117" t="str">
        <f>IF(X1167="ADMITIDO","ADMITIDO",IF(X1167="CANCELADA","CANCELADA",IF(H1167="","",IFERROR(_xlfn.XLOOKUP(H1167,Listas!I:I,Listas!J:J),"OUTROS"))))</f>
        <v>ADMITIDO</v>
      </c>
      <c r="J1167" s="240" t="s">
        <v>53</v>
      </c>
      <c r="K1167" s="240" t="s">
        <v>103</v>
      </c>
      <c r="L1167" s="240" t="s">
        <v>194</v>
      </c>
      <c r="M1167" s="240"/>
      <c r="N1167" s="240" t="s">
        <v>63</v>
      </c>
      <c r="O1167" s="119" t="s">
        <v>34</v>
      </c>
      <c r="P1167" s="119" t="s">
        <v>219</v>
      </c>
      <c r="Q1167" s="119" t="s">
        <v>238</v>
      </c>
      <c r="R1167" s="273" t="s">
        <v>3001</v>
      </c>
      <c r="S1167" s="273" t="s">
        <v>65</v>
      </c>
      <c r="T1167" s="274"/>
      <c r="U1167" s="73" t="s">
        <v>76</v>
      </c>
      <c r="V1167" s="216">
        <v>46220</v>
      </c>
      <c r="W1167" s="118" t="s">
        <v>3002</v>
      </c>
      <c r="X1167" s="119" t="s">
        <v>40</v>
      </c>
      <c r="Y1167" s="120">
        <v>46225</v>
      </c>
      <c r="Z1167" s="120">
        <v>46226</v>
      </c>
      <c r="AA1167" s="244">
        <v>914675</v>
      </c>
      <c r="AB1167" s="241"/>
      <c r="AC1167" s="241"/>
      <c r="AD1167" s="244">
        <v>0</v>
      </c>
    </row>
    <row r="1168" spans="1:30" ht="15" customHeight="1">
      <c r="A1168" s="237">
        <v>31012</v>
      </c>
      <c r="B1168" s="121">
        <v>1</v>
      </c>
      <c r="C1168" s="238">
        <v>46205</v>
      </c>
      <c r="D1168" s="105">
        <f t="shared" ca="1" si="66"/>
        <v>22</v>
      </c>
      <c r="E1168" s="138" t="str">
        <f t="shared" ca="1" si="67"/>
        <v>CRÍTICO</v>
      </c>
      <c r="F1168" s="230" t="s">
        <v>28</v>
      </c>
      <c r="G1168" s="147" t="s">
        <v>29</v>
      </c>
      <c r="H1168" s="117" t="s">
        <v>181</v>
      </c>
      <c r="I1168" s="117" t="str">
        <f>IF(X1168="ADMITIDO","ADMITIDO",IF(X1168="CANCELADA","CANCELADA",IF(H1168="","",IFERROR(_xlfn.XLOOKUP(H1168,Listas!I:I,Listas!J:J),"OUTROS"))))</f>
        <v>DOCUMENTAÇÃO</v>
      </c>
      <c r="J1168" s="240" t="s">
        <v>586</v>
      </c>
      <c r="K1168" s="240" t="s">
        <v>2951</v>
      </c>
      <c r="L1168" s="240" t="s">
        <v>741</v>
      </c>
      <c r="M1168" s="240"/>
      <c r="N1168" s="240" t="s">
        <v>88</v>
      </c>
      <c r="O1168" s="119" t="s">
        <v>34</v>
      </c>
      <c r="P1168" s="119" t="s">
        <v>35</v>
      </c>
      <c r="Q1168" s="119" t="s">
        <v>3003</v>
      </c>
      <c r="R1168" s="234"/>
      <c r="S1168" s="273"/>
      <c r="T1168" s="274" t="s">
        <v>3004</v>
      </c>
      <c r="U1168" s="73" t="s">
        <v>38</v>
      </c>
      <c r="V1168" s="216" t="s">
        <v>2220</v>
      </c>
      <c r="W1168" s="251" t="s">
        <v>3005</v>
      </c>
      <c r="X1168" s="119" t="s">
        <v>188</v>
      </c>
      <c r="Y1168" s="120">
        <v>46230</v>
      </c>
      <c r="Z1168" s="120">
        <v>46231</v>
      </c>
      <c r="AA1168" s="244">
        <v>916250</v>
      </c>
      <c r="AB1168" s="241" t="s">
        <v>3006</v>
      </c>
      <c r="AC1168" s="241"/>
      <c r="AD1168" s="244">
        <v>1</v>
      </c>
    </row>
    <row r="1169" spans="1:30" ht="15" customHeight="1">
      <c r="A1169" s="374">
        <v>31039</v>
      </c>
      <c r="B1169" s="376">
        <v>1</v>
      </c>
      <c r="C1169" s="375">
        <v>46206</v>
      </c>
      <c r="D1169" s="367">
        <f t="shared" ca="1" si="66"/>
        <v>21</v>
      </c>
      <c r="E1169" s="368" t="str">
        <f t="shared" si="67"/>
        <v>ADMITIDO</v>
      </c>
      <c r="F1169" s="371" t="s">
        <v>42</v>
      </c>
      <c r="G1169" s="369" t="s">
        <v>663</v>
      </c>
      <c r="H1169" s="146" t="s">
        <v>40</v>
      </c>
      <c r="I1169" s="146" t="str">
        <f>IF(X1169="ADMITIDO","ADMITIDO",IF(X1169="CANCELADA","CANCELADA",IF(H1169="","",IFERROR(_xlfn.XLOOKUP(H1169,Listas!I:I,Listas!J:J),"OUTROS"))))</f>
        <v>ADMITIDO</v>
      </c>
      <c r="J1169" s="415" t="s">
        <v>53</v>
      </c>
      <c r="K1169" s="415" t="s">
        <v>2889</v>
      </c>
      <c r="L1169" s="415" t="s">
        <v>2890</v>
      </c>
      <c r="M1169" s="415"/>
      <c r="N1169" s="415" t="s">
        <v>2891</v>
      </c>
      <c r="O1169" s="303" t="s">
        <v>34</v>
      </c>
      <c r="P1169" s="303" t="s">
        <v>57</v>
      </c>
      <c r="Q1169" s="303" t="s">
        <v>432</v>
      </c>
      <c r="R1169" s="418"/>
      <c r="S1169" s="419"/>
      <c r="T1169" s="345" t="s">
        <v>3007</v>
      </c>
      <c r="U1169" s="326" t="s">
        <v>38</v>
      </c>
      <c r="V1169" s="313">
        <v>46210</v>
      </c>
      <c r="W1169" s="313" t="s">
        <v>3008</v>
      </c>
      <c r="X1169" s="303" t="s">
        <v>40</v>
      </c>
      <c r="Y1169" s="304">
        <v>46213</v>
      </c>
      <c r="Z1169" s="304">
        <v>46214</v>
      </c>
      <c r="AA1169" s="314">
        <v>146214</v>
      </c>
      <c r="AB1169" s="346"/>
      <c r="AC1169" s="346"/>
      <c r="AD1169" s="314">
        <v>0</v>
      </c>
    </row>
    <row r="1170" spans="1:30" ht="15" customHeight="1">
      <c r="A1170" s="237">
        <v>31044</v>
      </c>
      <c r="B1170" s="121">
        <v>1</v>
      </c>
      <c r="C1170" s="238">
        <v>46206</v>
      </c>
      <c r="D1170" s="105">
        <f t="shared" ca="1" si="66"/>
        <v>21</v>
      </c>
      <c r="E1170" s="138" t="str">
        <f t="shared" ca="1" si="67"/>
        <v>CRÍTICO</v>
      </c>
      <c r="F1170" s="230" t="s">
        <v>42</v>
      </c>
      <c r="G1170" s="147" t="s">
        <v>60</v>
      </c>
      <c r="H1170" s="117" t="s">
        <v>91</v>
      </c>
      <c r="I1170" s="117" t="str">
        <f>IF(X1170="ADMITIDO","ADMITIDO",IF(X1170="CANCELADA","CANCELADA",IF(H1170="","",IFERROR(_xlfn.XLOOKUP(H1170,Listas!I:I,Listas!J:J),"OUTROS"))))</f>
        <v>TRIAGEM</v>
      </c>
      <c r="J1170" s="240" t="s">
        <v>53</v>
      </c>
      <c r="K1170" s="240" t="s">
        <v>61</v>
      </c>
      <c r="L1170" s="240" t="s">
        <v>161</v>
      </c>
      <c r="M1170" s="240"/>
      <c r="N1170" s="240" t="s">
        <v>33</v>
      </c>
      <c r="O1170" s="119" t="s">
        <v>34</v>
      </c>
      <c r="P1170" s="119" t="s">
        <v>72</v>
      </c>
      <c r="Q1170" s="119" t="s">
        <v>73</v>
      </c>
      <c r="R1170" s="234"/>
      <c r="S1170" s="273"/>
      <c r="T1170" s="274"/>
      <c r="U1170" s="73"/>
      <c r="V1170" s="216"/>
      <c r="W1170" s="118"/>
      <c r="X1170" s="119"/>
      <c r="Y1170" s="120"/>
      <c r="Z1170" s="120"/>
      <c r="AA1170" s="244"/>
      <c r="AB1170" s="241"/>
      <c r="AC1170" s="241"/>
      <c r="AD1170" s="244">
        <v>0</v>
      </c>
    </row>
    <row r="1171" spans="1:30" ht="15" customHeight="1">
      <c r="A1171" s="237">
        <v>31045</v>
      </c>
      <c r="B1171" s="121">
        <v>1</v>
      </c>
      <c r="C1171" s="238">
        <v>46206</v>
      </c>
      <c r="D1171" s="105">
        <f t="shared" ca="1" si="66"/>
        <v>21</v>
      </c>
      <c r="E1171" s="138" t="str">
        <f t="shared" ca="1" si="67"/>
        <v>CRÍTICO</v>
      </c>
      <c r="F1171" s="230" t="s">
        <v>42</v>
      </c>
      <c r="G1171" s="147" t="s">
        <v>60</v>
      </c>
      <c r="H1171" s="117" t="s">
        <v>91</v>
      </c>
      <c r="I1171" s="117" t="str">
        <f>IF(X1171="ADMITIDO","ADMITIDO",IF(X1171="CANCELADA","CANCELADA",IF(H1171="","",IFERROR(_xlfn.XLOOKUP(H1171,Listas!I:I,Listas!J:J),"OUTROS"))))</f>
        <v>TRIAGEM</v>
      </c>
      <c r="J1171" s="240" t="s">
        <v>53</v>
      </c>
      <c r="K1171" s="240" t="s">
        <v>61</v>
      </c>
      <c r="L1171" s="240" t="s">
        <v>161</v>
      </c>
      <c r="M1171" s="240"/>
      <c r="N1171" s="240" t="s">
        <v>33</v>
      </c>
      <c r="O1171" s="119" t="s">
        <v>34</v>
      </c>
      <c r="P1171" s="119" t="s">
        <v>72</v>
      </c>
      <c r="Q1171" s="119" t="s">
        <v>73</v>
      </c>
      <c r="R1171" s="234"/>
      <c r="S1171" s="273"/>
      <c r="T1171" s="274"/>
      <c r="U1171" s="73"/>
      <c r="V1171" s="216"/>
      <c r="W1171" s="118"/>
      <c r="X1171" s="119"/>
      <c r="Y1171" s="120"/>
      <c r="Z1171" s="120"/>
      <c r="AA1171" s="244"/>
      <c r="AB1171" s="241"/>
      <c r="AC1171" s="241"/>
      <c r="AD1171" s="244">
        <v>0</v>
      </c>
    </row>
    <row r="1172" spans="1:30" ht="15" customHeight="1">
      <c r="A1172" s="402">
        <v>31041</v>
      </c>
      <c r="B1172" s="406">
        <v>1</v>
      </c>
      <c r="C1172" s="403">
        <v>46206</v>
      </c>
      <c r="D1172" s="380">
        <f t="shared" ca="1" si="66"/>
        <v>21</v>
      </c>
      <c r="E1172" s="381" t="str">
        <f t="shared" si="67"/>
        <v>ADMITIDO</v>
      </c>
      <c r="F1172" s="395" t="s">
        <v>28</v>
      </c>
      <c r="G1172" s="390" t="s">
        <v>102</v>
      </c>
      <c r="H1172" s="382" t="s">
        <v>40</v>
      </c>
      <c r="I1172" s="382" t="str">
        <f>IF(X1172="ADMITIDO","ADMITIDO",IF(X1172="CANCELADA","CANCELADA",IF(H1172="","",IFERROR(_xlfn.XLOOKUP(H1172,Listas!I:I,Listas!J:J),"OUTROS"))))</f>
        <v>ADMITIDO</v>
      </c>
      <c r="J1172" s="435" t="s">
        <v>586</v>
      </c>
      <c r="K1172" s="435" t="s">
        <v>1820</v>
      </c>
      <c r="L1172" s="435" t="s">
        <v>1239</v>
      </c>
      <c r="M1172" s="435"/>
      <c r="N1172" s="435" t="s">
        <v>63</v>
      </c>
      <c r="O1172" s="306" t="s">
        <v>34</v>
      </c>
      <c r="P1172" s="306" t="s">
        <v>35</v>
      </c>
      <c r="Q1172" s="306" t="s">
        <v>36</v>
      </c>
      <c r="R1172" s="436"/>
      <c r="S1172" s="437" t="s">
        <v>65</v>
      </c>
      <c r="T1172" s="438" t="s">
        <v>3009</v>
      </c>
      <c r="U1172" s="189" t="s">
        <v>67</v>
      </c>
      <c r="V1172" s="328">
        <v>46209</v>
      </c>
      <c r="W1172" s="305" t="s">
        <v>3010</v>
      </c>
      <c r="X1172" s="306" t="s">
        <v>40</v>
      </c>
      <c r="Y1172" s="307">
        <v>46211</v>
      </c>
      <c r="Z1172" s="307">
        <v>46216</v>
      </c>
      <c r="AA1172" s="329">
        <v>914612</v>
      </c>
      <c r="AB1172" s="439"/>
      <c r="AC1172" s="439"/>
      <c r="AD1172" s="329">
        <v>0</v>
      </c>
    </row>
    <row r="1173" spans="1:30" ht="15" customHeight="1">
      <c r="A1173" s="237">
        <v>31042</v>
      </c>
      <c r="B1173" s="121">
        <v>1</v>
      </c>
      <c r="C1173" s="238">
        <v>46206</v>
      </c>
      <c r="D1173" s="105">
        <f t="shared" ca="1" si="66"/>
        <v>21</v>
      </c>
      <c r="E1173" s="138" t="str">
        <f t="shared" si="67"/>
        <v>ADMITIDO</v>
      </c>
      <c r="F1173" s="230" t="s">
        <v>28</v>
      </c>
      <c r="G1173" s="147" t="s">
        <v>102</v>
      </c>
      <c r="H1173" s="117" t="s">
        <v>40</v>
      </c>
      <c r="I1173" s="117" t="str">
        <f>IF(X1173="ADMITIDO","ADMITIDO",IF(X1173="CANCELADA","CANCELADA",IF(H1173="","",IFERROR(_xlfn.XLOOKUP(H1173,Listas!I:I,Listas!J:J),"OUTROS"))))</f>
        <v>ADMITIDO</v>
      </c>
      <c r="J1173" s="240" t="s">
        <v>586</v>
      </c>
      <c r="K1173" s="240" t="s">
        <v>1820</v>
      </c>
      <c r="L1173" s="240" t="s">
        <v>1239</v>
      </c>
      <c r="M1173" s="240"/>
      <c r="N1173" s="240" t="s">
        <v>63</v>
      </c>
      <c r="O1173" s="119" t="s">
        <v>34</v>
      </c>
      <c r="P1173" s="119" t="s">
        <v>35</v>
      </c>
      <c r="Q1173" s="119" t="s">
        <v>36</v>
      </c>
      <c r="R1173" s="273" t="s">
        <v>3011</v>
      </c>
      <c r="S1173" s="273"/>
      <c r="T1173" s="274"/>
      <c r="U1173" s="73" t="s">
        <v>76</v>
      </c>
      <c r="V1173" s="216">
        <v>46213</v>
      </c>
      <c r="W1173" s="118" t="s">
        <v>3012</v>
      </c>
      <c r="X1173" s="119" t="s">
        <v>40</v>
      </c>
      <c r="Y1173" s="120">
        <v>46217</v>
      </c>
      <c r="Z1173" s="120">
        <v>46219</v>
      </c>
      <c r="AA1173" s="244">
        <v>916230</v>
      </c>
      <c r="AB1173" s="241"/>
      <c r="AC1173" s="241"/>
      <c r="AD1173" s="244">
        <v>0</v>
      </c>
    </row>
    <row r="1174" spans="1:30" ht="15" customHeight="1">
      <c r="A1174" s="396">
        <v>31030</v>
      </c>
      <c r="B1174" s="405">
        <v>1</v>
      </c>
      <c r="C1174" s="404">
        <v>46206</v>
      </c>
      <c r="D1174" s="386">
        <f t="shared" ref="D1174:D1184" ca="1" si="72">TODAY()-C1174</f>
        <v>21</v>
      </c>
      <c r="E1174" s="170" t="str">
        <f t="shared" ref="E1174:E1184" si="73">IF(X1174="ADMITIDO","ADMITIDO",IF(X1174="CANCELADA","CANCELADA",IF(H1174="","",IF(H1174="ADMITIDO","ADMITIDO",IF(H1174="CANCELADA","CANCELADA",IF(OR(H1174="ANALISE CANCELAMENTO",H1174="ANÁLISE CANCELAMENTO"),"EM ANÁLISE",IF(D1174="","",IF(D1174&lt;=7,"NO PRAZO",IF(D1174&lt;=14,"ATENÇÃO","CRÍTICO")))))))))</f>
        <v>CANCELADA</v>
      </c>
      <c r="F1174" s="397" t="s">
        <v>42</v>
      </c>
      <c r="G1174" s="392" t="s">
        <v>240</v>
      </c>
      <c r="H1174" s="139" t="s">
        <v>52</v>
      </c>
      <c r="I1174" s="139" t="str">
        <f>IF(X1174="ADMITIDO","ADMITIDO",IF(X1174="CANCELADA","CANCELADA",IF(H1174="","",IFERROR(_xlfn.XLOOKUP(H1174,Listas!I:I,Listas!J:J),"OUTROS"))))</f>
        <v>CANCELADA</v>
      </c>
      <c r="J1174" s="428" t="s">
        <v>44</v>
      </c>
      <c r="K1174" s="428" t="s">
        <v>241</v>
      </c>
      <c r="L1174" s="428" t="s">
        <v>1970</v>
      </c>
      <c r="M1174" s="428"/>
      <c r="N1174" s="428" t="s">
        <v>63</v>
      </c>
      <c r="O1174" s="308" t="s">
        <v>56</v>
      </c>
      <c r="P1174" s="308" t="s">
        <v>35</v>
      </c>
      <c r="Q1174" s="308" t="s">
        <v>176</v>
      </c>
      <c r="R1174" s="431"/>
      <c r="S1174" s="432" t="s">
        <v>373</v>
      </c>
      <c r="T1174" s="352"/>
      <c r="U1174" s="327" t="s">
        <v>67</v>
      </c>
      <c r="V1174" s="315">
        <v>46210</v>
      </c>
      <c r="W1174" s="310" t="s">
        <v>3013</v>
      </c>
      <c r="X1174" s="308" t="s">
        <v>284</v>
      </c>
      <c r="Y1174" s="309"/>
      <c r="Z1174" s="309"/>
      <c r="AA1174" s="316"/>
      <c r="AB1174" s="351"/>
      <c r="AC1174" s="351"/>
      <c r="AD1174" s="316">
        <v>0</v>
      </c>
    </row>
    <row r="1175" spans="1:30" ht="15" customHeight="1">
      <c r="A1175" s="237">
        <v>31031</v>
      </c>
      <c r="B1175" s="121">
        <v>1</v>
      </c>
      <c r="C1175" s="238">
        <v>46206</v>
      </c>
      <c r="D1175" s="105">
        <f t="shared" ca="1" si="72"/>
        <v>21</v>
      </c>
      <c r="E1175" s="138" t="str">
        <f t="shared" si="73"/>
        <v>ADMITIDO</v>
      </c>
      <c r="F1175" s="230" t="s">
        <v>28</v>
      </c>
      <c r="G1175" s="147" t="s">
        <v>240</v>
      </c>
      <c r="H1175" s="382" t="s">
        <v>40</v>
      </c>
      <c r="I1175" s="117" t="str">
        <f>IF(X1175="ADMITIDO","ADMITIDO",IF(X1175="CANCELADA","CANCELADA",IF(H1175="","",IFERROR(_xlfn.XLOOKUP(H1175,Listas!I:I,Listas!J:J),"OUTROS"))))</f>
        <v>ADMITIDO</v>
      </c>
      <c r="J1175" s="240" t="s">
        <v>268</v>
      </c>
      <c r="K1175" s="240" t="s">
        <v>676</v>
      </c>
      <c r="L1175" s="240" t="s">
        <v>475</v>
      </c>
      <c r="M1175" s="240"/>
      <c r="N1175" s="240" t="s">
        <v>243</v>
      </c>
      <c r="O1175" s="119" t="s">
        <v>56</v>
      </c>
      <c r="P1175" s="119" t="s">
        <v>35</v>
      </c>
      <c r="Q1175" s="119" t="s">
        <v>176</v>
      </c>
      <c r="R1175" s="234"/>
      <c r="S1175" s="273" t="s">
        <v>2902</v>
      </c>
      <c r="T1175" s="274"/>
      <c r="U1175" s="73" t="s">
        <v>76</v>
      </c>
      <c r="V1175" s="216">
        <v>46211</v>
      </c>
      <c r="W1175" s="118" t="s">
        <v>3014</v>
      </c>
      <c r="X1175" s="119" t="s">
        <v>40</v>
      </c>
      <c r="Y1175" s="120">
        <v>46216</v>
      </c>
      <c r="Z1175" s="120">
        <v>46219</v>
      </c>
      <c r="AA1175" s="244">
        <v>914624</v>
      </c>
      <c r="AB1175" s="241"/>
      <c r="AC1175" s="241"/>
      <c r="AD1175" s="244">
        <v>0</v>
      </c>
    </row>
    <row r="1176" spans="1:30" ht="15" customHeight="1">
      <c r="A1176" s="237">
        <v>31046</v>
      </c>
      <c r="B1176" s="121">
        <v>1</v>
      </c>
      <c r="C1176" s="238">
        <v>46206</v>
      </c>
      <c r="D1176" s="105">
        <f t="shared" ca="1" si="72"/>
        <v>21</v>
      </c>
      <c r="E1176" s="138" t="str">
        <f t="shared" ca="1" si="73"/>
        <v>CRÍTICO</v>
      </c>
      <c r="F1176" s="230" t="s">
        <v>42</v>
      </c>
      <c r="G1176" s="147" t="s">
        <v>69</v>
      </c>
      <c r="H1176" s="117" t="s">
        <v>181</v>
      </c>
      <c r="I1176" s="117" t="str">
        <f>IF(X1176="ADMITIDO","ADMITIDO",IF(X1176="CANCELADA","CANCELADA",IF(H1176="","",IFERROR(_xlfn.XLOOKUP(H1176,Listas!I:I,Listas!J:J),"OUTROS"))))</f>
        <v>DOCUMENTAÇÃO</v>
      </c>
      <c r="J1176" s="240" t="s">
        <v>44</v>
      </c>
      <c r="K1176" s="240" t="s">
        <v>158</v>
      </c>
      <c r="L1176" s="240" t="s">
        <v>281</v>
      </c>
      <c r="M1176" s="240"/>
      <c r="N1176" s="240" t="s">
        <v>63</v>
      </c>
      <c r="O1176" s="119" t="s">
        <v>34</v>
      </c>
      <c r="P1176" s="119" t="s">
        <v>57</v>
      </c>
      <c r="Q1176" s="119" t="s">
        <v>98</v>
      </c>
      <c r="R1176" s="234"/>
      <c r="S1176" s="273"/>
      <c r="T1176" s="274"/>
      <c r="U1176" s="73"/>
      <c r="V1176" s="216"/>
      <c r="W1176" s="118"/>
      <c r="X1176" s="119"/>
      <c r="Y1176" s="120"/>
      <c r="Z1176" s="120"/>
      <c r="AA1176" s="244"/>
      <c r="AB1176" s="118" t="s">
        <v>3015</v>
      </c>
      <c r="AC1176" s="241"/>
      <c r="AD1176" s="244">
        <v>1</v>
      </c>
    </row>
    <row r="1177" spans="1:30" ht="15" customHeight="1">
      <c r="A1177" s="237">
        <v>31043</v>
      </c>
      <c r="B1177" s="121">
        <v>1</v>
      </c>
      <c r="C1177" s="238">
        <v>46206</v>
      </c>
      <c r="D1177" s="105">
        <f t="shared" ca="1" si="72"/>
        <v>21</v>
      </c>
      <c r="E1177" s="138" t="str">
        <f t="shared" si="73"/>
        <v>ADMITIDO</v>
      </c>
      <c r="F1177" s="230" t="s">
        <v>28</v>
      </c>
      <c r="G1177" s="147" t="s">
        <v>102</v>
      </c>
      <c r="H1177" s="382" t="s">
        <v>40</v>
      </c>
      <c r="I1177" s="117" t="str">
        <f>IF(X1177="ADMITIDO","ADMITIDO",IF(X1177="CANCELADA","CANCELADA",IF(H1177="","",IFERROR(_xlfn.XLOOKUP(H1177,Listas!I:I,Listas!J:J),"OUTROS"))))</f>
        <v>ADMITIDO</v>
      </c>
      <c r="J1177" s="240" t="s">
        <v>268</v>
      </c>
      <c r="K1177" s="240" t="s">
        <v>1820</v>
      </c>
      <c r="L1177" s="240" t="s">
        <v>600</v>
      </c>
      <c r="M1177" s="240"/>
      <c r="N1177" s="240" t="s">
        <v>63</v>
      </c>
      <c r="O1177" s="119" t="s">
        <v>34</v>
      </c>
      <c r="P1177" s="119" t="s">
        <v>35</v>
      </c>
      <c r="Q1177" s="119" t="s">
        <v>612</v>
      </c>
      <c r="R1177" s="273"/>
      <c r="S1177" s="273"/>
      <c r="T1177" s="274"/>
      <c r="U1177" s="73" t="s">
        <v>109</v>
      </c>
      <c r="V1177" s="216">
        <v>46216</v>
      </c>
      <c r="W1177" s="118" t="s">
        <v>3016</v>
      </c>
      <c r="X1177" s="119" t="s">
        <v>40</v>
      </c>
      <c r="Y1177" s="120">
        <v>46219</v>
      </c>
      <c r="Z1177" s="120">
        <v>46220</v>
      </c>
      <c r="AA1177" s="244">
        <v>914639</v>
      </c>
      <c r="AB1177" s="241"/>
      <c r="AC1177" s="241"/>
      <c r="AD1177" s="244">
        <v>0</v>
      </c>
    </row>
    <row r="1178" spans="1:30" ht="15" customHeight="1">
      <c r="A1178" s="374">
        <v>31038</v>
      </c>
      <c r="B1178" s="376">
        <v>1</v>
      </c>
      <c r="C1178" s="375">
        <v>46206</v>
      </c>
      <c r="D1178" s="367">
        <f t="shared" ca="1" si="72"/>
        <v>21</v>
      </c>
      <c r="E1178" s="368" t="str">
        <f t="shared" si="73"/>
        <v>ADMITIDO</v>
      </c>
      <c r="F1178" s="371" t="s">
        <v>28</v>
      </c>
      <c r="G1178" s="369" t="s">
        <v>102</v>
      </c>
      <c r="H1178" s="117" t="s">
        <v>40</v>
      </c>
      <c r="I1178" s="146" t="str">
        <f>IF(X1178="ADMITIDO","ADMITIDO",IF(X1178="CANCELADA","CANCELADA",IF(H1178="","",IFERROR(_xlfn.XLOOKUP(H1178,Listas!I:I,Listas!J:J),"OUTROS"))))</f>
        <v>ADMITIDO</v>
      </c>
      <c r="J1178" s="415" t="s">
        <v>1268</v>
      </c>
      <c r="K1178" s="415" t="s">
        <v>371</v>
      </c>
      <c r="L1178" s="415" t="s">
        <v>895</v>
      </c>
      <c r="M1178" s="415"/>
      <c r="N1178" s="415" t="s">
        <v>391</v>
      </c>
      <c r="O1178" s="303" t="s">
        <v>34</v>
      </c>
      <c r="P1178" s="303" t="s">
        <v>1243</v>
      </c>
      <c r="Q1178" s="303" t="s">
        <v>1269</v>
      </c>
      <c r="R1178" s="419" t="s">
        <v>3017</v>
      </c>
      <c r="S1178" s="419"/>
      <c r="T1178" s="345"/>
      <c r="U1178" s="326" t="s">
        <v>67</v>
      </c>
      <c r="V1178" s="313">
        <v>46213</v>
      </c>
      <c r="W1178" s="302" t="s">
        <v>3018</v>
      </c>
      <c r="X1178" s="303" t="s">
        <v>40</v>
      </c>
      <c r="Y1178" s="304">
        <v>46217</v>
      </c>
      <c r="Z1178" s="304">
        <v>46224</v>
      </c>
      <c r="AA1178" s="314">
        <v>916232</v>
      </c>
      <c r="AB1178" s="346"/>
      <c r="AC1178" s="346"/>
      <c r="AD1178" s="314">
        <v>0</v>
      </c>
    </row>
    <row r="1179" spans="1:30" ht="15" customHeight="1">
      <c r="A1179" s="237">
        <v>31040</v>
      </c>
      <c r="B1179" s="121">
        <v>1</v>
      </c>
      <c r="C1179" s="238">
        <v>46206</v>
      </c>
      <c r="D1179" s="105">
        <f t="shared" ca="1" si="72"/>
        <v>21</v>
      </c>
      <c r="E1179" s="138" t="str">
        <f t="shared" si="73"/>
        <v>ADMITIDO</v>
      </c>
      <c r="F1179" s="230" t="s">
        <v>171</v>
      </c>
      <c r="G1179" s="147" t="s">
        <v>60</v>
      </c>
      <c r="H1179" s="382" t="s">
        <v>40</v>
      </c>
      <c r="I1179" s="117" t="str">
        <f>IF(X1179="ADMITIDO","ADMITIDO",IF(X1179="CANCELADA","CANCELADA",IF(H1179="","",IFERROR(_xlfn.XLOOKUP(H1179,Listas!I:I,Listas!J:J),"OUTROS"))))</f>
        <v>ADMITIDO</v>
      </c>
      <c r="J1179" s="240" t="s">
        <v>894</v>
      </c>
      <c r="K1179" s="240" t="s">
        <v>318</v>
      </c>
      <c r="L1179" s="240" t="s">
        <v>895</v>
      </c>
      <c r="M1179" s="240"/>
      <c r="N1179" s="240" t="s">
        <v>391</v>
      </c>
      <c r="O1179" s="119" t="s">
        <v>56</v>
      </c>
      <c r="P1179" s="119" t="s">
        <v>35</v>
      </c>
      <c r="Q1179" s="119" t="s">
        <v>176</v>
      </c>
      <c r="R1179" s="234"/>
      <c r="S1179" s="273"/>
      <c r="T1179" s="274"/>
      <c r="U1179" s="73" t="s">
        <v>132</v>
      </c>
      <c r="V1179" s="216">
        <v>46206</v>
      </c>
      <c r="W1179" s="118" t="s">
        <v>3019</v>
      </c>
      <c r="X1179" s="119" t="s">
        <v>40</v>
      </c>
      <c r="Y1179" s="120">
        <v>46216</v>
      </c>
      <c r="Z1179" s="120">
        <v>46217</v>
      </c>
      <c r="AA1179" s="244">
        <v>83377</v>
      </c>
      <c r="AB1179" s="533"/>
      <c r="AC1179" s="241"/>
      <c r="AD1179" s="536">
        <v>0</v>
      </c>
    </row>
    <row r="1180" spans="1:30" ht="15" customHeight="1">
      <c r="A1180" s="396">
        <v>31033</v>
      </c>
      <c r="B1180" s="405">
        <v>1</v>
      </c>
      <c r="C1180" s="404">
        <v>46206</v>
      </c>
      <c r="D1180" s="386">
        <f t="shared" ca="1" si="72"/>
        <v>21</v>
      </c>
      <c r="E1180" s="170" t="str">
        <f t="shared" si="73"/>
        <v>ADMITIDO</v>
      </c>
      <c r="F1180" s="397" t="s">
        <v>42</v>
      </c>
      <c r="G1180" s="392" t="s">
        <v>69</v>
      </c>
      <c r="H1180" s="139" t="s">
        <v>40</v>
      </c>
      <c r="I1180" s="139" t="str">
        <f>IF(X1180="ADMITIDO","ADMITIDO",IF(X1180="CANCELADA","CANCELADA",IF(H1180="","",IFERROR(_xlfn.XLOOKUP(H1180,Listas!I:I,Listas!J:J),"OUTROS"))))</f>
        <v>ADMITIDO</v>
      </c>
      <c r="J1180" s="428" t="s">
        <v>53</v>
      </c>
      <c r="K1180" s="428" t="s">
        <v>158</v>
      </c>
      <c r="L1180" s="428" t="s">
        <v>618</v>
      </c>
      <c r="M1180" s="428"/>
      <c r="N1180" s="428" t="s">
        <v>63</v>
      </c>
      <c r="O1180" s="308" t="s">
        <v>34</v>
      </c>
      <c r="P1180" s="308" t="s">
        <v>72</v>
      </c>
      <c r="Q1180" s="308" t="s">
        <v>619</v>
      </c>
      <c r="R1180" s="431"/>
      <c r="S1180" s="432"/>
      <c r="T1180" s="352"/>
      <c r="U1180" s="327" t="s">
        <v>76</v>
      </c>
      <c r="V1180" s="315">
        <v>46210</v>
      </c>
      <c r="W1180" s="310" t="s">
        <v>3020</v>
      </c>
      <c r="X1180" s="308" t="s">
        <v>40</v>
      </c>
      <c r="Y1180" s="309">
        <v>46216</v>
      </c>
      <c r="Z1180" s="309">
        <v>46217</v>
      </c>
      <c r="AA1180" s="316">
        <v>146222</v>
      </c>
      <c r="AB1180" s="534"/>
      <c r="AC1180" s="241"/>
      <c r="AD1180" s="537">
        <v>0</v>
      </c>
    </row>
    <row r="1181" spans="1:30" ht="15" customHeight="1">
      <c r="A1181" s="237">
        <v>31034</v>
      </c>
      <c r="B1181" s="121">
        <v>1</v>
      </c>
      <c r="C1181" s="238">
        <v>46206</v>
      </c>
      <c r="D1181" s="105">
        <f t="shared" ca="1" si="72"/>
        <v>21</v>
      </c>
      <c r="E1181" s="138" t="str">
        <f t="shared" si="73"/>
        <v>ADMITIDO</v>
      </c>
      <c r="F1181" s="230" t="s">
        <v>42</v>
      </c>
      <c r="G1181" s="147" t="s">
        <v>69</v>
      </c>
      <c r="H1181" s="117" t="s">
        <v>40</v>
      </c>
      <c r="I1181" s="117" t="str">
        <f>IF(X1181="ADMITIDO","ADMITIDO",IF(X1181="CANCELADA","CANCELADA",IF(H1181="","",IFERROR(_xlfn.XLOOKUP(H1181,Listas!I:I,Listas!J:J),"OUTROS"))))</f>
        <v>ADMITIDO</v>
      </c>
      <c r="J1181" s="240" t="s">
        <v>53</v>
      </c>
      <c r="K1181" s="240" t="s">
        <v>158</v>
      </c>
      <c r="L1181" s="240" t="s">
        <v>618</v>
      </c>
      <c r="M1181" s="240"/>
      <c r="N1181" s="240" t="s">
        <v>63</v>
      </c>
      <c r="O1181" s="119" t="s">
        <v>34</v>
      </c>
      <c r="P1181" s="119" t="s">
        <v>219</v>
      </c>
      <c r="Q1181" s="119" t="s">
        <v>619</v>
      </c>
      <c r="R1181" s="234"/>
      <c r="S1181" s="273"/>
      <c r="T1181" s="274"/>
      <c r="U1181" s="73" t="s">
        <v>67</v>
      </c>
      <c r="V1181" s="216">
        <v>46211</v>
      </c>
      <c r="W1181" s="118" t="s">
        <v>3021</v>
      </c>
      <c r="X1181" s="119" t="s">
        <v>40</v>
      </c>
      <c r="Y1181" s="120">
        <v>46223</v>
      </c>
      <c r="Z1181" s="120">
        <v>46224</v>
      </c>
      <c r="AA1181" s="244">
        <v>146262</v>
      </c>
      <c r="AB1181" s="241"/>
      <c r="AC1181" s="351"/>
      <c r="AD1181" s="244">
        <v>0</v>
      </c>
    </row>
    <row r="1182" spans="1:30" ht="15" customHeight="1">
      <c r="A1182" s="237">
        <v>31035</v>
      </c>
      <c r="B1182" s="121">
        <v>1</v>
      </c>
      <c r="C1182" s="238">
        <v>46206</v>
      </c>
      <c r="D1182" s="105">
        <f t="shared" ca="1" si="72"/>
        <v>21</v>
      </c>
      <c r="E1182" s="138" t="str">
        <f t="shared" si="73"/>
        <v>ADMITIDO</v>
      </c>
      <c r="F1182" s="230" t="s">
        <v>42</v>
      </c>
      <c r="G1182" s="147" t="s">
        <v>69</v>
      </c>
      <c r="H1182" s="117" t="s">
        <v>40</v>
      </c>
      <c r="I1182" s="117" t="str">
        <f>IF(X1182="ADMITIDO","ADMITIDO",IF(X1182="CANCELADA","CANCELADA",IF(H1182="","",IFERROR(_xlfn.XLOOKUP(H1182,Listas!I:I,Listas!J:J),"OUTROS"))))</f>
        <v>ADMITIDO</v>
      </c>
      <c r="J1182" s="240" t="s">
        <v>44</v>
      </c>
      <c r="K1182" s="240" t="s">
        <v>158</v>
      </c>
      <c r="L1182" s="240" t="s">
        <v>618</v>
      </c>
      <c r="M1182" s="240"/>
      <c r="N1182" s="240" t="s">
        <v>63</v>
      </c>
      <c r="O1182" s="119" t="s">
        <v>34</v>
      </c>
      <c r="P1182" s="119" t="s">
        <v>72</v>
      </c>
      <c r="Q1182" s="119" t="s">
        <v>619</v>
      </c>
      <c r="R1182" s="234"/>
      <c r="S1182" s="273"/>
      <c r="T1182" s="274"/>
      <c r="U1182" s="73" t="s">
        <v>76</v>
      </c>
      <c r="V1182" s="216">
        <v>46217</v>
      </c>
      <c r="W1182" s="118" t="s">
        <v>3022</v>
      </c>
      <c r="X1182" s="119" t="s">
        <v>40</v>
      </c>
      <c r="Y1182" s="120">
        <v>46219</v>
      </c>
      <c r="Z1182" s="120">
        <v>46223</v>
      </c>
      <c r="AA1182" s="244">
        <v>146246</v>
      </c>
      <c r="AB1182" s="118" t="s">
        <v>3023</v>
      </c>
      <c r="AC1182" s="241"/>
      <c r="AD1182" s="244">
        <v>1</v>
      </c>
    </row>
    <row r="1183" spans="1:30" ht="15" customHeight="1">
      <c r="A1183" s="237">
        <v>31036</v>
      </c>
      <c r="B1183" s="121">
        <v>1</v>
      </c>
      <c r="C1183" s="238">
        <v>46206</v>
      </c>
      <c r="D1183" s="105">
        <f t="shared" ca="1" si="72"/>
        <v>21</v>
      </c>
      <c r="E1183" s="138" t="str">
        <f t="shared" si="73"/>
        <v>ADMITIDO</v>
      </c>
      <c r="F1183" s="230" t="s">
        <v>42</v>
      </c>
      <c r="G1183" s="147" t="s">
        <v>69</v>
      </c>
      <c r="H1183" s="117" t="s">
        <v>40</v>
      </c>
      <c r="I1183" s="117" t="str">
        <f>IF(X1183="ADMITIDO","ADMITIDO",IF(X1183="CANCELADA","CANCELADA",IF(H1183="","",IFERROR(_xlfn.XLOOKUP(H1183,Listas!I:I,Listas!J:J),"OUTROS"))))</f>
        <v>ADMITIDO</v>
      </c>
      <c r="J1183" s="240" t="s">
        <v>53</v>
      </c>
      <c r="K1183" s="240" t="s">
        <v>158</v>
      </c>
      <c r="L1183" s="240" t="s">
        <v>2101</v>
      </c>
      <c r="M1183" s="240"/>
      <c r="N1183" s="240" t="s">
        <v>63</v>
      </c>
      <c r="O1183" s="119" t="s">
        <v>34</v>
      </c>
      <c r="P1183" s="119" t="s">
        <v>72</v>
      </c>
      <c r="Q1183" s="119" t="s">
        <v>3024</v>
      </c>
      <c r="R1183" s="234"/>
      <c r="S1183" s="273"/>
      <c r="T1183" s="274"/>
      <c r="U1183" s="73" t="s">
        <v>67</v>
      </c>
      <c r="V1183" s="216">
        <v>46217</v>
      </c>
      <c r="W1183" s="118" t="s">
        <v>3025</v>
      </c>
      <c r="X1183" s="119" t="s">
        <v>40</v>
      </c>
      <c r="Y1183" s="120">
        <v>46220</v>
      </c>
      <c r="Z1183" s="120">
        <v>46223</v>
      </c>
      <c r="AA1183" s="244">
        <v>914651</v>
      </c>
      <c r="AB1183" s="241"/>
      <c r="AC1183" s="241"/>
      <c r="AD1183" s="244">
        <v>0</v>
      </c>
    </row>
    <row r="1184" spans="1:30" ht="15" customHeight="1">
      <c r="A1184" s="237">
        <v>31037</v>
      </c>
      <c r="B1184" s="121">
        <v>1</v>
      </c>
      <c r="C1184" s="238">
        <v>46206</v>
      </c>
      <c r="D1184" s="105">
        <f t="shared" ca="1" si="72"/>
        <v>21</v>
      </c>
      <c r="E1184" s="138" t="str">
        <f t="shared" ca="1" si="73"/>
        <v>CRÍTICO</v>
      </c>
      <c r="F1184" s="230" t="s">
        <v>42</v>
      </c>
      <c r="G1184" s="147" t="s">
        <v>69</v>
      </c>
      <c r="H1184" s="117" t="s">
        <v>259</v>
      </c>
      <c r="I1184" s="117" t="str">
        <f>IF(X1184="ADMITIDO","ADMITIDO",IF(X1184="CANCELADA","CANCELADA",IF(H1184="","",IFERROR(_xlfn.XLOOKUP(H1184,Listas!I:I,Listas!J:J),"OUTROS"))))</f>
        <v>TRIAGEM</v>
      </c>
      <c r="J1184" s="240" t="s">
        <v>53</v>
      </c>
      <c r="K1184" s="240" t="s">
        <v>158</v>
      </c>
      <c r="L1184" s="240" t="s">
        <v>1068</v>
      </c>
      <c r="M1184" s="240"/>
      <c r="N1184" s="240" t="s">
        <v>63</v>
      </c>
      <c r="O1184" s="119" t="s">
        <v>34</v>
      </c>
      <c r="P1184" s="119" t="s">
        <v>72</v>
      </c>
      <c r="Q1184" s="119" t="s">
        <v>151</v>
      </c>
      <c r="R1184" s="234"/>
      <c r="S1184" s="273"/>
      <c r="T1184" s="274"/>
      <c r="U1184" s="73"/>
      <c r="V1184" s="216"/>
      <c r="W1184" s="118"/>
      <c r="X1184" s="119"/>
      <c r="Y1184" s="120"/>
      <c r="Z1184" s="120"/>
      <c r="AA1184" s="244"/>
      <c r="AB1184" s="241" t="s">
        <v>3026</v>
      </c>
      <c r="AC1184" s="241"/>
      <c r="AD1184" s="244">
        <v>2</v>
      </c>
    </row>
    <row r="1185" spans="1:30" ht="15" customHeight="1">
      <c r="A1185" s="237">
        <v>31052</v>
      </c>
      <c r="B1185" s="121">
        <v>1</v>
      </c>
      <c r="C1185" s="238">
        <v>46209</v>
      </c>
      <c r="D1185" s="105">
        <f ca="1">TODAY()-C1185</f>
        <v>18</v>
      </c>
      <c r="E1185" s="138" t="str">
        <f>IF(X1185="ADMITIDO","ADMITIDO",IF(X1185="CANCELADA","CANCELADA",IF(H1185="","",IF(H1185="ADMITIDO","ADMITIDO",IF(H1185="CANCELADA","CANCELADA",IF(OR(H1185="ANALISE CANCELAMENTO",H1185="ANÁLISE CANCELAMENTO"),"EM ANÁLISE",IF(D1185="","",IF(D1185&lt;=7,"NO PRAZO",IF(D1185&lt;=14,"ATENÇÃO","CRÍTICO")))))))))</f>
        <v>ADMITIDO</v>
      </c>
      <c r="F1185" s="230" t="s">
        <v>171</v>
      </c>
      <c r="G1185" s="147" t="s">
        <v>552</v>
      </c>
      <c r="H1185" s="117" t="s">
        <v>91</v>
      </c>
      <c r="I1185" s="117" t="str">
        <f>IF(X1185="ADMITIDO","ADMITIDO",IF(X1185="CANCELADA","CANCELADA",IF(H1185="","",IFERROR(_xlfn.XLOOKUP(H1185,Listas!I:I,Listas!J:J),"OUTROS"))))</f>
        <v>ADMITIDO</v>
      </c>
      <c r="J1185" s="240" t="s">
        <v>2860</v>
      </c>
      <c r="K1185" s="240" t="s">
        <v>553</v>
      </c>
      <c r="L1185" s="240" t="s">
        <v>1028</v>
      </c>
      <c r="M1185" s="240"/>
      <c r="N1185" s="240" t="s">
        <v>1029</v>
      </c>
      <c r="O1185" s="119" t="s">
        <v>56</v>
      </c>
      <c r="P1185" s="119" t="s">
        <v>1843</v>
      </c>
      <c r="Q1185" s="119" t="s">
        <v>176</v>
      </c>
      <c r="R1185" s="234"/>
      <c r="S1185" s="273"/>
      <c r="T1185" s="274"/>
      <c r="U1185" s="73" t="s">
        <v>552</v>
      </c>
      <c r="V1185" s="216"/>
      <c r="W1185" s="118" t="s">
        <v>3027</v>
      </c>
      <c r="X1185" s="119" t="s">
        <v>40</v>
      </c>
      <c r="Y1185" s="120"/>
      <c r="Z1185" s="120"/>
      <c r="AA1185" s="244">
        <v>89115</v>
      </c>
      <c r="AB1185" s="241"/>
      <c r="AC1185" s="241"/>
      <c r="AD1185" s="244">
        <v>0</v>
      </c>
    </row>
    <row r="1186" spans="1:30" ht="15" customHeight="1">
      <c r="A1186" s="237">
        <v>31056</v>
      </c>
      <c r="B1186" s="121">
        <v>1</v>
      </c>
      <c r="C1186" s="238">
        <v>46209</v>
      </c>
      <c r="D1186" s="105">
        <f ca="1">TODAY()-C1186</f>
        <v>18</v>
      </c>
      <c r="E1186" s="138" t="str">
        <f ca="1">IF(X1186="ADMITIDO","ADMITIDO",IF(X1186="CANCELADA","CANCELADA",IF(H1186="","",IF(H1186="ADMITIDO","ADMITIDO",IF(H1186="CANCELADA","CANCELADA",IF(OR(H1186="ANALISE CANCELAMENTO",H1186="ANÁLISE CANCELAMENTO"),"EM ANÁLISE",IF(D1186="","",IF(D1186&lt;=7,"NO PRAZO",IF(D1186&lt;=14,"ATENÇÃO","CRÍTICO")))))))))</f>
        <v>CRÍTICO</v>
      </c>
      <c r="F1186" s="230" t="s">
        <v>42</v>
      </c>
      <c r="G1186" s="147" t="s">
        <v>43</v>
      </c>
      <c r="H1186" s="117" t="s">
        <v>181</v>
      </c>
      <c r="I1186" s="117" t="str">
        <f>IF(X1186="ADMITIDO","ADMITIDO",IF(X1186="CANCELADA","CANCELADA",IF(H1186="","",IFERROR(_xlfn.XLOOKUP(H1186,Listas!I:I,Listas!J:J),"OUTROS"))))</f>
        <v>DOCUMENTAÇÃO</v>
      </c>
      <c r="J1186" s="530" t="s">
        <v>2323</v>
      </c>
      <c r="K1186" s="240" t="s">
        <v>189</v>
      </c>
      <c r="L1186" s="530" t="s">
        <v>3028</v>
      </c>
      <c r="M1186" s="530"/>
      <c r="N1186" s="240" t="s">
        <v>209</v>
      </c>
      <c r="O1186" s="119" t="s">
        <v>34</v>
      </c>
      <c r="P1186" s="119" t="s">
        <v>210</v>
      </c>
      <c r="Q1186" s="119" t="s">
        <v>309</v>
      </c>
      <c r="R1186" s="234"/>
      <c r="S1186" s="273" t="s">
        <v>3029</v>
      </c>
      <c r="T1186" s="274">
        <v>15996789216</v>
      </c>
      <c r="U1186" s="73" t="s">
        <v>67</v>
      </c>
      <c r="V1186" s="216">
        <v>46211</v>
      </c>
      <c r="W1186" s="118" t="s">
        <v>3030</v>
      </c>
      <c r="X1186" s="119" t="s">
        <v>188</v>
      </c>
      <c r="Y1186" s="120">
        <v>46230</v>
      </c>
      <c r="Z1186" s="120">
        <v>46230</v>
      </c>
      <c r="AA1186" s="244">
        <v>146263</v>
      </c>
      <c r="AB1186" s="241"/>
      <c r="AC1186" s="241"/>
      <c r="AD1186" s="244">
        <v>0</v>
      </c>
    </row>
    <row r="1187" spans="1:30" ht="15" customHeight="1">
      <c r="A1187" s="237">
        <v>31058</v>
      </c>
      <c r="B1187" s="121">
        <v>1</v>
      </c>
      <c r="C1187" s="238">
        <v>46209</v>
      </c>
      <c r="D1187" s="105">
        <f ca="1">TODAY()-C1187</f>
        <v>18</v>
      </c>
      <c r="E1187" s="138" t="str">
        <f>IF(X1187="ADMITIDO","ADMITIDO",IF(X1187="CANCELADA","CANCELADA",IF(H1187="","",IF(H1187="ADMITIDO","ADMITIDO",IF(H1187="CANCELADA","CANCELADA",IF(OR(H1187="ANALISE CANCELAMENTO",H1187="ANÁLISE CANCELAMENTO"),"EM ANÁLISE",IF(D1187="","",IF(D1187&lt;=7,"NO PRAZO",IF(D1187&lt;=14,"ATENÇÃO","CRÍTICO")))))))))</f>
        <v>ADMITIDO</v>
      </c>
      <c r="F1187" s="230" t="s">
        <v>28</v>
      </c>
      <c r="G1187" s="147" t="s">
        <v>102</v>
      </c>
      <c r="H1187" s="382" t="s">
        <v>40</v>
      </c>
      <c r="I1187" s="117" t="str">
        <f>IF(X1187="ADMITIDO","ADMITIDO",IF(X1187="CANCELADA","CANCELADA",IF(H1187="","",IFERROR(_xlfn.XLOOKUP(H1187,Listas!I:I,Listas!J:J),"OUTROS"))))</f>
        <v>ADMITIDO</v>
      </c>
      <c r="J1187" s="240" t="s">
        <v>268</v>
      </c>
      <c r="K1187" s="240" t="s">
        <v>563</v>
      </c>
      <c r="L1187" s="240" t="s">
        <v>618</v>
      </c>
      <c r="M1187" s="240"/>
      <c r="N1187" s="240" t="s">
        <v>63</v>
      </c>
      <c r="O1187" s="119" t="s">
        <v>34</v>
      </c>
      <c r="P1187" s="119" t="s">
        <v>35</v>
      </c>
      <c r="Q1187" s="119" t="s">
        <v>36</v>
      </c>
      <c r="R1187" s="273" t="s">
        <v>3031</v>
      </c>
      <c r="S1187" s="273" t="s">
        <v>1533</v>
      </c>
      <c r="T1187" s="274"/>
      <c r="U1187" s="73" t="s">
        <v>67</v>
      </c>
      <c r="V1187" s="216">
        <v>46217</v>
      </c>
      <c r="W1187" s="118" t="s">
        <v>3032</v>
      </c>
      <c r="X1187" s="119" t="s">
        <v>40</v>
      </c>
      <c r="Y1187" s="120">
        <v>46219</v>
      </c>
      <c r="Z1187" s="120">
        <v>46220</v>
      </c>
      <c r="AA1187" s="244">
        <v>914643</v>
      </c>
      <c r="AB1187" s="241"/>
      <c r="AC1187" s="241"/>
      <c r="AD1187" s="244">
        <v>0</v>
      </c>
    </row>
    <row r="1188" spans="1:30" ht="15" customHeight="1">
      <c r="A1188" s="237">
        <v>31050</v>
      </c>
      <c r="B1188" s="121">
        <v>1</v>
      </c>
      <c r="C1188" s="238">
        <v>46209</v>
      </c>
      <c r="D1188" s="105">
        <f ca="1">TODAY()-C1188</f>
        <v>18</v>
      </c>
      <c r="E1188" s="138" t="str">
        <f ca="1">IF(X1188="ADMITIDO","ADMITIDO",IF(X1188="CANCELADA","CANCELADA",IF(H1188="","",IF(H1188="ADMITIDO","ADMITIDO",IF(H1188="CANCELADA","CANCELADA",IF(OR(H1188="ANALISE CANCELAMENTO",H1188="ANÁLISE CANCELAMENTO"),"EM ANÁLISE",IF(D1188="","",IF(D1188&lt;=7,"NO PRAZO",IF(D1188&lt;=14,"ATENÇÃO","CRÍTICO")))))))))</f>
        <v>CRÍTICO</v>
      </c>
      <c r="F1188" s="230" t="s">
        <v>42</v>
      </c>
      <c r="G1188" s="147" t="s">
        <v>43</v>
      </c>
      <c r="H1188" s="117" t="s">
        <v>334</v>
      </c>
      <c r="I1188" s="117" t="str">
        <f>IF(X1188="ADMITIDO","ADMITIDO",IF(X1188="CANCELADA","CANCELADA",IF(H1188="","",IFERROR(_xlfn.XLOOKUP(H1188,Listas!I:I,Listas!J:J),"OUTROS"))))</f>
        <v>DOCUMENTAÇÃO</v>
      </c>
      <c r="J1188" s="240" t="s">
        <v>53</v>
      </c>
      <c r="K1188" s="240" t="s">
        <v>45</v>
      </c>
      <c r="L1188" s="240" t="s">
        <v>46</v>
      </c>
      <c r="M1188" s="240"/>
      <c r="N1188" s="240" t="s">
        <v>47</v>
      </c>
      <c r="O1188" s="119" t="s">
        <v>34</v>
      </c>
      <c r="P1188" s="119" t="s">
        <v>48</v>
      </c>
      <c r="Q1188" s="119" t="s">
        <v>49</v>
      </c>
      <c r="R1188" s="234" t="s">
        <v>3033</v>
      </c>
      <c r="S1188" s="273" t="s">
        <v>1375</v>
      </c>
      <c r="T1188" s="274">
        <v>11988015415</v>
      </c>
      <c r="U1188" s="73" t="s">
        <v>67</v>
      </c>
      <c r="V1188" s="216">
        <v>46219</v>
      </c>
      <c r="W1188" s="118" t="s">
        <v>3034</v>
      </c>
      <c r="X1188" s="119" t="s">
        <v>284</v>
      </c>
      <c r="Y1188" s="120"/>
      <c r="Z1188" s="120"/>
      <c r="AA1188" s="550"/>
      <c r="AB1188" s="241"/>
      <c r="AC1188" s="241"/>
      <c r="AD1188" s="244">
        <v>2</v>
      </c>
    </row>
    <row r="1189" spans="1:30" ht="15" customHeight="1">
      <c r="A1189" s="237">
        <v>31067</v>
      </c>
      <c r="B1189" s="121">
        <v>1</v>
      </c>
      <c r="C1189" s="238">
        <v>46210</v>
      </c>
      <c r="D1189" s="105">
        <f t="shared" ref="D1189:D1251" ca="1" si="74">TODAY()-C1189</f>
        <v>17</v>
      </c>
      <c r="E1189" s="138" t="str">
        <f t="shared" ref="E1189:E1251" ca="1" si="75">IF(X1189="ADMITIDO","ADMITIDO",IF(X1189="CANCELADA","CANCELADA",IF(H1189="","",IF(H1189="ADMITIDO","ADMITIDO",IF(H1189="CANCELADA","CANCELADA",IF(OR(H1189="ANALISE CANCELAMENTO",H1189="ANÁLISE CANCELAMENTO"),"EM ANÁLISE",IF(D1189="","",IF(D1189&lt;=7,"NO PRAZO",IF(D1189&lt;=14,"ATENÇÃO","CRÍTICO")))))))))</f>
        <v>CRÍTICO</v>
      </c>
      <c r="F1189" s="230" t="s">
        <v>28</v>
      </c>
      <c r="G1189" s="147" t="s">
        <v>43</v>
      </c>
      <c r="H1189" s="117" t="s">
        <v>638</v>
      </c>
      <c r="I1189" s="117" t="str">
        <f>IF(X1189="ADMITIDO","ADMITIDO",IF(X1189="CANCELADA","CANCELADA",IF(H1189="","",IFERROR(_xlfn.XLOOKUP(H1189,Listas!I:I,Listas!J:J),"OUTROS"))))</f>
        <v>TRIAGEM</v>
      </c>
      <c r="J1189" s="240" t="s">
        <v>616</v>
      </c>
      <c r="K1189" s="240" t="s">
        <v>383</v>
      </c>
      <c r="L1189" s="240" t="s">
        <v>3035</v>
      </c>
      <c r="M1189" s="240"/>
      <c r="N1189" s="240" t="s">
        <v>933</v>
      </c>
      <c r="O1189" s="119" t="s">
        <v>56</v>
      </c>
      <c r="P1189" s="119" t="s">
        <v>35</v>
      </c>
      <c r="Q1189" s="119" t="s">
        <v>176</v>
      </c>
      <c r="R1189" s="234" t="s">
        <v>3036</v>
      </c>
      <c r="S1189" s="273" t="s">
        <v>1375</v>
      </c>
      <c r="T1189" s="274"/>
      <c r="U1189" s="73"/>
      <c r="V1189" s="216"/>
      <c r="W1189" s="118"/>
      <c r="X1189" s="119"/>
      <c r="Y1189" s="120"/>
      <c r="Z1189" s="120"/>
      <c r="AA1189" s="244"/>
      <c r="AB1189" s="241"/>
      <c r="AC1189" s="241"/>
      <c r="AD1189" s="244">
        <v>1</v>
      </c>
    </row>
    <row r="1190" spans="1:30" ht="15" customHeight="1">
      <c r="A1190" s="237">
        <v>31061</v>
      </c>
      <c r="B1190" s="121">
        <v>1</v>
      </c>
      <c r="C1190" s="238">
        <v>46210</v>
      </c>
      <c r="D1190" s="105">
        <f t="shared" ca="1" si="74"/>
        <v>17</v>
      </c>
      <c r="E1190" s="138" t="str">
        <f t="shared" ca="1" si="75"/>
        <v>CRÍTICO</v>
      </c>
      <c r="F1190" s="230" t="s">
        <v>28</v>
      </c>
      <c r="G1190" s="147" t="s">
        <v>29</v>
      </c>
      <c r="H1190" s="117" t="s">
        <v>259</v>
      </c>
      <c r="I1190" s="117" t="str">
        <f>IF(X1190="ADMITIDO","ADMITIDO",IF(X1190="CANCELADA","CANCELADA",IF(H1190="","",IFERROR(_xlfn.XLOOKUP(H1190,Listas!I:I,Listas!J:J),"OUTROS"))))</f>
        <v>TRIAGEM</v>
      </c>
      <c r="J1190" s="240" t="s">
        <v>30</v>
      </c>
      <c r="K1190" s="240" t="s">
        <v>31</v>
      </c>
      <c r="L1190" s="240" t="s">
        <v>3037</v>
      </c>
      <c r="M1190" s="240"/>
      <c r="N1190" s="240" t="s">
        <v>3038</v>
      </c>
      <c r="O1190" s="119" t="s">
        <v>34</v>
      </c>
      <c r="P1190" s="119" t="s">
        <v>35</v>
      </c>
      <c r="Q1190" s="119" t="s">
        <v>36</v>
      </c>
      <c r="R1190" s="234"/>
      <c r="S1190" s="273"/>
      <c r="T1190" s="274"/>
      <c r="U1190" s="73"/>
      <c r="V1190" s="216"/>
      <c r="W1190" s="118"/>
      <c r="X1190" s="119"/>
      <c r="Y1190" s="120"/>
      <c r="Z1190" s="120"/>
      <c r="AA1190" s="244"/>
      <c r="AB1190" s="241" t="s">
        <v>3039</v>
      </c>
      <c r="AC1190" s="241"/>
      <c r="AD1190" s="244">
        <v>1</v>
      </c>
    </row>
    <row r="1191" spans="1:30" ht="15" customHeight="1">
      <c r="A1191" s="237">
        <v>31071</v>
      </c>
      <c r="B1191" s="121">
        <v>1</v>
      </c>
      <c r="C1191" s="238">
        <v>46210</v>
      </c>
      <c r="D1191" s="367">
        <f t="shared" ca="1" si="74"/>
        <v>17</v>
      </c>
      <c r="E1191" s="138" t="s">
        <v>40</v>
      </c>
      <c r="F1191" s="230" t="s">
        <v>42</v>
      </c>
      <c r="G1191" s="147" t="s">
        <v>43</v>
      </c>
      <c r="H1191" s="117" t="s">
        <v>40</v>
      </c>
      <c r="I1191" s="117" t="str">
        <f>IF(X1191="ADMITIDO","ADMITIDO",IF(X1191="CANCELADA","CANCELADA",IF(H1191="","",IFERROR(_xlfn.XLOOKUP(H1191,Listas!I:I,Listas!J:J),"OUTROS"))))</f>
        <v>ADMITIDO</v>
      </c>
      <c r="J1191" s="240" t="s">
        <v>198</v>
      </c>
      <c r="K1191" s="240" t="s">
        <v>45</v>
      </c>
      <c r="L1191" s="240" t="s">
        <v>377</v>
      </c>
      <c r="M1191" s="240"/>
      <c r="N1191" s="240" t="s">
        <v>378</v>
      </c>
      <c r="O1191" s="119" t="s">
        <v>34</v>
      </c>
      <c r="P1191" s="119" t="s">
        <v>57</v>
      </c>
      <c r="Q1191" s="119" t="s">
        <v>151</v>
      </c>
      <c r="R1191" s="234"/>
      <c r="S1191" s="273" t="s">
        <v>1375</v>
      </c>
      <c r="T1191" s="274">
        <v>11990184726</v>
      </c>
      <c r="U1191" s="73" t="s">
        <v>50</v>
      </c>
      <c r="V1191" s="216">
        <v>46213</v>
      </c>
      <c r="W1191" s="118" t="s">
        <v>3040</v>
      </c>
      <c r="X1191" s="119" t="s">
        <v>40</v>
      </c>
      <c r="Y1191" s="120">
        <v>46220</v>
      </c>
      <c r="Z1191" s="120">
        <v>46223</v>
      </c>
      <c r="AA1191" s="552">
        <v>146252</v>
      </c>
      <c r="AB1191" s="241"/>
      <c r="AC1191" s="241"/>
      <c r="AD1191" s="244">
        <v>0</v>
      </c>
    </row>
    <row r="1192" spans="1:30" ht="15" customHeight="1">
      <c r="A1192" s="237">
        <v>31057</v>
      </c>
      <c r="B1192" s="121">
        <v>1</v>
      </c>
      <c r="C1192" s="588">
        <v>46210</v>
      </c>
      <c r="D1192" s="489">
        <f t="shared" ca="1" si="74"/>
        <v>17</v>
      </c>
      <c r="E1192" s="590" t="str">
        <f t="shared" ca="1" si="75"/>
        <v>CRÍTICO</v>
      </c>
      <c r="F1192" s="230" t="s">
        <v>28</v>
      </c>
      <c r="G1192" s="147" t="s">
        <v>43</v>
      </c>
      <c r="H1192" s="117" t="s">
        <v>91</v>
      </c>
      <c r="I1192" s="117" t="str">
        <f>IF(X1192="ADMITIDO","ADMITIDO",IF(X1192="CANCELADA","CANCELADA",IF(H1192="","",IFERROR(_xlfn.XLOOKUP(H1192,Listas!I:I,Listas!J:J),"OUTROS"))))</f>
        <v>TRIAGEM</v>
      </c>
      <c r="J1192" s="240" t="s">
        <v>3041</v>
      </c>
      <c r="K1192" s="240" t="s">
        <v>335</v>
      </c>
      <c r="L1192" s="240" t="s">
        <v>788</v>
      </c>
      <c r="M1192" s="240"/>
      <c r="N1192" s="240" t="s">
        <v>337</v>
      </c>
      <c r="O1192" s="119" t="s">
        <v>56</v>
      </c>
      <c r="P1192" s="119" t="s">
        <v>35</v>
      </c>
      <c r="Q1192" s="119" t="s">
        <v>176</v>
      </c>
      <c r="R1192" s="234"/>
      <c r="S1192" s="273"/>
      <c r="T1192" s="274"/>
      <c r="U1192" s="73"/>
      <c r="V1192" s="216"/>
      <c r="W1192" s="118"/>
      <c r="X1192" s="119"/>
      <c r="Y1192" s="120"/>
      <c r="Z1192" s="120"/>
      <c r="AA1192" s="244"/>
      <c r="AB1192" s="241"/>
      <c r="AC1192" s="241"/>
      <c r="AD1192" s="244">
        <v>0</v>
      </c>
    </row>
    <row r="1193" spans="1:30" ht="15" customHeight="1">
      <c r="A1193" s="237">
        <v>31069</v>
      </c>
      <c r="B1193" s="121">
        <v>1</v>
      </c>
      <c r="C1193" s="238">
        <v>46210</v>
      </c>
      <c r="D1193" s="386">
        <f t="shared" ca="1" si="74"/>
        <v>17</v>
      </c>
      <c r="E1193" s="138" t="str">
        <f t="shared" si="75"/>
        <v>ADMITIDO</v>
      </c>
      <c r="F1193" s="230" t="s">
        <v>28</v>
      </c>
      <c r="G1193" s="147" t="s">
        <v>43</v>
      </c>
      <c r="H1193" s="117" t="s">
        <v>40</v>
      </c>
      <c r="I1193" s="117" t="str">
        <f>IF(X1193="ADMITIDO","ADMITIDO",IF(X1193="CANCELADA","CANCELADA",IF(H1193="","",IFERROR(_xlfn.XLOOKUP(H1193,Listas!I:I,Listas!J:J),"OUTROS"))))</f>
        <v>ADMITIDO</v>
      </c>
      <c r="J1193" s="240" t="s">
        <v>268</v>
      </c>
      <c r="K1193" s="240" t="s">
        <v>383</v>
      </c>
      <c r="L1193" s="240" t="s">
        <v>1282</v>
      </c>
      <c r="M1193" s="240"/>
      <c r="N1193" s="240" t="s">
        <v>97</v>
      </c>
      <c r="O1193" s="119" t="s">
        <v>56</v>
      </c>
      <c r="P1193" s="119" t="s">
        <v>35</v>
      </c>
      <c r="Q1193" s="119" t="s">
        <v>176</v>
      </c>
      <c r="R1193" s="234" t="s">
        <v>3042</v>
      </c>
      <c r="S1193" s="273" t="s">
        <v>3043</v>
      </c>
      <c r="T1193" s="274">
        <v>11914958963</v>
      </c>
      <c r="U1193" s="73" t="s">
        <v>50</v>
      </c>
      <c r="V1193" s="216">
        <v>46217</v>
      </c>
      <c r="W1193" s="118" t="s">
        <v>3044</v>
      </c>
      <c r="X1193" s="119" t="s">
        <v>40</v>
      </c>
      <c r="Y1193" s="120">
        <v>46220</v>
      </c>
      <c r="Z1193" s="120">
        <v>46221</v>
      </c>
      <c r="AA1193" s="552">
        <v>916245</v>
      </c>
      <c r="AB1193" s="241"/>
      <c r="AC1193" s="241"/>
      <c r="AD1193" s="244">
        <v>0</v>
      </c>
    </row>
    <row r="1194" spans="1:30" ht="15" customHeight="1">
      <c r="A1194" s="374">
        <v>31079</v>
      </c>
      <c r="B1194" s="376">
        <v>1</v>
      </c>
      <c r="C1194" s="375">
        <v>46210</v>
      </c>
      <c r="D1194" s="367">
        <f t="shared" ca="1" si="74"/>
        <v>17</v>
      </c>
      <c r="E1194" s="368" t="str">
        <f t="shared" si="75"/>
        <v>ADMITIDO</v>
      </c>
      <c r="F1194" s="371" t="s">
        <v>42</v>
      </c>
      <c r="G1194" s="369" t="s">
        <v>43</v>
      </c>
      <c r="H1194" s="146" t="s">
        <v>40</v>
      </c>
      <c r="I1194" s="146" t="str">
        <f>IF(X1194="ADMITIDO","ADMITIDO",IF(X1194="CANCELADA","CANCELADA",IF(H1194="","",IFERROR(_xlfn.XLOOKUP(H1194,Listas!I:I,Listas!J:J),"OUTROS"))))</f>
        <v>ADMITIDO</v>
      </c>
      <c r="J1194" s="415" t="s">
        <v>346</v>
      </c>
      <c r="K1194" s="415" t="s">
        <v>189</v>
      </c>
      <c r="L1194" s="415" t="s">
        <v>1719</v>
      </c>
      <c r="M1194" s="415"/>
      <c r="N1194" s="415" t="s">
        <v>337</v>
      </c>
      <c r="O1194" s="303" t="s">
        <v>34</v>
      </c>
      <c r="P1194" s="303" t="s">
        <v>48</v>
      </c>
      <c r="Q1194" s="303" t="s">
        <v>49</v>
      </c>
      <c r="R1194" s="418"/>
      <c r="S1194" s="419" t="s">
        <v>1567</v>
      </c>
      <c r="T1194" s="345">
        <v>15988214685</v>
      </c>
      <c r="U1194" s="326" t="s">
        <v>67</v>
      </c>
      <c r="V1194" s="313">
        <v>46216</v>
      </c>
      <c r="W1194" s="302" t="s">
        <v>3045</v>
      </c>
      <c r="X1194" s="303" t="s">
        <v>40</v>
      </c>
      <c r="Y1194" s="304">
        <v>46223</v>
      </c>
      <c r="Z1194" s="304">
        <v>46224</v>
      </c>
      <c r="AA1194" s="314">
        <v>146253</v>
      </c>
      <c r="AB1194" s="346" t="s">
        <v>3046</v>
      </c>
      <c r="AC1194" s="346"/>
      <c r="AD1194" s="314">
        <v>1</v>
      </c>
    </row>
    <row r="1195" spans="1:30" ht="15" customHeight="1">
      <c r="A1195" s="237">
        <v>31081</v>
      </c>
      <c r="B1195" s="121">
        <v>1</v>
      </c>
      <c r="C1195" s="238">
        <v>46210</v>
      </c>
      <c r="D1195" s="105">
        <f t="shared" ca="1" si="74"/>
        <v>17</v>
      </c>
      <c r="E1195" s="138" t="str">
        <f t="shared" ca="1" si="75"/>
        <v>CRÍTICO</v>
      </c>
      <c r="F1195" s="230" t="s">
        <v>171</v>
      </c>
      <c r="G1195" s="147" t="s">
        <v>43</v>
      </c>
      <c r="H1195" s="117" t="s">
        <v>181</v>
      </c>
      <c r="I1195" s="117" t="str">
        <f>IF(X1195="ADMITIDO","ADMITIDO",IF(X1195="CANCELADA","CANCELADA",IF(H1195="","",IFERROR(_xlfn.XLOOKUP(H1195,Listas!I:I,Listas!J:J),"OUTROS"))))</f>
        <v>DOCUMENTAÇÃO</v>
      </c>
      <c r="J1195" s="240" t="s">
        <v>514</v>
      </c>
      <c r="K1195" s="240" t="s">
        <v>360</v>
      </c>
      <c r="L1195" s="240" t="s">
        <v>511</v>
      </c>
      <c r="M1195" s="240"/>
      <c r="N1195" s="240" t="s">
        <v>512</v>
      </c>
      <c r="O1195" s="119" t="s">
        <v>34</v>
      </c>
      <c r="P1195" s="119" t="s">
        <v>35</v>
      </c>
      <c r="Q1195" s="119" t="s">
        <v>362</v>
      </c>
      <c r="R1195" s="234"/>
      <c r="S1195" s="273" t="s">
        <v>1375</v>
      </c>
      <c r="T1195" s="274">
        <v>11973228316</v>
      </c>
      <c r="U1195" s="73" t="s">
        <v>67</v>
      </c>
      <c r="V1195" s="216">
        <v>46220</v>
      </c>
      <c r="W1195" s="118" t="s">
        <v>3047</v>
      </c>
      <c r="X1195" s="119" t="s">
        <v>284</v>
      </c>
      <c r="Y1195" s="120"/>
      <c r="Z1195" s="120"/>
      <c r="AA1195" s="244"/>
      <c r="AB1195" s="241"/>
      <c r="AC1195" s="241"/>
      <c r="AD1195" s="244">
        <v>0</v>
      </c>
    </row>
    <row r="1196" spans="1:30" ht="15" customHeight="1">
      <c r="A1196" s="396">
        <v>31068</v>
      </c>
      <c r="B1196" s="405">
        <v>1</v>
      </c>
      <c r="C1196" s="404">
        <v>46210</v>
      </c>
      <c r="D1196" s="386">
        <f t="shared" ca="1" si="74"/>
        <v>17</v>
      </c>
      <c r="E1196" s="170" t="str">
        <f t="shared" si="75"/>
        <v>ADMITIDO</v>
      </c>
      <c r="F1196" s="397" t="s">
        <v>28</v>
      </c>
      <c r="G1196" s="392" t="s">
        <v>43</v>
      </c>
      <c r="H1196" s="139" t="s">
        <v>40</v>
      </c>
      <c r="I1196" s="139" t="str">
        <f>IF(X1196="ADMITIDO","ADMITIDO",IF(X1196="CANCELADA","CANCELADA",IF(H1196="","",IFERROR(_xlfn.XLOOKUP(H1196,Listas!I:I,Listas!J:J),"OUTROS"))))</f>
        <v>ADMITIDO</v>
      </c>
      <c r="J1196" s="428" t="s">
        <v>737</v>
      </c>
      <c r="K1196" s="428" t="s">
        <v>383</v>
      </c>
      <c r="L1196" s="428" t="s">
        <v>3048</v>
      </c>
      <c r="M1196" s="428"/>
      <c r="N1196" s="428" t="s">
        <v>97</v>
      </c>
      <c r="O1196" s="308" t="s">
        <v>56</v>
      </c>
      <c r="P1196" s="308" t="s">
        <v>35</v>
      </c>
      <c r="Q1196" s="308" t="s">
        <v>760</v>
      </c>
      <c r="R1196" s="431"/>
      <c r="S1196" s="432" t="s">
        <v>3049</v>
      </c>
      <c r="T1196" s="352">
        <v>11964556577</v>
      </c>
      <c r="U1196" s="327" t="s">
        <v>50</v>
      </c>
      <c r="V1196" s="315">
        <v>46211</v>
      </c>
      <c r="W1196" s="310" t="s">
        <v>3050</v>
      </c>
      <c r="X1196" s="308" t="s">
        <v>40</v>
      </c>
      <c r="Y1196" s="309">
        <v>46218</v>
      </c>
      <c r="Z1196" s="309">
        <v>46219</v>
      </c>
      <c r="AA1196" s="550">
        <v>914628</v>
      </c>
      <c r="AB1196" s="351" t="s">
        <v>3051</v>
      </c>
      <c r="AC1196" s="351"/>
      <c r="AD1196" s="316">
        <v>0</v>
      </c>
    </row>
    <row r="1197" spans="1:30" ht="15" customHeight="1">
      <c r="A1197" s="237">
        <v>31074</v>
      </c>
      <c r="B1197" s="121">
        <v>1</v>
      </c>
      <c r="C1197" s="238">
        <v>46210</v>
      </c>
      <c r="D1197" s="105">
        <f t="shared" ca="1" si="74"/>
        <v>17</v>
      </c>
      <c r="E1197" s="138" t="str">
        <f t="shared" ca="1" si="75"/>
        <v>CRÍTICO</v>
      </c>
      <c r="F1197" s="230" t="s">
        <v>28</v>
      </c>
      <c r="G1197" s="147" t="s">
        <v>663</v>
      </c>
      <c r="H1197" s="117" t="s">
        <v>91</v>
      </c>
      <c r="I1197" s="117" t="str">
        <f>IF(X1197="ADMITIDO","ADMITIDO",IF(X1197="CANCELADA","CANCELADA",IF(H1197="","",IFERROR(_xlfn.XLOOKUP(H1197,Listas!I:I,Listas!J:J),"OUTROS"))))</f>
        <v>TRIAGEM</v>
      </c>
      <c r="J1197" s="240" t="s">
        <v>202</v>
      </c>
      <c r="K1197" s="240" t="s">
        <v>2936</v>
      </c>
      <c r="L1197" s="240" t="s">
        <v>204</v>
      </c>
      <c r="M1197" s="240"/>
      <c r="N1197" s="240" t="s">
        <v>205</v>
      </c>
      <c r="O1197" s="119" t="s">
        <v>56</v>
      </c>
      <c r="P1197" s="119" t="s">
        <v>35</v>
      </c>
      <c r="Q1197" s="119" t="s">
        <v>176</v>
      </c>
      <c r="R1197" s="234"/>
      <c r="S1197" s="273"/>
      <c r="T1197" s="274"/>
      <c r="U1197" s="73"/>
      <c r="V1197" s="216"/>
      <c r="W1197" s="118"/>
      <c r="X1197" s="119"/>
      <c r="Y1197" s="120"/>
      <c r="Z1197" s="120"/>
      <c r="AA1197" s="244"/>
      <c r="AB1197" s="241"/>
      <c r="AC1197" s="241"/>
      <c r="AD1197" s="244">
        <v>0</v>
      </c>
    </row>
    <row r="1198" spans="1:30" ht="15" customHeight="1">
      <c r="A1198" s="237">
        <v>31048</v>
      </c>
      <c r="B1198" s="121">
        <v>1</v>
      </c>
      <c r="C1198" s="238">
        <v>46210</v>
      </c>
      <c r="D1198" s="105">
        <f t="shared" ca="1" si="74"/>
        <v>17</v>
      </c>
      <c r="E1198" s="138" t="str">
        <f t="shared" si="75"/>
        <v>CANCELADA</v>
      </c>
      <c r="F1198" s="230" t="s">
        <v>28</v>
      </c>
      <c r="G1198" s="147" t="s">
        <v>663</v>
      </c>
      <c r="H1198" s="117" t="s">
        <v>52</v>
      </c>
      <c r="I1198" s="117" t="str">
        <f>IF(X1198="ADMITIDO","ADMITIDO",IF(X1198="CANCELADA","CANCELADA",IF(H1198="","",IFERROR(_xlfn.XLOOKUP(H1198,Listas!I:I,Listas!J:J),"OUTROS"))))</f>
        <v>CANCELADA</v>
      </c>
      <c r="J1198" s="240" t="s">
        <v>1197</v>
      </c>
      <c r="K1198" s="240" t="s">
        <v>31</v>
      </c>
      <c r="L1198" s="240" t="s">
        <v>1103</v>
      </c>
      <c r="M1198" s="240"/>
      <c r="N1198" s="240" t="s">
        <v>93</v>
      </c>
      <c r="O1198" s="119" t="s">
        <v>34</v>
      </c>
      <c r="P1198" s="119" t="s">
        <v>48</v>
      </c>
      <c r="Q1198" s="119" t="s">
        <v>3052</v>
      </c>
      <c r="R1198" s="234"/>
      <c r="S1198" s="273"/>
      <c r="T1198" s="274"/>
      <c r="U1198" s="73"/>
      <c r="V1198" s="216"/>
      <c r="W1198" s="118"/>
      <c r="X1198" s="119"/>
      <c r="Y1198" s="120"/>
      <c r="Z1198" s="120"/>
      <c r="AA1198" s="244"/>
      <c r="AB1198" s="241" t="s">
        <v>3053</v>
      </c>
      <c r="AC1198" s="241" t="s">
        <v>2234</v>
      </c>
      <c r="AD1198" s="244">
        <v>0</v>
      </c>
    </row>
    <row r="1199" spans="1:30" ht="15" customHeight="1">
      <c r="A1199" s="237">
        <v>31066</v>
      </c>
      <c r="B1199" s="121">
        <v>1</v>
      </c>
      <c r="C1199" s="238">
        <v>46210</v>
      </c>
      <c r="D1199" s="105">
        <f t="shared" ca="1" si="74"/>
        <v>17</v>
      </c>
      <c r="E1199" s="138" t="str">
        <f t="shared" si="75"/>
        <v>CANCELADA</v>
      </c>
      <c r="F1199" s="230" t="s">
        <v>28</v>
      </c>
      <c r="G1199" s="147" t="s">
        <v>663</v>
      </c>
      <c r="H1199" s="117" t="s">
        <v>52</v>
      </c>
      <c r="I1199" s="117" t="str">
        <f>IF(X1199="ADMITIDO","ADMITIDO",IF(X1199="CANCELADA","CANCELADA",IF(H1199="","",IFERROR(_xlfn.XLOOKUP(H1199,Listas!I:I,Listas!J:J),"OUTROS"))))</f>
        <v>CANCELADA</v>
      </c>
      <c r="J1199" s="240" t="s">
        <v>3054</v>
      </c>
      <c r="K1199" s="240" t="s">
        <v>614</v>
      </c>
      <c r="L1199" s="240" t="s">
        <v>807</v>
      </c>
      <c r="M1199" s="240"/>
      <c r="N1199" s="240" t="s">
        <v>88</v>
      </c>
      <c r="O1199" s="119" t="s">
        <v>56</v>
      </c>
      <c r="P1199" s="119" t="s">
        <v>35</v>
      </c>
      <c r="Q1199" s="119" t="s">
        <v>176</v>
      </c>
      <c r="R1199" s="234" t="s">
        <v>3055</v>
      </c>
      <c r="S1199" s="273"/>
      <c r="T1199" s="274"/>
      <c r="U1199" s="73"/>
      <c r="V1199" s="216"/>
      <c r="W1199" s="118"/>
      <c r="X1199" s="119"/>
      <c r="Y1199" s="120"/>
      <c r="Z1199" s="120"/>
      <c r="AA1199" s="244"/>
      <c r="AB1199" s="241" t="s">
        <v>3056</v>
      </c>
      <c r="AC1199" s="241" t="s">
        <v>2615</v>
      </c>
      <c r="AD1199" s="244">
        <v>0</v>
      </c>
    </row>
    <row r="1200" spans="1:30" ht="15" customHeight="1">
      <c r="A1200" s="237">
        <v>31072</v>
      </c>
      <c r="B1200" s="121">
        <v>1</v>
      </c>
      <c r="C1200" s="238">
        <v>46210</v>
      </c>
      <c r="D1200" s="105">
        <f t="shared" ca="1" si="74"/>
        <v>17</v>
      </c>
      <c r="E1200" s="138" t="str">
        <f t="shared" si="75"/>
        <v>ADMITIDO</v>
      </c>
      <c r="F1200" s="230" t="s">
        <v>42</v>
      </c>
      <c r="G1200" s="147" t="s">
        <v>43</v>
      </c>
      <c r="H1200" s="117" t="s">
        <v>40</v>
      </c>
      <c r="I1200" s="117" t="str">
        <f>IF(X1200="ADMITIDO","ADMITIDO",IF(X1200="CANCELADA","CANCELADA",IF(H1200="","",IFERROR(_xlfn.XLOOKUP(H1200,Listas!I:I,Listas!J:J),"OUTROS"))))</f>
        <v>ADMITIDO</v>
      </c>
      <c r="J1200" s="240" t="s">
        <v>53</v>
      </c>
      <c r="K1200" s="240" t="s">
        <v>45</v>
      </c>
      <c r="L1200" s="240" t="s">
        <v>386</v>
      </c>
      <c r="M1200" s="240"/>
      <c r="N1200" s="240" t="s">
        <v>243</v>
      </c>
      <c r="O1200" s="119" t="s">
        <v>34</v>
      </c>
      <c r="P1200" s="119" t="s">
        <v>57</v>
      </c>
      <c r="Q1200" s="119" t="s">
        <v>532</v>
      </c>
      <c r="R1200" s="234"/>
      <c r="S1200" s="273" t="s">
        <v>3057</v>
      </c>
      <c r="T1200" s="274">
        <v>11979593518</v>
      </c>
      <c r="U1200" s="73" t="s">
        <v>50</v>
      </c>
      <c r="V1200" s="216">
        <v>46211</v>
      </c>
      <c r="W1200" s="118" t="s">
        <v>3058</v>
      </c>
      <c r="X1200" s="119" t="s">
        <v>40</v>
      </c>
      <c r="Y1200" s="120">
        <v>46218</v>
      </c>
      <c r="Z1200" s="120">
        <v>46219</v>
      </c>
      <c r="AA1200" s="550">
        <v>146235</v>
      </c>
      <c r="AB1200" s="241" t="s">
        <v>3059</v>
      </c>
      <c r="AC1200" s="241"/>
      <c r="AD1200" s="244">
        <v>0</v>
      </c>
    </row>
    <row r="1201" spans="1:30" ht="15" customHeight="1">
      <c r="A1201" s="237">
        <v>31073</v>
      </c>
      <c r="B1201" s="121">
        <v>1</v>
      </c>
      <c r="C1201" s="238">
        <v>46210</v>
      </c>
      <c r="D1201" s="105">
        <f t="shared" ca="1" si="74"/>
        <v>17</v>
      </c>
      <c r="E1201" s="138" t="s">
        <v>40</v>
      </c>
      <c r="F1201" s="230" t="s">
        <v>42</v>
      </c>
      <c r="G1201" s="147" t="s">
        <v>43</v>
      </c>
      <c r="H1201" s="117" t="s">
        <v>40</v>
      </c>
      <c r="I1201" s="117" t="str">
        <f>IF(X1201="ADMITIDO","ADMITIDO",IF(X1201="CANCELADA","CANCELADA",IF(H1201="","",IFERROR(_xlfn.XLOOKUP(H1201,Listas!I:I,Listas!J:J),"OUTROS"))))</f>
        <v>ADMITIDO</v>
      </c>
      <c r="J1201" s="240" t="s">
        <v>53</v>
      </c>
      <c r="K1201" s="240" t="s">
        <v>45</v>
      </c>
      <c r="L1201" s="240" t="s">
        <v>386</v>
      </c>
      <c r="M1201" s="240"/>
      <c r="N1201" s="240" t="s">
        <v>243</v>
      </c>
      <c r="O1201" s="119" t="s">
        <v>34</v>
      </c>
      <c r="P1201" s="119" t="s">
        <v>57</v>
      </c>
      <c r="Q1201" s="119" t="s">
        <v>387</v>
      </c>
      <c r="R1201" s="234"/>
      <c r="S1201" s="273" t="s">
        <v>1702</v>
      </c>
      <c r="T1201" s="274">
        <v>11930166620</v>
      </c>
      <c r="U1201" s="73" t="s">
        <v>50</v>
      </c>
      <c r="V1201" s="216">
        <v>46216</v>
      </c>
      <c r="W1201" s="118" t="s">
        <v>3060</v>
      </c>
      <c r="X1201" s="119" t="s">
        <v>40</v>
      </c>
      <c r="Y1201" s="120">
        <v>46220</v>
      </c>
      <c r="Z1201" s="120">
        <v>46221</v>
      </c>
      <c r="AA1201" s="552">
        <v>146243</v>
      </c>
      <c r="AB1201" s="241"/>
      <c r="AC1201" s="241"/>
      <c r="AD1201" s="244">
        <v>0</v>
      </c>
    </row>
    <row r="1202" spans="1:30" ht="15" customHeight="1">
      <c r="A1202" s="237">
        <v>31080</v>
      </c>
      <c r="B1202" s="121">
        <v>1</v>
      </c>
      <c r="C1202" s="238">
        <v>46210</v>
      </c>
      <c r="D1202" s="105">
        <f t="shared" ca="1" si="74"/>
        <v>17</v>
      </c>
      <c r="E1202" s="138" t="str">
        <f t="shared" si="75"/>
        <v>ADMITIDO</v>
      </c>
      <c r="F1202" s="230" t="s">
        <v>42</v>
      </c>
      <c r="G1202" s="147" t="s">
        <v>69</v>
      </c>
      <c r="H1202" s="117" t="s">
        <v>40</v>
      </c>
      <c r="I1202" s="117" t="str">
        <f>IF(X1202="ADMITIDO","ADMITIDO",IF(X1202="CANCELADA","CANCELADA",IF(H1202="","",IFERROR(_xlfn.XLOOKUP(H1202,Listas!I:I,Listas!J:J),"OUTROS"))))</f>
        <v>ADMITIDO</v>
      </c>
      <c r="J1202" s="240" t="s">
        <v>53</v>
      </c>
      <c r="K1202" s="240" t="s">
        <v>70</v>
      </c>
      <c r="L1202" s="240" t="s">
        <v>639</v>
      </c>
      <c r="M1202" s="240"/>
      <c r="N1202" s="240" t="s">
        <v>63</v>
      </c>
      <c r="O1202" s="119" t="s">
        <v>34</v>
      </c>
      <c r="P1202" s="119" t="s">
        <v>57</v>
      </c>
      <c r="Q1202" s="119" t="s">
        <v>432</v>
      </c>
      <c r="R1202" s="234"/>
      <c r="S1202" s="273"/>
      <c r="T1202" s="274"/>
      <c r="U1202" s="73" t="s">
        <v>109</v>
      </c>
      <c r="V1202" s="216">
        <v>46220</v>
      </c>
      <c r="W1202" s="118" t="s">
        <v>3061</v>
      </c>
      <c r="X1202" s="119" t="s">
        <v>40</v>
      </c>
      <c r="Y1202" s="120">
        <v>46225</v>
      </c>
      <c r="Z1202" s="120">
        <v>46226</v>
      </c>
      <c r="AA1202" s="244">
        <v>146270</v>
      </c>
      <c r="AB1202" s="241" t="s">
        <v>3062</v>
      </c>
      <c r="AC1202" s="241"/>
      <c r="AD1202" s="244">
        <v>1</v>
      </c>
    </row>
    <row r="1203" spans="1:30" ht="15" customHeight="1">
      <c r="A1203" s="237">
        <v>31065</v>
      </c>
      <c r="B1203" s="121">
        <v>1</v>
      </c>
      <c r="C1203" s="238">
        <v>46210</v>
      </c>
      <c r="D1203" s="105">
        <f t="shared" ca="1" si="74"/>
        <v>17</v>
      </c>
      <c r="E1203" s="138" t="str">
        <f t="shared" ca="1" si="75"/>
        <v>CRÍTICO</v>
      </c>
      <c r="F1203" s="230" t="s">
        <v>42</v>
      </c>
      <c r="G1203" s="147" t="s">
        <v>69</v>
      </c>
      <c r="H1203" s="117" t="s">
        <v>91</v>
      </c>
      <c r="I1203" s="117" t="str">
        <f>IF(X1203="ADMITIDO","ADMITIDO",IF(X1203="CANCELADA","CANCELADA",IF(H1203="","",IFERROR(_xlfn.XLOOKUP(H1203,Listas!I:I,Listas!J:J),"OUTROS"))))</f>
        <v>TRIAGEM</v>
      </c>
      <c r="J1203" s="240" t="s">
        <v>53</v>
      </c>
      <c r="K1203" s="240" t="s">
        <v>70</v>
      </c>
      <c r="L1203" s="240" t="s">
        <v>769</v>
      </c>
      <c r="M1203" s="240"/>
      <c r="N1203" s="240" t="s">
        <v>63</v>
      </c>
      <c r="O1203" s="119" t="s">
        <v>34</v>
      </c>
      <c r="P1203" s="119" t="s">
        <v>48</v>
      </c>
      <c r="Q1203" s="119" t="s">
        <v>3063</v>
      </c>
      <c r="R1203" s="273"/>
      <c r="S1203" s="273"/>
      <c r="T1203" s="274"/>
      <c r="U1203" s="73"/>
      <c r="V1203" s="216"/>
      <c r="W1203" s="118"/>
      <c r="X1203" s="119"/>
      <c r="Y1203" s="120"/>
      <c r="Z1203" s="120"/>
      <c r="AA1203" s="244"/>
      <c r="AB1203" s="241"/>
      <c r="AC1203" s="241"/>
      <c r="AD1203" s="244">
        <v>0</v>
      </c>
    </row>
    <row r="1204" spans="1:30" ht="15" customHeight="1">
      <c r="A1204" s="237">
        <v>31078</v>
      </c>
      <c r="B1204" s="121">
        <v>1</v>
      </c>
      <c r="C1204" s="238">
        <v>46210</v>
      </c>
      <c r="D1204" s="105">
        <f t="shared" ca="1" si="74"/>
        <v>17</v>
      </c>
      <c r="E1204" s="138" t="str">
        <f t="shared" si="75"/>
        <v>ADMITIDO</v>
      </c>
      <c r="F1204" s="230" t="s">
        <v>28</v>
      </c>
      <c r="G1204" s="147" t="s">
        <v>29</v>
      </c>
      <c r="H1204" s="117" t="s">
        <v>40</v>
      </c>
      <c r="I1204" s="117" t="str">
        <f>IF(X1204="ADMITIDO","ADMITIDO",IF(X1204="CANCELADA","CANCELADA",IF(H1204="","",IFERROR(_xlfn.XLOOKUP(H1204,Listas!I:I,Listas!J:J),"OUTROS"))))</f>
        <v>ADMITIDO</v>
      </c>
      <c r="J1204" s="240" t="s">
        <v>146</v>
      </c>
      <c r="K1204" s="240" t="s">
        <v>2936</v>
      </c>
      <c r="L1204" s="240" t="s">
        <v>147</v>
      </c>
      <c r="M1204" s="240"/>
      <c r="N1204" s="240" t="s">
        <v>148</v>
      </c>
      <c r="O1204" s="119" t="s">
        <v>34</v>
      </c>
      <c r="P1204" s="119" t="s">
        <v>35</v>
      </c>
      <c r="Q1204" s="119" t="s">
        <v>176</v>
      </c>
      <c r="R1204" s="273" t="s">
        <v>3064</v>
      </c>
      <c r="S1204" s="273"/>
      <c r="T1204" s="274" t="s">
        <v>3065</v>
      </c>
      <c r="U1204" s="73" t="s">
        <v>38</v>
      </c>
      <c r="V1204" s="216" t="s">
        <v>3066</v>
      </c>
      <c r="W1204" s="118" t="s">
        <v>3067</v>
      </c>
      <c r="X1204" s="119" t="s">
        <v>40</v>
      </c>
      <c r="Y1204" s="120">
        <v>46223</v>
      </c>
      <c r="Z1204" s="120">
        <v>46224</v>
      </c>
      <c r="AA1204" s="244">
        <v>914640</v>
      </c>
      <c r="AB1204" s="241"/>
      <c r="AC1204" s="241"/>
      <c r="AD1204" s="244">
        <v>0</v>
      </c>
    </row>
    <row r="1205" spans="1:30" ht="15" customHeight="1">
      <c r="A1205" s="237">
        <v>31053</v>
      </c>
      <c r="B1205" s="121">
        <v>1</v>
      </c>
      <c r="C1205" s="238">
        <v>46210</v>
      </c>
      <c r="D1205" s="105">
        <f t="shared" ca="1" si="74"/>
        <v>17</v>
      </c>
      <c r="E1205" s="138" t="str">
        <f t="shared" ca="1" si="75"/>
        <v>CRÍTICO</v>
      </c>
      <c r="F1205" s="230" t="s">
        <v>42</v>
      </c>
      <c r="G1205" s="147" t="s">
        <v>102</v>
      </c>
      <c r="H1205" s="117" t="s">
        <v>279</v>
      </c>
      <c r="I1205" s="117" t="str">
        <f>IF(X1205="ADMITIDO","ADMITIDO",IF(X1205="CANCELADA","CANCELADA",IF(H1205="","",IFERROR(_xlfn.XLOOKUP(H1205,Listas!I:I,Listas!J:J),"OUTROS"))))</f>
        <v>DOCUMENTAÇÃO</v>
      </c>
      <c r="J1205" s="240" t="s">
        <v>53</v>
      </c>
      <c r="K1205" s="240" t="s">
        <v>103</v>
      </c>
      <c r="L1205" s="240" t="s">
        <v>194</v>
      </c>
      <c r="M1205" s="240"/>
      <c r="N1205" s="240" t="s">
        <v>63</v>
      </c>
      <c r="O1205" s="119" t="s">
        <v>34</v>
      </c>
      <c r="P1205" s="119" t="s">
        <v>72</v>
      </c>
      <c r="Q1205" s="119" t="s">
        <v>223</v>
      </c>
      <c r="R1205" s="273" t="s">
        <v>3068</v>
      </c>
      <c r="S1205" s="273"/>
      <c r="T1205" s="274"/>
      <c r="U1205" s="73" t="s">
        <v>109</v>
      </c>
      <c r="V1205" s="216">
        <v>46226</v>
      </c>
      <c r="W1205" s="118" t="s">
        <v>3069</v>
      </c>
      <c r="X1205" s="119" t="s">
        <v>284</v>
      </c>
      <c r="Y1205" s="120"/>
      <c r="Z1205" s="120"/>
      <c r="AA1205" s="244"/>
      <c r="AB1205" s="241" t="s">
        <v>3070</v>
      </c>
      <c r="AC1205" s="241"/>
      <c r="AD1205" s="244">
        <v>1</v>
      </c>
    </row>
    <row r="1206" spans="1:30" ht="15" customHeight="1">
      <c r="A1206" s="237">
        <v>31054</v>
      </c>
      <c r="B1206" s="121">
        <v>1</v>
      </c>
      <c r="C1206" s="238">
        <v>46210</v>
      </c>
      <c r="D1206" s="105">
        <f t="shared" ca="1" si="74"/>
        <v>17</v>
      </c>
      <c r="E1206" s="138" t="str">
        <f t="shared" ca="1" si="75"/>
        <v>CRÍTICO</v>
      </c>
      <c r="F1206" s="230" t="s">
        <v>42</v>
      </c>
      <c r="G1206" s="147" t="s">
        <v>102</v>
      </c>
      <c r="H1206" s="117" t="s">
        <v>181</v>
      </c>
      <c r="I1206" s="117" t="str">
        <f>IF(X1206="ADMITIDO","ADMITIDO",IF(X1206="CANCELADA","CANCELADA",IF(H1206="","",IFERROR(_xlfn.XLOOKUP(H1206,Listas!I:I,Listas!J:J),"OUTROS"))))</f>
        <v>DOCUMENTAÇÃO</v>
      </c>
      <c r="J1206" s="240" t="s">
        <v>53</v>
      </c>
      <c r="K1206" s="240" t="s">
        <v>103</v>
      </c>
      <c r="L1206" s="240" t="s">
        <v>194</v>
      </c>
      <c r="M1206" s="240"/>
      <c r="N1206" s="240" t="s">
        <v>63</v>
      </c>
      <c r="O1206" s="119" t="s">
        <v>34</v>
      </c>
      <c r="P1206" s="119" t="s">
        <v>72</v>
      </c>
      <c r="Q1206" s="119" t="s">
        <v>223</v>
      </c>
      <c r="R1206" s="273"/>
      <c r="S1206" s="273" t="s">
        <v>1533</v>
      </c>
      <c r="T1206" s="274"/>
      <c r="U1206" s="73" t="s">
        <v>109</v>
      </c>
      <c r="V1206" s="216">
        <v>46226</v>
      </c>
      <c r="W1206" s="118" t="s">
        <v>3071</v>
      </c>
      <c r="X1206" s="119" t="s">
        <v>284</v>
      </c>
      <c r="Y1206" s="120"/>
      <c r="Z1206" s="120"/>
      <c r="AA1206" s="244"/>
      <c r="AB1206" s="241"/>
      <c r="AC1206" s="241"/>
      <c r="AD1206" s="244">
        <v>0</v>
      </c>
    </row>
    <row r="1207" spans="1:30" ht="15" customHeight="1">
      <c r="A1207" s="237">
        <v>31088</v>
      </c>
      <c r="B1207" s="121">
        <v>1</v>
      </c>
      <c r="C1207" s="238">
        <v>46211</v>
      </c>
      <c r="D1207" s="105">
        <f t="shared" ca="1" si="74"/>
        <v>16</v>
      </c>
      <c r="E1207" s="138" t="str">
        <f t="shared" si="75"/>
        <v>ADMITIDO</v>
      </c>
      <c r="F1207" s="230" t="s">
        <v>42</v>
      </c>
      <c r="G1207" s="147" t="s">
        <v>663</v>
      </c>
      <c r="H1207" s="117" t="s">
        <v>40</v>
      </c>
      <c r="I1207" s="117" t="str">
        <f>IF(X1207="ADMITIDO","ADMITIDO",IF(X1207="CANCELADA","CANCELADA",IF(H1207="","",IFERROR(_xlfn.XLOOKUP(H1207,Listas!I:I,Listas!J:J),"OUTROS"))))</f>
        <v>ADMITIDO</v>
      </c>
      <c r="J1207" s="240" t="s">
        <v>44</v>
      </c>
      <c r="K1207" s="240" t="s">
        <v>2889</v>
      </c>
      <c r="L1207" s="240" t="s">
        <v>348</v>
      </c>
      <c r="M1207" s="240"/>
      <c r="N1207" s="240" t="s">
        <v>33</v>
      </c>
      <c r="O1207" s="119" t="s">
        <v>34</v>
      </c>
      <c r="P1207" s="119" t="s">
        <v>48</v>
      </c>
      <c r="Q1207" s="119" t="s">
        <v>120</v>
      </c>
      <c r="R1207" s="273"/>
      <c r="S1207" s="273"/>
      <c r="T1207" s="274" t="s">
        <v>3072</v>
      </c>
      <c r="U1207" s="73" t="s">
        <v>38</v>
      </c>
      <c r="V1207" s="216">
        <v>46241</v>
      </c>
      <c r="W1207" s="118" t="s">
        <v>3073</v>
      </c>
      <c r="X1207" s="119" t="s">
        <v>40</v>
      </c>
      <c r="Y1207" s="120">
        <v>46223</v>
      </c>
      <c r="Z1207" s="120">
        <v>46224</v>
      </c>
      <c r="AA1207" s="244">
        <v>146242</v>
      </c>
      <c r="AB1207" s="120" t="s">
        <v>3074</v>
      </c>
      <c r="AC1207" s="346"/>
      <c r="AD1207" s="244">
        <v>0</v>
      </c>
    </row>
    <row r="1208" spans="1:30" ht="15" customHeight="1">
      <c r="A1208" s="237">
        <v>31089</v>
      </c>
      <c r="B1208" s="121">
        <v>1</v>
      </c>
      <c r="C1208" s="238">
        <v>46211</v>
      </c>
      <c r="D1208" s="105">
        <f t="shared" ca="1" si="74"/>
        <v>16</v>
      </c>
      <c r="E1208" s="138" t="str">
        <f t="shared" si="75"/>
        <v>ADMITIDO</v>
      </c>
      <c r="F1208" s="230" t="s">
        <v>42</v>
      </c>
      <c r="G1208" s="147" t="s">
        <v>663</v>
      </c>
      <c r="H1208" s="117" t="s">
        <v>40</v>
      </c>
      <c r="I1208" s="117" t="str">
        <f>IF(X1208="ADMITIDO","ADMITIDO",IF(X1208="CANCELADA","CANCELADA",IF(H1208="","",IFERROR(_xlfn.XLOOKUP(H1208,Listas!I:I,Listas!J:J),"OUTROS"))))</f>
        <v>ADMITIDO</v>
      </c>
      <c r="J1208" s="240" t="s">
        <v>44</v>
      </c>
      <c r="K1208" s="240" t="s">
        <v>2889</v>
      </c>
      <c r="L1208" s="240" t="s">
        <v>348</v>
      </c>
      <c r="M1208" s="240"/>
      <c r="N1208" s="240" t="s">
        <v>33</v>
      </c>
      <c r="O1208" s="119" t="s">
        <v>34</v>
      </c>
      <c r="P1208" s="119" t="s">
        <v>48</v>
      </c>
      <c r="Q1208" s="119" t="s">
        <v>120</v>
      </c>
      <c r="R1208" s="273"/>
      <c r="S1208" s="273"/>
      <c r="T1208" s="274" t="s">
        <v>3075</v>
      </c>
      <c r="U1208" s="73" t="s">
        <v>38</v>
      </c>
      <c r="V1208" s="216">
        <v>46241</v>
      </c>
      <c r="W1208" s="118" t="s">
        <v>3076</v>
      </c>
      <c r="X1208" s="119" t="s">
        <v>40</v>
      </c>
      <c r="Y1208" s="120">
        <v>46223</v>
      </c>
      <c r="Z1208" s="120">
        <v>46224</v>
      </c>
      <c r="AA1208" s="244">
        <v>146226</v>
      </c>
      <c r="AB1208" s="535" t="s">
        <v>3074</v>
      </c>
      <c r="AC1208" s="241" t="s">
        <v>1160</v>
      </c>
      <c r="AD1208" s="536">
        <v>0</v>
      </c>
    </row>
    <row r="1209" spans="1:30" ht="15" customHeight="1">
      <c r="A1209" s="237">
        <v>31090</v>
      </c>
      <c r="B1209" s="121">
        <v>1</v>
      </c>
      <c r="C1209" s="238">
        <v>46211</v>
      </c>
      <c r="D1209" s="105">
        <f t="shared" ca="1" si="74"/>
        <v>16</v>
      </c>
      <c r="E1209" s="138" t="str">
        <f t="shared" si="75"/>
        <v>ADMITIDO</v>
      </c>
      <c r="F1209" s="230" t="s">
        <v>42</v>
      </c>
      <c r="G1209" s="147" t="s">
        <v>663</v>
      </c>
      <c r="H1209" s="117" t="s">
        <v>40</v>
      </c>
      <c r="I1209" s="117" t="str">
        <f>IF(X1209="ADMITIDO","ADMITIDO",IF(X1209="CANCELADA","CANCELADA",IF(H1209="","",IFERROR(_xlfn.XLOOKUP(H1209,Listas!I:I,Listas!J:J),"OUTROS"))))</f>
        <v>ADMITIDO</v>
      </c>
      <c r="J1209" s="240" t="s">
        <v>44</v>
      </c>
      <c r="K1209" s="240" t="s">
        <v>2889</v>
      </c>
      <c r="L1209" s="240" t="s">
        <v>348</v>
      </c>
      <c r="M1209" s="240"/>
      <c r="N1209" s="240" t="s">
        <v>33</v>
      </c>
      <c r="O1209" s="119" t="s">
        <v>34</v>
      </c>
      <c r="P1209" s="119" t="s">
        <v>48</v>
      </c>
      <c r="Q1209" s="119" t="s">
        <v>120</v>
      </c>
      <c r="R1209" s="273"/>
      <c r="S1209" s="273"/>
      <c r="T1209" s="274" t="s">
        <v>3077</v>
      </c>
      <c r="U1209" s="73" t="s">
        <v>38</v>
      </c>
      <c r="V1209" s="216">
        <v>46241</v>
      </c>
      <c r="W1209" s="118" t="s">
        <v>3078</v>
      </c>
      <c r="X1209" s="119" t="s">
        <v>40</v>
      </c>
      <c r="Y1209" s="120">
        <v>46223</v>
      </c>
      <c r="Z1209" s="120">
        <v>46224</v>
      </c>
      <c r="AA1209" s="244">
        <v>146227</v>
      </c>
      <c r="AB1209" s="535" t="s">
        <v>3074</v>
      </c>
      <c r="AC1209" s="241" t="s">
        <v>1160</v>
      </c>
      <c r="AD1209" s="536">
        <v>0</v>
      </c>
    </row>
    <row r="1210" spans="1:30" ht="15" customHeight="1">
      <c r="A1210" s="237">
        <v>31091</v>
      </c>
      <c r="B1210" s="121">
        <v>1</v>
      </c>
      <c r="C1210" s="238">
        <v>46211</v>
      </c>
      <c r="D1210" s="105">
        <f t="shared" ca="1" si="74"/>
        <v>16</v>
      </c>
      <c r="E1210" s="138" t="str">
        <f t="shared" si="75"/>
        <v>ADMITIDO</v>
      </c>
      <c r="F1210" s="230" t="s">
        <v>42</v>
      </c>
      <c r="G1210" s="147" t="s">
        <v>663</v>
      </c>
      <c r="H1210" s="117" t="s">
        <v>40</v>
      </c>
      <c r="I1210" s="117" t="str">
        <f>IF(X1210="ADMITIDO","ADMITIDO",IF(X1210="CANCELADA","CANCELADA",IF(H1210="","",IFERROR(_xlfn.XLOOKUP(H1210,Listas!I:I,Listas!J:J),"OUTROS"))))</f>
        <v>ADMITIDO</v>
      </c>
      <c r="J1210" s="240" t="s">
        <v>44</v>
      </c>
      <c r="K1210" s="240" t="s">
        <v>2889</v>
      </c>
      <c r="L1210" s="240" t="s">
        <v>348</v>
      </c>
      <c r="M1210" s="240"/>
      <c r="N1210" s="240" t="s">
        <v>33</v>
      </c>
      <c r="O1210" s="119" t="s">
        <v>34</v>
      </c>
      <c r="P1210" s="119" t="s">
        <v>48</v>
      </c>
      <c r="Q1210" s="119" t="s">
        <v>120</v>
      </c>
      <c r="R1210" s="273"/>
      <c r="S1210" s="273"/>
      <c r="T1210" s="274" t="s">
        <v>3079</v>
      </c>
      <c r="U1210" s="73" t="s">
        <v>38</v>
      </c>
      <c r="V1210" s="216">
        <v>46241</v>
      </c>
      <c r="W1210" s="118" t="s">
        <v>3080</v>
      </c>
      <c r="X1210" s="119" t="s">
        <v>40</v>
      </c>
      <c r="Y1210" s="120">
        <v>46223</v>
      </c>
      <c r="Z1210" s="120">
        <v>46224</v>
      </c>
      <c r="AA1210" s="244">
        <v>146225</v>
      </c>
      <c r="AB1210" s="535" t="s">
        <v>3074</v>
      </c>
      <c r="AC1210" s="241" t="s">
        <v>1160</v>
      </c>
      <c r="AD1210" s="536">
        <v>0</v>
      </c>
    </row>
    <row r="1211" spans="1:30" ht="15" customHeight="1">
      <c r="A1211" s="237">
        <v>31077</v>
      </c>
      <c r="B1211" s="121">
        <v>1</v>
      </c>
      <c r="C1211" s="238">
        <v>46211</v>
      </c>
      <c r="D1211" s="105">
        <f t="shared" ca="1" si="74"/>
        <v>16</v>
      </c>
      <c r="E1211" s="138" t="str">
        <f t="shared" si="75"/>
        <v>ADMITIDO</v>
      </c>
      <c r="F1211" s="230" t="s">
        <v>28</v>
      </c>
      <c r="G1211" s="147" t="s">
        <v>102</v>
      </c>
      <c r="H1211" s="117" t="s">
        <v>40</v>
      </c>
      <c r="I1211" s="117" t="s">
        <v>40</v>
      </c>
      <c r="J1211" s="240" t="s">
        <v>586</v>
      </c>
      <c r="K1211" s="240" t="s">
        <v>371</v>
      </c>
      <c r="L1211" s="240" t="s">
        <v>801</v>
      </c>
      <c r="M1211" s="240"/>
      <c r="N1211" s="240" t="s">
        <v>802</v>
      </c>
      <c r="O1211" s="119" t="s">
        <v>34</v>
      </c>
      <c r="P1211" s="119" t="s">
        <v>35</v>
      </c>
      <c r="Q1211" s="119" t="s">
        <v>36</v>
      </c>
      <c r="R1211" s="273" t="s">
        <v>3081</v>
      </c>
      <c r="S1211" s="273"/>
      <c r="T1211" s="274"/>
      <c r="U1211" s="73" t="s">
        <v>109</v>
      </c>
      <c r="V1211" s="216">
        <v>46216</v>
      </c>
      <c r="W1211" s="118" t="s">
        <v>3082</v>
      </c>
      <c r="X1211" s="119" t="s">
        <v>40</v>
      </c>
      <c r="Y1211" s="120">
        <v>46219</v>
      </c>
      <c r="Z1211" s="120">
        <v>46223</v>
      </c>
      <c r="AA1211" s="244">
        <v>916246</v>
      </c>
      <c r="AB1211" s="241" t="s">
        <v>3083</v>
      </c>
      <c r="AC1211" s="351"/>
      <c r="AD1211" s="244">
        <v>0</v>
      </c>
    </row>
    <row r="1212" spans="1:30" ht="15" customHeight="1">
      <c r="A1212" s="237">
        <v>31085</v>
      </c>
      <c r="B1212" s="121">
        <v>1</v>
      </c>
      <c r="C1212" s="238">
        <v>46211</v>
      </c>
      <c r="D1212" s="105">
        <f t="shared" ca="1" si="74"/>
        <v>16</v>
      </c>
      <c r="E1212" s="138" t="str">
        <f t="shared" ca="1" si="75"/>
        <v>CRÍTICO</v>
      </c>
      <c r="F1212" s="230" t="s">
        <v>28</v>
      </c>
      <c r="G1212" s="147" t="s">
        <v>240</v>
      </c>
      <c r="H1212" s="117" t="s">
        <v>91</v>
      </c>
      <c r="I1212" s="117" t="str">
        <f>IF(X1212="ADMITIDO","ADMITIDO",IF(X1212="CANCELADA","CANCELADA",IF(H1212="","",IFERROR(_xlfn.XLOOKUP(H1212,Listas!I:I,Listas!J:J),"OUTROS"))))</f>
        <v>TRIAGEM</v>
      </c>
      <c r="J1212" s="240" t="s">
        <v>683</v>
      </c>
      <c r="K1212" s="240" t="s">
        <v>423</v>
      </c>
      <c r="L1212" s="240" t="s">
        <v>684</v>
      </c>
      <c r="M1212" s="240"/>
      <c r="N1212" s="240" t="s">
        <v>63</v>
      </c>
      <c r="O1212" s="119" t="s">
        <v>34</v>
      </c>
      <c r="P1212" s="119" t="s">
        <v>35</v>
      </c>
      <c r="Q1212" s="119" t="s">
        <v>36</v>
      </c>
      <c r="R1212" s="273"/>
      <c r="S1212" s="273"/>
      <c r="T1212" s="274"/>
      <c r="U1212" s="73"/>
      <c r="V1212" s="216"/>
      <c r="W1212" s="118"/>
      <c r="X1212" s="119"/>
      <c r="Y1212" s="120"/>
      <c r="Z1212" s="120"/>
      <c r="AA1212" s="244"/>
      <c r="AB1212" s="241"/>
      <c r="AC1212" s="241"/>
      <c r="AD1212" s="244">
        <v>0</v>
      </c>
    </row>
    <row r="1213" spans="1:30" ht="15" customHeight="1">
      <c r="A1213" s="237">
        <v>31096</v>
      </c>
      <c r="B1213" s="121">
        <v>1</v>
      </c>
      <c r="C1213" s="238">
        <v>46211</v>
      </c>
      <c r="D1213" s="105">
        <f t="shared" ca="1" si="74"/>
        <v>16</v>
      </c>
      <c r="E1213" s="138" t="str">
        <f t="shared" si="75"/>
        <v>ADMITIDO</v>
      </c>
      <c r="F1213" s="230" t="s">
        <v>28</v>
      </c>
      <c r="G1213" s="147" t="s">
        <v>240</v>
      </c>
      <c r="H1213" s="117" t="s">
        <v>181</v>
      </c>
      <c r="I1213" s="117" t="str">
        <f>IF(X1213="ADMITIDO","ADMITIDO",IF(X1213="CANCELADA","CANCELADA",IF(H1213="","",IFERROR(_xlfn.XLOOKUP(H1213,Listas!I:I,Listas!J:J),"OUTROS"))))</f>
        <v>ADMITIDO</v>
      </c>
      <c r="J1213" s="240" t="s">
        <v>683</v>
      </c>
      <c r="K1213" s="240" t="s">
        <v>423</v>
      </c>
      <c r="L1213" s="240" t="s">
        <v>684</v>
      </c>
      <c r="M1213" s="240"/>
      <c r="N1213" s="240" t="s">
        <v>63</v>
      </c>
      <c r="O1213" s="119" t="s">
        <v>34</v>
      </c>
      <c r="P1213" s="119" t="s">
        <v>35</v>
      </c>
      <c r="Q1213" s="119" t="s">
        <v>1241</v>
      </c>
      <c r="R1213" s="273"/>
      <c r="S1213" s="273" t="s">
        <v>1799</v>
      </c>
      <c r="T1213" s="274"/>
      <c r="U1213" s="73" t="s">
        <v>109</v>
      </c>
      <c r="V1213" s="216">
        <v>46219</v>
      </c>
      <c r="W1213" s="118" t="s">
        <v>3084</v>
      </c>
      <c r="X1213" s="119" t="s">
        <v>40</v>
      </c>
      <c r="Y1213" s="120">
        <v>46225</v>
      </c>
      <c r="Z1213" s="120">
        <v>46227</v>
      </c>
      <c r="AA1213" s="244">
        <v>914666</v>
      </c>
      <c r="AB1213" s="241"/>
      <c r="AC1213" s="241"/>
      <c r="AD1213" s="244">
        <v>0</v>
      </c>
    </row>
    <row r="1214" spans="1:30" ht="15" customHeight="1">
      <c r="A1214" s="237">
        <v>30968</v>
      </c>
      <c r="B1214" s="121">
        <v>1</v>
      </c>
      <c r="C1214" s="238">
        <v>46211</v>
      </c>
      <c r="D1214" s="105">
        <f ca="1">TODAY()-C1214</f>
        <v>16</v>
      </c>
      <c r="E1214" s="138" t="str">
        <f ca="1">IF(X1214="ADMITIDO","ADMITIDO",IF(X1214="CANCELADA","CANCELADA",IF(H1214="","",IF(H1214="ADMITIDO","ADMITIDO",IF(H1214="CANCELADA","CANCELADA",IF(OR(H1214="ANALISE CANCELAMENTO",H1214="ANÁLISE CANCELAMENTO"),"EM ANÁLISE",IF(D1214="","",IF(D1214&lt;=7,"NO PRAZO",IF(D1214&lt;=14,"ATENÇÃO","CRÍTICO")))))))))</f>
        <v>CRÍTICO</v>
      </c>
      <c r="F1214" s="230" t="s">
        <v>42</v>
      </c>
      <c r="G1214" s="147" t="s">
        <v>663</v>
      </c>
      <c r="H1214" s="117" t="s">
        <v>181</v>
      </c>
      <c r="I1214" s="117" t="str">
        <f>IF(X1214="ADMITIDO","ADMITIDO",IF(X1214="CANCELADA","CANCELADA",IF(H1214="","",IFERROR(_xlfn.XLOOKUP(H1214,Listas!I:I,Listas!J:J),"OUTROS"))))</f>
        <v>DOCUMENTAÇÃO</v>
      </c>
      <c r="J1214" s="240" t="s">
        <v>53</v>
      </c>
      <c r="K1214" s="240" t="s">
        <v>54</v>
      </c>
      <c r="L1214" s="240" t="s">
        <v>434</v>
      </c>
      <c r="M1214" s="240"/>
      <c r="N1214" s="240" t="s">
        <v>435</v>
      </c>
      <c r="O1214" s="119" t="s">
        <v>34</v>
      </c>
      <c r="P1214" s="119" t="s">
        <v>57</v>
      </c>
      <c r="Q1214" s="119" t="s">
        <v>1437</v>
      </c>
      <c r="R1214" s="273"/>
      <c r="S1214" s="273"/>
      <c r="T1214" s="274" t="s">
        <v>3085</v>
      </c>
      <c r="U1214" s="73" t="s">
        <v>38</v>
      </c>
      <c r="V1214" s="216" t="s">
        <v>2220</v>
      </c>
      <c r="W1214" s="526" t="s">
        <v>3086</v>
      </c>
      <c r="X1214" s="119" t="s">
        <v>810</v>
      </c>
      <c r="Y1214" s="120"/>
      <c r="Z1214" s="120"/>
      <c r="AA1214" s="244"/>
      <c r="AB1214" s="241"/>
      <c r="AC1214" s="241"/>
      <c r="AD1214" s="244">
        <v>0</v>
      </c>
    </row>
    <row r="1215" spans="1:30" ht="15" customHeight="1">
      <c r="A1215" s="237">
        <v>31093</v>
      </c>
      <c r="B1215" s="121">
        <v>1</v>
      </c>
      <c r="C1215" s="238">
        <v>46211</v>
      </c>
      <c r="D1215" s="105">
        <f t="shared" ca="1" si="74"/>
        <v>16</v>
      </c>
      <c r="E1215" s="138" t="str">
        <f t="shared" si="75"/>
        <v>ADMITIDO</v>
      </c>
      <c r="F1215" s="230" t="s">
        <v>28</v>
      </c>
      <c r="G1215" s="147" t="s">
        <v>102</v>
      </c>
      <c r="H1215" s="117" t="s">
        <v>40</v>
      </c>
      <c r="I1215" s="117" t="str">
        <f>IF(X1215="ADMITIDO","ADMITIDO",IF(X1215="CANCELADA","CANCELADA",IF(H1215="","",IFERROR(_xlfn.XLOOKUP(H1215,Listas!I:I,Listas!J:J),"OUTROS"))))</f>
        <v>ADMITIDO</v>
      </c>
      <c r="J1215" s="240" t="s">
        <v>3087</v>
      </c>
      <c r="K1215" s="240" t="s">
        <v>371</v>
      </c>
      <c r="L1215" s="240" t="s">
        <v>895</v>
      </c>
      <c r="M1215" s="240"/>
      <c r="N1215" s="240" t="s">
        <v>391</v>
      </c>
      <c r="O1215" s="119" t="s">
        <v>34</v>
      </c>
      <c r="P1215" s="119" t="s">
        <v>48</v>
      </c>
      <c r="Q1215" s="119" t="s">
        <v>120</v>
      </c>
      <c r="R1215" s="273"/>
      <c r="S1215" s="273" t="s">
        <v>1533</v>
      </c>
      <c r="T1215" s="274" t="s">
        <v>3088</v>
      </c>
      <c r="U1215" s="73" t="s">
        <v>109</v>
      </c>
      <c r="V1215" s="216">
        <v>46219</v>
      </c>
      <c r="W1215" s="118" t="s">
        <v>3089</v>
      </c>
      <c r="X1215" s="119" t="s">
        <v>40</v>
      </c>
      <c r="Y1215" s="120">
        <v>46223</v>
      </c>
      <c r="Z1215" s="120">
        <v>46226</v>
      </c>
      <c r="AA1215" s="244">
        <v>914660</v>
      </c>
      <c r="AB1215" s="241"/>
      <c r="AC1215" s="241"/>
      <c r="AD1215" s="244">
        <v>0</v>
      </c>
    </row>
    <row r="1216" spans="1:30" ht="15" customHeight="1">
      <c r="A1216" s="237">
        <v>31103</v>
      </c>
      <c r="B1216" s="121">
        <v>1</v>
      </c>
      <c r="C1216" s="238">
        <v>46211</v>
      </c>
      <c r="D1216" s="105">
        <f t="shared" ca="1" si="74"/>
        <v>16</v>
      </c>
      <c r="E1216" s="138" t="str">
        <f t="shared" si="75"/>
        <v>ADMITIDO</v>
      </c>
      <c r="F1216" s="230" t="s">
        <v>28</v>
      </c>
      <c r="G1216" s="147" t="s">
        <v>102</v>
      </c>
      <c r="H1216" s="382" t="s">
        <v>40</v>
      </c>
      <c r="I1216" s="117" t="str">
        <f>IF(X1216="ADMITIDO","ADMITIDO",IF(X1216="CANCELADA","CANCELADA",IF(H1216="","",IFERROR(_xlfn.XLOOKUP(H1216,Listas!I:I,Listas!J:J),"OUTROS"))))</f>
        <v>ADMITIDO</v>
      </c>
      <c r="J1216" s="240" t="s">
        <v>586</v>
      </c>
      <c r="K1216" s="240" t="s">
        <v>371</v>
      </c>
      <c r="L1216" s="240" t="s">
        <v>3090</v>
      </c>
      <c r="M1216" s="240"/>
      <c r="N1216" s="240" t="s">
        <v>63</v>
      </c>
      <c r="O1216" s="119" t="s">
        <v>34</v>
      </c>
      <c r="P1216" s="119" t="s">
        <v>35</v>
      </c>
      <c r="Q1216" s="119" t="s">
        <v>612</v>
      </c>
      <c r="R1216" s="273" t="s">
        <v>3091</v>
      </c>
      <c r="S1216" s="273" t="s">
        <v>3092</v>
      </c>
      <c r="T1216" s="274"/>
      <c r="U1216" s="73" t="s">
        <v>109</v>
      </c>
      <c r="V1216" s="216">
        <v>46217</v>
      </c>
      <c r="W1216" s="118" t="s">
        <v>3093</v>
      </c>
      <c r="X1216" s="119" t="s">
        <v>40</v>
      </c>
      <c r="Y1216" s="120">
        <v>46220</v>
      </c>
      <c r="Z1216" s="120">
        <v>46224</v>
      </c>
      <c r="AA1216" s="244">
        <v>914650</v>
      </c>
      <c r="AB1216" s="241"/>
      <c r="AC1216" s="241"/>
      <c r="AD1216" s="244">
        <v>0</v>
      </c>
    </row>
    <row r="1217" spans="1:30" ht="15" customHeight="1">
      <c r="A1217" s="237">
        <v>31097</v>
      </c>
      <c r="B1217" s="121">
        <v>1</v>
      </c>
      <c r="C1217" s="238">
        <v>46211</v>
      </c>
      <c r="D1217" s="105">
        <f t="shared" ca="1" si="74"/>
        <v>16</v>
      </c>
      <c r="E1217" s="138" t="str">
        <f t="shared" si="75"/>
        <v>ADMITIDO</v>
      </c>
      <c r="F1217" s="230" t="s">
        <v>42</v>
      </c>
      <c r="G1217" s="147" t="s">
        <v>69</v>
      </c>
      <c r="H1217" s="117" t="s">
        <v>40</v>
      </c>
      <c r="I1217" s="117" t="str">
        <f>IF(X1217="ADMITIDO","ADMITIDO",IF(X1217="CANCELADA","CANCELADA",IF(H1217="","",IFERROR(_xlfn.XLOOKUP(H1217,Listas!I:I,Listas!J:J),"OUTROS"))))</f>
        <v>ADMITIDO</v>
      </c>
      <c r="J1217" s="240" t="s">
        <v>53</v>
      </c>
      <c r="K1217" s="240" t="s">
        <v>158</v>
      </c>
      <c r="L1217" s="240" t="s">
        <v>618</v>
      </c>
      <c r="M1217" s="240"/>
      <c r="N1217" s="240" t="s">
        <v>63</v>
      </c>
      <c r="O1217" s="119" t="s">
        <v>34</v>
      </c>
      <c r="P1217" s="119" t="s">
        <v>219</v>
      </c>
      <c r="Q1217" s="119" t="s">
        <v>619</v>
      </c>
      <c r="R1217" s="273"/>
      <c r="S1217" s="273"/>
      <c r="T1217" s="274"/>
      <c r="U1217" s="73" t="s">
        <v>109</v>
      </c>
      <c r="V1217" s="216">
        <v>46216</v>
      </c>
      <c r="W1217" s="118" t="s">
        <v>3094</v>
      </c>
      <c r="X1217" s="119" t="s">
        <v>40</v>
      </c>
      <c r="Y1217" s="120">
        <v>46219</v>
      </c>
      <c r="Z1217" s="120">
        <v>46223</v>
      </c>
      <c r="AA1217" s="244">
        <v>146245</v>
      </c>
      <c r="AB1217" s="118" t="s">
        <v>3095</v>
      </c>
      <c r="AC1217" s="241"/>
      <c r="AD1217" s="244">
        <v>1</v>
      </c>
    </row>
    <row r="1218" spans="1:30" ht="15" customHeight="1">
      <c r="A1218" s="237">
        <v>31094</v>
      </c>
      <c r="B1218" s="121">
        <v>1</v>
      </c>
      <c r="C1218" s="238">
        <v>46211</v>
      </c>
      <c r="D1218" s="105">
        <f t="shared" ca="1" si="74"/>
        <v>16</v>
      </c>
      <c r="E1218" s="138" t="str">
        <f t="shared" si="75"/>
        <v>ADMITIDO</v>
      </c>
      <c r="F1218" s="230" t="s">
        <v>28</v>
      </c>
      <c r="G1218" s="147" t="s">
        <v>102</v>
      </c>
      <c r="H1218" s="117" t="s">
        <v>40</v>
      </c>
      <c r="I1218" s="117" t="str">
        <f>IF(X1218="ADMITIDO","ADMITIDO",IF(X1218="CANCELADA","CANCELADA",IF(H1218="","",IFERROR(_xlfn.XLOOKUP(H1218,Listas!I:I,Listas!J:J),"OUTROS"))))</f>
        <v>ADMITIDO</v>
      </c>
      <c r="J1218" s="240" t="s">
        <v>268</v>
      </c>
      <c r="K1218" s="240" t="s">
        <v>1820</v>
      </c>
      <c r="L1218" s="240" t="s">
        <v>3096</v>
      </c>
      <c r="M1218" s="240"/>
      <c r="N1218" s="240" t="s">
        <v>63</v>
      </c>
      <c r="O1218" s="119" t="s">
        <v>34</v>
      </c>
      <c r="P1218" s="119" t="s">
        <v>35</v>
      </c>
      <c r="Q1218" s="119" t="s">
        <v>905</v>
      </c>
      <c r="R1218" s="273"/>
      <c r="S1218" s="273" t="s">
        <v>1533</v>
      </c>
      <c r="T1218" s="274" t="s">
        <v>3097</v>
      </c>
      <c r="U1218" s="73" t="s">
        <v>132</v>
      </c>
      <c r="V1218" s="216">
        <v>46217</v>
      </c>
      <c r="W1218" s="118" t="s">
        <v>3098</v>
      </c>
      <c r="X1218" s="119" t="s">
        <v>40</v>
      </c>
      <c r="Y1218" s="120">
        <v>46224</v>
      </c>
      <c r="Z1218" s="120">
        <v>46227</v>
      </c>
      <c r="AA1218" s="244">
        <v>914663</v>
      </c>
      <c r="AB1218" s="241"/>
      <c r="AC1218" s="241"/>
      <c r="AD1218" s="244">
        <v>0</v>
      </c>
    </row>
    <row r="1219" spans="1:30" ht="15" customHeight="1">
      <c r="A1219" s="237">
        <v>31100</v>
      </c>
      <c r="B1219" s="121">
        <v>1</v>
      </c>
      <c r="C1219" s="238">
        <v>46211</v>
      </c>
      <c r="D1219" s="105">
        <f t="shared" ca="1" si="74"/>
        <v>16</v>
      </c>
      <c r="E1219" s="138" t="str">
        <f t="shared" ca="1" si="75"/>
        <v>CRÍTICO</v>
      </c>
      <c r="F1219" s="230" t="s">
        <v>28</v>
      </c>
      <c r="G1219" s="147" t="s">
        <v>102</v>
      </c>
      <c r="H1219" s="117" t="s">
        <v>259</v>
      </c>
      <c r="I1219" s="117" t="str">
        <f>IF(X1219="ADMITIDO","ADMITIDO",IF(X1219="CANCELADA","CANCELADA",IF(H1219="","",IFERROR(_xlfn.XLOOKUP(H1219,Listas!I:I,Listas!J:J),"OUTROS"))))</f>
        <v>TRIAGEM</v>
      </c>
      <c r="J1219" s="240" t="s">
        <v>586</v>
      </c>
      <c r="K1219" s="240" t="s">
        <v>371</v>
      </c>
      <c r="L1219" s="240" t="s">
        <v>2683</v>
      </c>
      <c r="M1219" s="240"/>
      <c r="N1219" s="240" t="s">
        <v>391</v>
      </c>
      <c r="O1219" s="119" t="s">
        <v>34</v>
      </c>
      <c r="P1219" s="119" t="s">
        <v>35</v>
      </c>
      <c r="Q1219" s="119" t="s">
        <v>36</v>
      </c>
      <c r="R1219" s="273"/>
      <c r="S1219" s="273"/>
      <c r="T1219" s="274"/>
      <c r="U1219" s="73"/>
      <c r="V1219" s="216"/>
      <c r="W1219" s="118"/>
      <c r="X1219" s="119"/>
      <c r="Y1219" s="120"/>
      <c r="Z1219" s="120"/>
      <c r="AA1219" s="244"/>
      <c r="AB1219" s="241" t="s">
        <v>3099</v>
      </c>
      <c r="AC1219" s="241"/>
      <c r="AD1219" s="244">
        <v>1</v>
      </c>
    </row>
    <row r="1220" spans="1:30" ht="15" customHeight="1">
      <c r="A1220" s="237">
        <v>31092</v>
      </c>
      <c r="B1220" s="121">
        <v>1</v>
      </c>
      <c r="C1220" s="238">
        <v>46211</v>
      </c>
      <c r="D1220" s="105">
        <f t="shared" ca="1" si="74"/>
        <v>16</v>
      </c>
      <c r="E1220" s="138" t="str">
        <f t="shared" si="75"/>
        <v>ADMITIDO</v>
      </c>
      <c r="F1220" s="230" t="s">
        <v>42</v>
      </c>
      <c r="G1220" s="147" t="s">
        <v>552</v>
      </c>
      <c r="H1220" s="117" t="s">
        <v>91</v>
      </c>
      <c r="I1220" s="117" t="str">
        <f>IF(X1220="ADMITIDO","ADMITIDO",IF(X1220="CANCELADA","CANCELADA",IF(H1220="","",IFERROR(_xlfn.XLOOKUP(H1220,Listas!I:I,Listas!J:J),"OUTROS"))))</f>
        <v>ADMITIDO</v>
      </c>
      <c r="J1220" s="240" t="s">
        <v>3100</v>
      </c>
      <c r="K1220" s="240" t="s">
        <v>553</v>
      </c>
      <c r="L1220" s="240" t="s">
        <v>3101</v>
      </c>
      <c r="M1220" s="240"/>
      <c r="N1220" s="240" t="s">
        <v>1186</v>
      </c>
      <c r="O1220" s="119" t="s">
        <v>34</v>
      </c>
      <c r="P1220" s="119" t="s">
        <v>57</v>
      </c>
      <c r="Q1220" s="119" t="s">
        <v>349</v>
      </c>
      <c r="R1220" s="273"/>
      <c r="S1220" s="273"/>
      <c r="T1220" s="274"/>
      <c r="U1220" s="73" t="s">
        <v>552</v>
      </c>
      <c r="V1220" s="216"/>
      <c r="W1220" s="118" t="s">
        <v>3102</v>
      </c>
      <c r="X1220" s="119" t="s">
        <v>40</v>
      </c>
      <c r="Y1220" s="120"/>
      <c r="Z1220" s="120"/>
      <c r="AA1220" s="244">
        <v>914622</v>
      </c>
      <c r="AB1220" s="241"/>
      <c r="AC1220" s="241"/>
      <c r="AD1220" s="244">
        <v>0</v>
      </c>
    </row>
    <row r="1221" spans="1:30" ht="15" customHeight="1">
      <c r="A1221" s="237">
        <v>31095</v>
      </c>
      <c r="B1221" s="121">
        <v>1</v>
      </c>
      <c r="C1221" s="238">
        <v>46211</v>
      </c>
      <c r="D1221" s="105">
        <f t="shared" ca="1" si="74"/>
        <v>16</v>
      </c>
      <c r="E1221" s="138" t="str">
        <f t="shared" si="75"/>
        <v>ADMITIDO</v>
      </c>
      <c r="F1221" s="230" t="s">
        <v>28</v>
      </c>
      <c r="G1221" s="147" t="s">
        <v>240</v>
      </c>
      <c r="H1221" s="117" t="s">
        <v>40</v>
      </c>
      <c r="I1221" s="117" t="str">
        <f>IF(X1221="ADMITIDO","ADMITIDO",IF(X1221="CANCELADA","CANCELADA",IF(H1221="","",IFERROR(_xlfn.XLOOKUP(H1221,Listas!I:I,Listas!J:J),"OUTROS"))))</f>
        <v>ADMITIDO</v>
      </c>
      <c r="J1221" s="240" t="s">
        <v>268</v>
      </c>
      <c r="K1221" s="240" t="s">
        <v>423</v>
      </c>
      <c r="L1221" s="240" t="s">
        <v>1212</v>
      </c>
      <c r="M1221" s="240"/>
      <c r="N1221" s="240" t="s">
        <v>63</v>
      </c>
      <c r="O1221" s="119" t="s">
        <v>34</v>
      </c>
      <c r="P1221" s="119" t="s">
        <v>35</v>
      </c>
      <c r="Q1221" s="119" t="s">
        <v>905</v>
      </c>
      <c r="R1221" s="273"/>
      <c r="S1221" s="273" t="s">
        <v>2902</v>
      </c>
      <c r="T1221" s="274"/>
      <c r="U1221" s="73" t="s">
        <v>109</v>
      </c>
      <c r="V1221" s="216">
        <v>46219</v>
      </c>
      <c r="W1221" s="118" t="s">
        <v>3103</v>
      </c>
      <c r="X1221" s="119" t="s">
        <v>40</v>
      </c>
      <c r="Y1221" s="120">
        <v>46223</v>
      </c>
      <c r="Z1221" s="120">
        <v>46224</v>
      </c>
      <c r="AA1221" s="244">
        <v>914653</v>
      </c>
      <c r="AB1221" s="241"/>
      <c r="AC1221" s="241"/>
      <c r="AD1221" s="244">
        <v>0</v>
      </c>
    </row>
    <row r="1222" spans="1:30" ht="15" customHeight="1">
      <c r="A1222" s="237">
        <v>31102</v>
      </c>
      <c r="B1222" s="121">
        <v>1</v>
      </c>
      <c r="C1222" s="238">
        <v>46211</v>
      </c>
      <c r="D1222" s="105">
        <f t="shared" ca="1" si="74"/>
        <v>16</v>
      </c>
      <c r="E1222" s="138" t="str">
        <f t="shared" ca="1" si="75"/>
        <v>CRÍTICO</v>
      </c>
      <c r="F1222" s="230" t="s">
        <v>28</v>
      </c>
      <c r="G1222" s="147" t="s">
        <v>29</v>
      </c>
      <c r="H1222" s="117" t="s">
        <v>259</v>
      </c>
      <c r="I1222" s="117" t="str">
        <f>IF(X1222="ADMITIDO","ADMITIDO",IF(X1222="CANCELADA","CANCELADA",IF(H1222="","",IFERROR(_xlfn.XLOOKUP(H1222,Listas!I:I,Listas!J:J),"OUTROS"))))</f>
        <v>TRIAGEM</v>
      </c>
      <c r="J1222" s="240" t="s">
        <v>146</v>
      </c>
      <c r="K1222" s="240" t="s">
        <v>31</v>
      </c>
      <c r="L1222" s="240" t="s">
        <v>147</v>
      </c>
      <c r="M1222" s="240"/>
      <c r="N1222" s="240" t="s">
        <v>148</v>
      </c>
      <c r="O1222" s="119" t="s">
        <v>34</v>
      </c>
      <c r="P1222" s="119" t="s">
        <v>35</v>
      </c>
      <c r="Q1222" s="119" t="s">
        <v>36</v>
      </c>
      <c r="R1222" s="273"/>
      <c r="S1222" s="273"/>
      <c r="T1222" s="274"/>
      <c r="U1222" s="73"/>
      <c r="V1222" s="216"/>
      <c r="W1222" s="118"/>
      <c r="X1222" s="119"/>
      <c r="Y1222" s="120"/>
      <c r="Z1222" s="120"/>
      <c r="AA1222" s="244"/>
      <c r="AB1222" s="241" t="s">
        <v>3104</v>
      </c>
      <c r="AC1222" s="241"/>
      <c r="AD1222" s="244">
        <v>1</v>
      </c>
    </row>
    <row r="1223" spans="1:30" ht="15" customHeight="1">
      <c r="A1223" s="237">
        <v>31070</v>
      </c>
      <c r="B1223" s="121">
        <v>1</v>
      </c>
      <c r="C1223" s="238">
        <v>46211</v>
      </c>
      <c r="D1223" s="105">
        <f t="shared" ca="1" si="74"/>
        <v>16</v>
      </c>
      <c r="E1223" s="138" t="str">
        <f t="shared" si="75"/>
        <v>ADMITIDO</v>
      </c>
      <c r="F1223" s="230" t="s">
        <v>42</v>
      </c>
      <c r="G1223" s="147" t="s">
        <v>60</v>
      </c>
      <c r="H1223" s="117" t="s">
        <v>40</v>
      </c>
      <c r="I1223" s="117" t="str">
        <f>IF(X1223="ADMITIDO","ADMITIDO",IF(X1223="CANCELADA","CANCELADA",IF(H1223="","",IFERROR(_xlfn.XLOOKUP(H1223,Listas!I:I,Listas!J:J),"OUTROS"))))</f>
        <v>ADMITIDO</v>
      </c>
      <c r="J1223" s="240" t="s">
        <v>116</v>
      </c>
      <c r="K1223" s="240" t="s">
        <v>117</v>
      </c>
      <c r="L1223" s="240" t="s">
        <v>118</v>
      </c>
      <c r="M1223" s="240"/>
      <c r="N1223" s="240" t="s">
        <v>119</v>
      </c>
      <c r="O1223" s="119" t="s">
        <v>34</v>
      </c>
      <c r="P1223" s="119" t="s">
        <v>48</v>
      </c>
      <c r="Q1223" s="119" t="s">
        <v>120</v>
      </c>
      <c r="R1223" s="273"/>
      <c r="S1223" s="273" t="s">
        <v>1438</v>
      </c>
      <c r="T1223" s="274" t="s">
        <v>3105</v>
      </c>
      <c r="U1223" s="73" t="s">
        <v>109</v>
      </c>
      <c r="V1223" s="216">
        <v>46216</v>
      </c>
      <c r="W1223" s="118" t="s">
        <v>3106</v>
      </c>
      <c r="X1223" s="119" t="s">
        <v>40</v>
      </c>
      <c r="Y1223" s="120">
        <v>46223</v>
      </c>
      <c r="Z1223" s="120">
        <v>46224</v>
      </c>
      <c r="AA1223" s="244">
        <v>146264</v>
      </c>
      <c r="AB1223" s="241"/>
      <c r="AC1223" s="241"/>
      <c r="AD1223" s="244">
        <v>0</v>
      </c>
    </row>
    <row r="1224" spans="1:30" ht="15" customHeight="1">
      <c r="A1224" s="237">
        <v>31114</v>
      </c>
      <c r="B1224" s="121">
        <v>1</v>
      </c>
      <c r="C1224" s="238">
        <v>46213</v>
      </c>
      <c r="D1224" s="105">
        <f t="shared" ca="1" si="74"/>
        <v>14</v>
      </c>
      <c r="E1224" s="138" t="s">
        <v>40</v>
      </c>
      <c r="F1224" s="230" t="s">
        <v>28</v>
      </c>
      <c r="G1224" s="147" t="s">
        <v>43</v>
      </c>
      <c r="H1224" s="117" t="s">
        <v>40</v>
      </c>
      <c r="I1224" s="117" t="str">
        <f>IF(X1224="ADMITIDO","ADMITIDO",IF(X1224="CANCELADA","CANCELADA",IF(H1224="","",IFERROR(_xlfn.XLOOKUP(H1224,Listas!I:I,Listas!J:J),"OUTROS"))))</f>
        <v>ADMITIDO</v>
      </c>
      <c r="J1224" s="240" t="s">
        <v>737</v>
      </c>
      <c r="K1224" s="240" t="s">
        <v>383</v>
      </c>
      <c r="L1224" s="240" t="s">
        <v>3107</v>
      </c>
      <c r="M1224" s="240"/>
      <c r="N1224" s="240" t="s">
        <v>97</v>
      </c>
      <c r="O1224" s="119" t="s">
        <v>56</v>
      </c>
      <c r="P1224" s="119" t="s">
        <v>35</v>
      </c>
      <c r="Q1224" s="119" t="s">
        <v>760</v>
      </c>
      <c r="R1224" s="273"/>
      <c r="S1224" s="273" t="s">
        <v>3108</v>
      </c>
      <c r="T1224" s="274">
        <v>11979913326</v>
      </c>
      <c r="U1224" s="73" t="s">
        <v>50</v>
      </c>
      <c r="V1224" s="216">
        <v>46216</v>
      </c>
      <c r="W1224" s="118" t="s">
        <v>3109</v>
      </c>
      <c r="X1224" s="119" t="s">
        <v>40</v>
      </c>
      <c r="Y1224" s="120">
        <v>46220</v>
      </c>
      <c r="Z1224" s="120">
        <v>46221</v>
      </c>
      <c r="AA1224" s="552">
        <v>916244</v>
      </c>
      <c r="AB1224" s="241"/>
      <c r="AC1224" s="241"/>
      <c r="AD1224" s="244">
        <v>0</v>
      </c>
    </row>
    <row r="1225" spans="1:30" ht="15" customHeight="1">
      <c r="A1225" s="237">
        <v>31118</v>
      </c>
      <c r="B1225" s="121">
        <v>1</v>
      </c>
      <c r="C1225" s="238">
        <v>46213</v>
      </c>
      <c r="D1225" s="105">
        <f t="shared" ca="1" si="74"/>
        <v>14</v>
      </c>
      <c r="E1225" s="138" t="str">
        <f t="shared" ca="1" si="75"/>
        <v>ATENÇÃO</v>
      </c>
      <c r="F1225" s="230" t="s">
        <v>42</v>
      </c>
      <c r="G1225" s="147" t="s">
        <v>60</v>
      </c>
      <c r="H1225" s="117" t="s">
        <v>259</v>
      </c>
      <c r="I1225" s="117" t="str">
        <f>IF(X1225="ADMITIDO","ADMITIDO",IF(X1225="CANCELADA","CANCELADA",IF(H1225="","",IFERROR(_xlfn.XLOOKUP(H1225,Listas!I:I,Listas!J:J),"OUTROS"))))</f>
        <v>TRIAGEM</v>
      </c>
      <c r="J1225" s="240" t="s">
        <v>53</v>
      </c>
      <c r="K1225" s="240" t="s">
        <v>61</v>
      </c>
      <c r="L1225" s="240" t="s">
        <v>556</v>
      </c>
      <c r="M1225" s="240"/>
      <c r="N1225" s="240" t="s">
        <v>63</v>
      </c>
      <c r="O1225" s="119" t="s">
        <v>34</v>
      </c>
      <c r="P1225" s="119" t="s">
        <v>72</v>
      </c>
      <c r="Q1225" s="119" t="s">
        <v>633</v>
      </c>
      <c r="R1225" s="273"/>
      <c r="S1225" s="273" t="s">
        <v>1533</v>
      </c>
      <c r="T1225" s="274" t="s">
        <v>3110</v>
      </c>
      <c r="U1225" s="73"/>
      <c r="V1225" s="216"/>
      <c r="W1225" s="118"/>
      <c r="X1225" s="119"/>
      <c r="Y1225" s="120"/>
      <c r="Z1225" s="120"/>
      <c r="AA1225" s="244"/>
      <c r="AB1225" s="118" t="s">
        <v>3111</v>
      </c>
      <c r="AC1225" s="241"/>
      <c r="AD1225" s="244">
        <v>1</v>
      </c>
    </row>
    <row r="1226" spans="1:30" ht="15" customHeight="1">
      <c r="A1226" s="237">
        <v>31125</v>
      </c>
      <c r="B1226" s="121">
        <v>1</v>
      </c>
      <c r="C1226" s="238">
        <v>46213</v>
      </c>
      <c r="D1226" s="105">
        <f t="shared" ca="1" si="74"/>
        <v>14</v>
      </c>
      <c r="E1226" s="138" t="str">
        <f t="shared" si="75"/>
        <v>ADMITIDO</v>
      </c>
      <c r="F1226" s="230" t="s">
        <v>28</v>
      </c>
      <c r="G1226" s="147" t="s">
        <v>60</v>
      </c>
      <c r="H1226" s="382" t="s">
        <v>40</v>
      </c>
      <c r="I1226" s="117" t="str">
        <f>IF(X1226="ADMITIDO","ADMITIDO",IF(X1226="CANCELADA","CANCELADA",IF(H1226="","",IFERROR(_xlfn.XLOOKUP(H1226,Listas!I:I,Listas!J:J),"OUTROS"))))</f>
        <v>ADMITIDO</v>
      </c>
      <c r="J1226" s="240" t="s">
        <v>1024</v>
      </c>
      <c r="K1226" s="240" t="s">
        <v>330</v>
      </c>
      <c r="L1226" s="240" t="s">
        <v>996</v>
      </c>
      <c r="M1226" s="240"/>
      <c r="N1226" s="240" t="s">
        <v>63</v>
      </c>
      <c r="O1226" s="119" t="s">
        <v>34</v>
      </c>
      <c r="P1226" s="119" t="s">
        <v>210</v>
      </c>
      <c r="Q1226" s="119" t="s">
        <v>1128</v>
      </c>
      <c r="R1226" s="273"/>
      <c r="S1226" s="273" t="s">
        <v>65</v>
      </c>
      <c r="T1226" s="274" t="s">
        <v>3112</v>
      </c>
      <c r="U1226" s="73" t="s">
        <v>109</v>
      </c>
      <c r="V1226" s="216">
        <v>46216</v>
      </c>
      <c r="W1226" s="118" t="s">
        <v>3113</v>
      </c>
      <c r="X1226" s="119" t="s">
        <v>40</v>
      </c>
      <c r="Y1226" s="120">
        <v>46219</v>
      </c>
      <c r="Z1226" s="120">
        <v>46223</v>
      </c>
      <c r="AA1226" s="244">
        <v>914641</v>
      </c>
      <c r="AB1226" s="241"/>
      <c r="AC1226" s="241"/>
      <c r="AD1226" s="244">
        <v>0</v>
      </c>
    </row>
    <row r="1227" spans="1:30" ht="15" customHeight="1">
      <c r="A1227" s="237">
        <v>31122</v>
      </c>
      <c r="B1227" s="121">
        <v>1</v>
      </c>
      <c r="C1227" s="238">
        <v>46213</v>
      </c>
      <c r="D1227" s="105">
        <f t="shared" ca="1" si="74"/>
        <v>14</v>
      </c>
      <c r="E1227" s="138" t="str">
        <f t="shared" si="75"/>
        <v>ADMITIDO</v>
      </c>
      <c r="F1227" s="230" t="s">
        <v>171</v>
      </c>
      <c r="G1227" s="147" t="s">
        <v>43</v>
      </c>
      <c r="H1227" s="117" t="s">
        <v>40</v>
      </c>
      <c r="I1227" s="117" t="str">
        <f>IF(X1227="ADMITIDO","ADMITIDO",IF(X1227="CANCELADA","CANCELADA",IF(H1227="","",IFERROR(_xlfn.XLOOKUP(H1227,Listas!I:I,Listas!J:J),"OUTROS"))))</f>
        <v>ADMITIDO</v>
      </c>
      <c r="J1227" s="240" t="s">
        <v>172</v>
      </c>
      <c r="K1227" s="240" t="s">
        <v>360</v>
      </c>
      <c r="L1227" s="240" t="s">
        <v>788</v>
      </c>
      <c r="M1227" s="240"/>
      <c r="N1227" s="240" t="s">
        <v>337</v>
      </c>
      <c r="O1227" s="119" t="s">
        <v>34</v>
      </c>
      <c r="P1227" s="119" t="s">
        <v>35</v>
      </c>
      <c r="Q1227" s="119" t="s">
        <v>36</v>
      </c>
      <c r="R1227" s="273"/>
      <c r="S1227" s="273" t="s">
        <v>1746</v>
      </c>
      <c r="T1227" s="274">
        <v>15981658444</v>
      </c>
      <c r="U1227" s="73" t="s">
        <v>67</v>
      </c>
      <c r="V1227" s="216">
        <v>46216</v>
      </c>
      <c r="W1227" s="118" t="s">
        <v>3114</v>
      </c>
      <c r="X1227" s="119" t="s">
        <v>40</v>
      </c>
      <c r="Y1227" s="120">
        <v>46220</v>
      </c>
      <c r="Z1227" s="120">
        <v>46221</v>
      </c>
      <c r="AA1227" s="244">
        <v>83385</v>
      </c>
      <c r="AB1227" s="241"/>
      <c r="AC1227" s="241"/>
      <c r="AD1227" s="244">
        <v>0</v>
      </c>
    </row>
    <row r="1228" spans="1:30" ht="15" customHeight="1">
      <c r="A1228" s="237">
        <v>31123</v>
      </c>
      <c r="B1228" s="121">
        <v>1</v>
      </c>
      <c r="C1228" s="238">
        <v>46213</v>
      </c>
      <c r="D1228" s="105">
        <f t="shared" ca="1" si="74"/>
        <v>14</v>
      </c>
      <c r="E1228" s="138" t="str">
        <f t="shared" si="75"/>
        <v>ADMITIDO</v>
      </c>
      <c r="F1228" s="230" t="s">
        <v>171</v>
      </c>
      <c r="G1228" s="147" t="s">
        <v>43</v>
      </c>
      <c r="H1228" s="117" t="s">
        <v>40</v>
      </c>
      <c r="I1228" s="117" t="str">
        <f>IF(X1228="ADMITIDO","ADMITIDO",IF(X1228="CANCELADA","CANCELADA",IF(H1228="","",IFERROR(_xlfn.XLOOKUP(H1228,Listas!I:I,Listas!J:J),"OUTROS"))))</f>
        <v>ADMITIDO</v>
      </c>
      <c r="J1228" s="240" t="s">
        <v>172</v>
      </c>
      <c r="K1228" s="240" t="s">
        <v>360</v>
      </c>
      <c r="L1228" s="240" t="s">
        <v>788</v>
      </c>
      <c r="M1228" s="240"/>
      <c r="N1228" s="240" t="s">
        <v>337</v>
      </c>
      <c r="O1228" s="119" t="s">
        <v>34</v>
      </c>
      <c r="P1228" s="119" t="s">
        <v>35</v>
      </c>
      <c r="Q1228" s="119" t="s">
        <v>36</v>
      </c>
      <c r="R1228" s="273"/>
      <c r="S1228" s="273" t="s">
        <v>3115</v>
      </c>
      <c r="T1228" s="274">
        <v>15981851573</v>
      </c>
      <c r="U1228" s="73" t="s">
        <v>67</v>
      </c>
      <c r="V1228" s="216">
        <v>46217</v>
      </c>
      <c r="W1228" s="118" t="s">
        <v>3116</v>
      </c>
      <c r="X1228" s="119" t="s">
        <v>40</v>
      </c>
      <c r="Y1228" s="120">
        <v>46226</v>
      </c>
      <c r="Z1228" s="120">
        <v>46226</v>
      </c>
      <c r="AA1228" s="244">
        <v>83389</v>
      </c>
      <c r="AB1228" s="241"/>
      <c r="AC1228" s="241"/>
      <c r="AD1228" s="244">
        <v>0</v>
      </c>
    </row>
    <row r="1229" spans="1:30" ht="15" customHeight="1">
      <c r="A1229" s="237">
        <v>31124</v>
      </c>
      <c r="B1229" s="121">
        <v>1</v>
      </c>
      <c r="C1229" s="238">
        <v>46213</v>
      </c>
      <c r="D1229" s="105">
        <f t="shared" ca="1" si="74"/>
        <v>14</v>
      </c>
      <c r="E1229" s="138" t="str">
        <f t="shared" si="75"/>
        <v>ADMITIDO</v>
      </c>
      <c r="F1229" s="230" t="s">
        <v>171</v>
      </c>
      <c r="G1229" s="147" t="s">
        <v>43</v>
      </c>
      <c r="H1229" s="117" t="s">
        <v>40</v>
      </c>
      <c r="I1229" s="117" t="str">
        <f>IF(X1229="ADMITIDO","ADMITIDO",IF(X1229="CANCELADA","CANCELADA",IF(H1229="","",IFERROR(_xlfn.XLOOKUP(H1229,Listas!I:I,Listas!J:J),"OUTROS"))))</f>
        <v>ADMITIDO</v>
      </c>
      <c r="J1229" s="240" t="s">
        <v>172</v>
      </c>
      <c r="K1229" s="240" t="s">
        <v>360</v>
      </c>
      <c r="L1229" s="240" t="s">
        <v>788</v>
      </c>
      <c r="M1229" s="240"/>
      <c r="N1229" s="240" t="s">
        <v>337</v>
      </c>
      <c r="O1229" s="119" t="s">
        <v>34</v>
      </c>
      <c r="P1229" s="119" t="s">
        <v>35</v>
      </c>
      <c r="Q1229" s="119" t="s">
        <v>36</v>
      </c>
      <c r="R1229" s="273"/>
      <c r="S1229" s="273" t="s">
        <v>1746</v>
      </c>
      <c r="T1229" s="274">
        <v>15996399646</v>
      </c>
      <c r="U1229" s="73" t="s">
        <v>67</v>
      </c>
      <c r="V1229" s="216">
        <v>46216</v>
      </c>
      <c r="W1229" s="118" t="s">
        <v>3117</v>
      </c>
      <c r="X1229" s="119" t="s">
        <v>40</v>
      </c>
      <c r="Y1229" s="120">
        <v>46220</v>
      </c>
      <c r="Z1229" s="120">
        <v>46221</v>
      </c>
      <c r="AA1229" s="244">
        <v>83384</v>
      </c>
      <c r="AB1229" s="241"/>
      <c r="AC1229" s="241"/>
      <c r="AD1229" s="244">
        <v>0</v>
      </c>
    </row>
    <row r="1230" spans="1:30" ht="15" customHeight="1">
      <c r="A1230" s="374">
        <v>31106</v>
      </c>
      <c r="B1230" s="376">
        <v>1</v>
      </c>
      <c r="C1230" s="375">
        <v>46213</v>
      </c>
      <c r="D1230" s="367">
        <f t="shared" ca="1" si="74"/>
        <v>14</v>
      </c>
      <c r="E1230" s="368" t="str">
        <f t="shared" ca="1" si="75"/>
        <v>ATENÇÃO</v>
      </c>
      <c r="F1230" s="371" t="s">
        <v>42</v>
      </c>
      <c r="G1230" s="369" t="s">
        <v>240</v>
      </c>
      <c r="H1230" s="146" t="s">
        <v>259</v>
      </c>
      <c r="I1230" s="146" t="str">
        <f>IF(X1230="ADMITIDO","ADMITIDO",IF(X1230="CANCELADA","CANCELADA",IF(H1230="","",IFERROR(_xlfn.XLOOKUP(H1230,Listas!I:I,Listas!J:J),"OUTROS"))))</f>
        <v>TRIAGEM</v>
      </c>
      <c r="J1230" s="415" t="s">
        <v>53</v>
      </c>
      <c r="K1230" s="415" t="s">
        <v>241</v>
      </c>
      <c r="L1230" s="415" t="s">
        <v>307</v>
      </c>
      <c r="M1230" s="415"/>
      <c r="N1230" s="415" t="s">
        <v>243</v>
      </c>
      <c r="O1230" s="303" t="s">
        <v>34</v>
      </c>
      <c r="P1230" s="303" t="s">
        <v>57</v>
      </c>
      <c r="Q1230" s="303" t="s">
        <v>308</v>
      </c>
      <c r="R1230" s="419"/>
      <c r="S1230" s="419" t="s">
        <v>65</v>
      </c>
      <c r="T1230" s="345"/>
      <c r="U1230" s="326"/>
      <c r="V1230" s="313"/>
      <c r="W1230" s="302"/>
      <c r="X1230" s="303"/>
      <c r="Y1230" s="304"/>
      <c r="Z1230" s="304"/>
      <c r="AA1230" s="314"/>
      <c r="AB1230" s="302" t="s">
        <v>3118</v>
      </c>
      <c r="AC1230" s="346"/>
      <c r="AD1230" s="314">
        <v>1</v>
      </c>
    </row>
    <row r="1231" spans="1:30" ht="15" customHeight="1">
      <c r="A1231" s="237">
        <v>31105</v>
      </c>
      <c r="B1231" s="121">
        <v>1</v>
      </c>
      <c r="C1231" s="238">
        <v>46213</v>
      </c>
      <c r="D1231" s="105">
        <f t="shared" ca="1" si="74"/>
        <v>14</v>
      </c>
      <c r="E1231" s="138" t="str">
        <f t="shared" si="75"/>
        <v>ADMITIDO</v>
      </c>
      <c r="F1231" s="230" t="s">
        <v>28</v>
      </c>
      <c r="G1231" s="147" t="s">
        <v>102</v>
      </c>
      <c r="H1231" s="382" t="s">
        <v>40</v>
      </c>
      <c r="I1231" s="117" t="str">
        <f>IF(X1231="ADMITIDO","ADMITIDO",IF(X1231="CANCELADA","CANCELADA",IF(H1231="","",IFERROR(_xlfn.XLOOKUP(H1231,Listas!I:I,Listas!J:J),"OUTROS"))))</f>
        <v>ADMITIDO</v>
      </c>
      <c r="J1231" s="240" t="s">
        <v>586</v>
      </c>
      <c r="K1231" s="240" t="s">
        <v>371</v>
      </c>
      <c r="L1231" s="240" t="s">
        <v>3119</v>
      </c>
      <c r="M1231" s="240"/>
      <c r="N1231" s="240" t="s">
        <v>63</v>
      </c>
      <c r="O1231" s="119" t="s">
        <v>34</v>
      </c>
      <c r="P1231" s="119" t="s">
        <v>35</v>
      </c>
      <c r="Q1231" s="119" t="s">
        <v>36</v>
      </c>
      <c r="R1231" s="273"/>
      <c r="S1231" s="273" t="s">
        <v>1533</v>
      </c>
      <c r="T1231" s="274" t="s">
        <v>3120</v>
      </c>
      <c r="U1231" s="73" t="s">
        <v>109</v>
      </c>
      <c r="V1231" s="216">
        <v>46218</v>
      </c>
      <c r="W1231" s="118" t="s">
        <v>3121</v>
      </c>
      <c r="X1231" s="119" t="s">
        <v>40</v>
      </c>
      <c r="Y1231" s="120">
        <v>46220</v>
      </c>
      <c r="Z1231" s="120">
        <v>46224</v>
      </c>
      <c r="AA1231" s="244">
        <v>914651</v>
      </c>
      <c r="AB1231" s="241"/>
      <c r="AC1231" s="241"/>
      <c r="AD1231" s="244">
        <v>0</v>
      </c>
    </row>
    <row r="1232" spans="1:30" ht="15" customHeight="1">
      <c r="A1232" s="237">
        <v>31113</v>
      </c>
      <c r="B1232" s="121">
        <v>1</v>
      </c>
      <c r="C1232" s="238">
        <v>46213</v>
      </c>
      <c r="D1232" s="105">
        <f t="shared" ca="1" si="74"/>
        <v>14</v>
      </c>
      <c r="E1232" s="138" t="str">
        <f t="shared" si="75"/>
        <v>ADMITIDO</v>
      </c>
      <c r="F1232" s="230" t="s">
        <v>28</v>
      </c>
      <c r="G1232" s="147" t="s">
        <v>60</v>
      </c>
      <c r="H1232" s="117" t="s">
        <v>40</v>
      </c>
      <c r="I1232" s="117" t="str">
        <f>IF(X1232="ADMITIDO","ADMITIDO",IF(X1232="CANCELADA","CANCELADA",IF(H1232="","",IFERROR(_xlfn.XLOOKUP(H1232,Listas!I:I,Listas!J:J),"OUTROS"))))</f>
        <v>ADMITIDO</v>
      </c>
      <c r="J1232" s="240" t="s">
        <v>586</v>
      </c>
      <c r="K1232" s="240" t="s">
        <v>318</v>
      </c>
      <c r="L1232" s="240" t="s">
        <v>921</v>
      </c>
      <c r="M1232" s="240"/>
      <c r="N1232" s="240" t="s">
        <v>672</v>
      </c>
      <c r="O1232" s="119" t="s">
        <v>56</v>
      </c>
      <c r="P1232" s="119" t="s">
        <v>35</v>
      </c>
      <c r="Q1232" s="119" t="s">
        <v>176</v>
      </c>
      <c r="R1232" s="273"/>
      <c r="S1232" s="273" t="s">
        <v>1533</v>
      </c>
      <c r="T1232" s="274" t="s">
        <v>3122</v>
      </c>
      <c r="U1232" s="73" t="s">
        <v>109</v>
      </c>
      <c r="V1232" s="216">
        <v>46218</v>
      </c>
      <c r="W1232" s="118" t="s">
        <v>3123</v>
      </c>
      <c r="X1232" s="119" t="s">
        <v>40</v>
      </c>
      <c r="Y1232" s="120">
        <v>46223</v>
      </c>
      <c r="Z1232" s="120">
        <v>46225</v>
      </c>
      <c r="AA1232" s="244">
        <v>914656</v>
      </c>
      <c r="AB1232" s="241"/>
      <c r="AC1232" s="346"/>
      <c r="AD1232" s="244">
        <v>0</v>
      </c>
    </row>
    <row r="1233" spans="1:30" ht="15" customHeight="1">
      <c r="A1233" s="396">
        <v>31098</v>
      </c>
      <c r="B1233" s="405">
        <v>1</v>
      </c>
      <c r="C1233" s="404">
        <v>46213</v>
      </c>
      <c r="D1233" s="386">
        <f t="shared" ca="1" si="74"/>
        <v>14</v>
      </c>
      <c r="E1233" s="170" t="str">
        <f t="shared" si="75"/>
        <v>ADMITIDO</v>
      </c>
      <c r="F1233" s="397" t="s">
        <v>42</v>
      </c>
      <c r="G1233" s="392" t="s">
        <v>69</v>
      </c>
      <c r="H1233" s="117" t="s">
        <v>40</v>
      </c>
      <c r="I1233" s="139" t="str">
        <f>IF(X1233="ADMITIDO","ADMITIDO",IF(X1233="CANCELADA","CANCELADA",IF(H1233="","",IFERROR(_xlfn.XLOOKUP(H1233,Listas!I:I,Listas!J:J),"OUTROS"))))</f>
        <v>ADMITIDO</v>
      </c>
      <c r="J1233" s="428" t="s">
        <v>53</v>
      </c>
      <c r="K1233" s="428" t="s">
        <v>158</v>
      </c>
      <c r="L1233" s="428" t="s">
        <v>159</v>
      </c>
      <c r="M1233" s="428"/>
      <c r="N1233" s="428" t="s">
        <v>63</v>
      </c>
      <c r="O1233" s="308" t="s">
        <v>34</v>
      </c>
      <c r="P1233" s="308" t="s">
        <v>57</v>
      </c>
      <c r="Q1233" s="308" t="s">
        <v>3124</v>
      </c>
      <c r="R1233" s="432"/>
      <c r="S1233" s="432"/>
      <c r="T1233" s="352"/>
      <c r="U1233" s="327" t="s">
        <v>109</v>
      </c>
      <c r="V1233" s="315">
        <v>46216</v>
      </c>
      <c r="W1233" s="310" t="s">
        <v>3125</v>
      </c>
      <c r="X1233" s="308" t="s">
        <v>40</v>
      </c>
      <c r="Y1233" s="309">
        <v>46217</v>
      </c>
      <c r="Z1233" s="309">
        <v>46218</v>
      </c>
      <c r="AA1233" s="316">
        <v>146230</v>
      </c>
      <c r="AB1233" s="534"/>
      <c r="AC1233" s="241"/>
      <c r="AD1233" s="537">
        <v>0</v>
      </c>
    </row>
    <row r="1234" spans="1:30" ht="15" customHeight="1">
      <c r="A1234" s="237">
        <v>31121</v>
      </c>
      <c r="B1234" s="121">
        <v>1</v>
      </c>
      <c r="C1234" s="238">
        <v>46213</v>
      </c>
      <c r="D1234" s="105">
        <f t="shared" ca="1" si="74"/>
        <v>14</v>
      </c>
      <c r="E1234" s="138" t="str">
        <f t="shared" si="75"/>
        <v>ADMITIDO</v>
      </c>
      <c r="F1234" s="230" t="s">
        <v>28</v>
      </c>
      <c r="G1234" s="147" t="s">
        <v>167</v>
      </c>
      <c r="H1234" s="117" t="s">
        <v>40</v>
      </c>
      <c r="I1234" s="117" t="str">
        <f>IF(X1234="ADMITIDO","ADMITIDO",IF(X1234="CANCELADA","CANCELADA",IF(H1234="","",IFERROR(_xlfn.XLOOKUP(H1234,Listas!I:I,Listas!J:J),"OUTROS"))))</f>
        <v>ADMITIDO</v>
      </c>
      <c r="J1234" s="240" t="s">
        <v>616</v>
      </c>
      <c r="K1234" s="240" t="s">
        <v>1820</v>
      </c>
      <c r="L1234" s="240" t="s">
        <v>1278</v>
      </c>
      <c r="M1234" s="240"/>
      <c r="N1234" s="240" t="s">
        <v>63</v>
      </c>
      <c r="O1234" s="119" t="s">
        <v>34</v>
      </c>
      <c r="P1234" s="119" t="s">
        <v>35</v>
      </c>
      <c r="Q1234" s="119" t="s">
        <v>36</v>
      </c>
      <c r="R1234" s="273"/>
      <c r="S1234" s="273"/>
      <c r="T1234" s="274"/>
      <c r="U1234" s="73" t="s">
        <v>132</v>
      </c>
      <c r="V1234" s="216">
        <v>46213</v>
      </c>
      <c r="W1234" s="118" t="s">
        <v>3126</v>
      </c>
      <c r="X1234" s="119" t="s">
        <v>40</v>
      </c>
      <c r="Y1234" s="120">
        <v>46217</v>
      </c>
      <c r="Z1234" s="120">
        <v>46218</v>
      </c>
      <c r="AA1234" s="244">
        <v>916234</v>
      </c>
      <c r="AB1234" s="533"/>
      <c r="AC1234" s="241"/>
      <c r="AD1234" s="536">
        <v>0</v>
      </c>
    </row>
    <row r="1235" spans="1:30" ht="15" customHeight="1">
      <c r="A1235" s="237">
        <v>31127</v>
      </c>
      <c r="B1235" s="121">
        <v>1</v>
      </c>
      <c r="C1235" s="238">
        <v>46213</v>
      </c>
      <c r="D1235" s="105">
        <f t="shared" ca="1" si="74"/>
        <v>14</v>
      </c>
      <c r="E1235" s="138" t="str">
        <f t="shared" si="75"/>
        <v>ADMITIDO</v>
      </c>
      <c r="F1235" s="230" t="s">
        <v>42</v>
      </c>
      <c r="G1235" s="147" t="s">
        <v>663</v>
      </c>
      <c r="H1235" s="117" t="s">
        <v>40</v>
      </c>
      <c r="I1235" s="117" t="str">
        <f>IF(X1235="ADMITIDO","ADMITIDO",IF(X1235="CANCELADA","CANCELADA",IF(H1235="","",IFERROR(_xlfn.XLOOKUP(H1235,Listas!I:I,Listas!J:J),"OUTROS"))))</f>
        <v>ADMITIDO</v>
      </c>
      <c r="J1235" s="240" t="s">
        <v>44</v>
      </c>
      <c r="K1235" s="240" t="s">
        <v>228</v>
      </c>
      <c r="L1235" s="240" t="s">
        <v>807</v>
      </c>
      <c r="M1235" s="240"/>
      <c r="N1235" s="240" t="s">
        <v>88</v>
      </c>
      <c r="O1235" s="119" t="s">
        <v>34</v>
      </c>
      <c r="P1235" s="119" t="s">
        <v>57</v>
      </c>
      <c r="Q1235" s="119" t="s">
        <v>94</v>
      </c>
      <c r="R1235" s="273"/>
      <c r="S1235" s="273"/>
      <c r="T1235" s="274" t="s">
        <v>3127</v>
      </c>
      <c r="U1235" s="73" t="s">
        <v>38</v>
      </c>
      <c r="V1235" s="216">
        <v>46217</v>
      </c>
      <c r="W1235" s="251" t="s">
        <v>3128</v>
      </c>
      <c r="X1235" s="119" t="s">
        <v>40</v>
      </c>
      <c r="Y1235" s="120">
        <v>46218</v>
      </c>
      <c r="Z1235" s="120">
        <v>46223</v>
      </c>
      <c r="AA1235" s="244">
        <v>914636</v>
      </c>
      <c r="AB1235" s="241"/>
      <c r="AC1235" s="439"/>
      <c r="AD1235" s="244">
        <v>0</v>
      </c>
    </row>
    <row r="1236" spans="1:30" ht="15" customHeight="1">
      <c r="A1236" s="237">
        <v>31115</v>
      </c>
      <c r="B1236" s="121">
        <v>1</v>
      </c>
      <c r="C1236" s="238">
        <v>46213</v>
      </c>
      <c r="D1236" s="105">
        <f t="shared" ca="1" si="74"/>
        <v>14</v>
      </c>
      <c r="E1236" s="138" t="str">
        <f t="shared" si="75"/>
        <v>ADMITIDO</v>
      </c>
      <c r="F1236" s="230" t="s">
        <v>28</v>
      </c>
      <c r="G1236" s="147" t="s">
        <v>60</v>
      </c>
      <c r="H1236" s="117" t="s">
        <v>40</v>
      </c>
      <c r="I1236" s="117" t="str">
        <f>IF(X1236="ADMITIDO","ADMITIDO",IF(X1236="CANCELADA","CANCELADA",IF(H1236="","",IFERROR(_xlfn.XLOOKUP(H1236,Listas!I:I,Listas!J:J),"OUTROS"))))</f>
        <v>ADMITIDO</v>
      </c>
      <c r="J1236" s="240" t="s">
        <v>268</v>
      </c>
      <c r="K1236" s="240" t="s">
        <v>318</v>
      </c>
      <c r="L1236" s="240" t="s">
        <v>1838</v>
      </c>
      <c r="M1236" s="240"/>
      <c r="N1236" s="240" t="s">
        <v>63</v>
      </c>
      <c r="O1236" s="119" t="s">
        <v>56</v>
      </c>
      <c r="P1236" s="119" t="s">
        <v>35</v>
      </c>
      <c r="Q1236" s="119" t="s">
        <v>176</v>
      </c>
      <c r="R1236" s="273"/>
      <c r="S1236" s="273" t="s">
        <v>65</v>
      </c>
      <c r="T1236" s="274" t="s">
        <v>3129</v>
      </c>
      <c r="U1236" s="73" t="s">
        <v>109</v>
      </c>
      <c r="V1236" s="216">
        <v>46216</v>
      </c>
      <c r="W1236" s="118" t="s">
        <v>3130</v>
      </c>
      <c r="X1236" s="119" t="s">
        <v>40</v>
      </c>
      <c r="Y1236" s="120">
        <v>46217</v>
      </c>
      <c r="Z1236" s="120">
        <v>46218</v>
      </c>
      <c r="AA1236" s="244">
        <v>916233</v>
      </c>
      <c r="AB1236" s="533"/>
      <c r="AC1236" s="241"/>
      <c r="AD1236" s="536">
        <v>0</v>
      </c>
    </row>
    <row r="1237" spans="1:30" ht="15" customHeight="1">
      <c r="A1237" s="237">
        <v>31116</v>
      </c>
      <c r="B1237" s="121">
        <v>1</v>
      </c>
      <c r="C1237" s="238">
        <v>46213</v>
      </c>
      <c r="D1237" s="105">
        <f t="shared" ca="1" si="74"/>
        <v>14</v>
      </c>
      <c r="E1237" s="138" t="str">
        <f t="shared" ca="1" si="75"/>
        <v>ATENÇÃO</v>
      </c>
      <c r="F1237" s="230" t="s">
        <v>28</v>
      </c>
      <c r="G1237" s="147" t="s">
        <v>60</v>
      </c>
      <c r="H1237" s="117" t="s">
        <v>181</v>
      </c>
      <c r="I1237" s="117" t="str">
        <f>IF(X1237="ADMITIDO","ADMITIDO",IF(X1237="CANCELADA","CANCELADA",IF(H1237="","",IFERROR(_xlfn.XLOOKUP(H1237,Listas!I:I,Listas!J:J),"OUTROS"))))</f>
        <v>DOCUMENTAÇÃO</v>
      </c>
      <c r="J1237" s="240" t="s">
        <v>268</v>
      </c>
      <c r="K1237" s="240" t="s">
        <v>318</v>
      </c>
      <c r="L1237" s="240" t="s">
        <v>1838</v>
      </c>
      <c r="M1237" s="240"/>
      <c r="N1237" s="240" t="s">
        <v>63</v>
      </c>
      <c r="O1237" s="119" t="s">
        <v>56</v>
      </c>
      <c r="P1237" s="119" t="s">
        <v>35</v>
      </c>
      <c r="Q1237" s="119" t="s">
        <v>176</v>
      </c>
      <c r="R1237" s="273"/>
      <c r="S1237" s="273" t="s">
        <v>1533</v>
      </c>
      <c r="T1237" s="274" t="s">
        <v>3131</v>
      </c>
      <c r="U1237" s="73" t="s">
        <v>76</v>
      </c>
      <c r="V1237" s="216">
        <v>46223</v>
      </c>
      <c r="W1237" s="118" t="s">
        <v>3132</v>
      </c>
      <c r="X1237" s="119" t="s">
        <v>188</v>
      </c>
      <c r="Y1237" s="120">
        <v>46227</v>
      </c>
      <c r="Z1237" s="120" t="s">
        <v>3133</v>
      </c>
      <c r="AA1237" s="244">
        <v>914710</v>
      </c>
      <c r="AB1237" s="241"/>
      <c r="AC1237" s="351"/>
      <c r="AD1237" s="244">
        <v>0</v>
      </c>
    </row>
    <row r="1238" spans="1:30" ht="15" customHeight="1">
      <c r="A1238" s="237">
        <v>31126</v>
      </c>
      <c r="B1238" s="121">
        <v>1</v>
      </c>
      <c r="C1238" s="238">
        <v>46213</v>
      </c>
      <c r="D1238" s="105">
        <f t="shared" ca="1" si="74"/>
        <v>14</v>
      </c>
      <c r="E1238" s="138" t="s">
        <v>40</v>
      </c>
      <c r="F1238" s="230" t="s">
        <v>42</v>
      </c>
      <c r="G1238" s="147" t="s">
        <v>43</v>
      </c>
      <c r="H1238" s="117" t="s">
        <v>40</v>
      </c>
      <c r="I1238" s="117" t="str">
        <f>IF(X1238="ADMITIDO","ADMITIDO",IF(X1238="CANCELADA","CANCELADA",IF(H1238="","",IFERROR(_xlfn.XLOOKUP(H1238,Listas!I:I,Listas!J:J),"OUTROS"))))</f>
        <v>ADMITIDO</v>
      </c>
      <c r="J1238" s="240" t="s">
        <v>163</v>
      </c>
      <c r="K1238" s="240" t="s">
        <v>45</v>
      </c>
      <c r="L1238" s="240" t="s">
        <v>386</v>
      </c>
      <c r="M1238" s="240"/>
      <c r="N1238" s="240" t="s">
        <v>243</v>
      </c>
      <c r="O1238" s="119" t="s">
        <v>34</v>
      </c>
      <c r="P1238" s="119" t="s">
        <v>48</v>
      </c>
      <c r="Q1238" s="119" t="s">
        <v>3134</v>
      </c>
      <c r="R1238" s="273"/>
      <c r="S1238" s="273" t="s">
        <v>65</v>
      </c>
      <c r="T1238" s="274">
        <v>11946008537</v>
      </c>
      <c r="U1238" s="73" t="s">
        <v>50</v>
      </c>
      <c r="V1238" s="216">
        <v>46216</v>
      </c>
      <c r="W1238" s="118" t="s">
        <v>3135</v>
      </c>
      <c r="X1238" s="119" t="s">
        <v>40</v>
      </c>
      <c r="Y1238" s="120">
        <v>46220</v>
      </c>
      <c r="Z1238" s="120">
        <v>46221</v>
      </c>
      <c r="AA1238" s="552">
        <v>146249</v>
      </c>
      <c r="AB1238" s="241"/>
      <c r="AC1238" s="241"/>
      <c r="AD1238" s="244">
        <v>0</v>
      </c>
    </row>
    <row r="1239" spans="1:30" ht="15" customHeight="1">
      <c r="A1239" s="237">
        <v>31112</v>
      </c>
      <c r="B1239" s="121">
        <v>1</v>
      </c>
      <c r="C1239" s="238">
        <v>46213</v>
      </c>
      <c r="D1239" s="105">
        <f t="shared" ca="1" si="74"/>
        <v>14</v>
      </c>
      <c r="E1239" s="138" t="str">
        <f t="shared" si="75"/>
        <v>ADMITIDO</v>
      </c>
      <c r="F1239" s="230" t="s">
        <v>28</v>
      </c>
      <c r="G1239" s="147" t="s">
        <v>60</v>
      </c>
      <c r="H1239" s="117" t="s">
        <v>40</v>
      </c>
      <c r="I1239" s="117" t="str">
        <f>IF(X1239="ADMITIDO","ADMITIDO",IF(X1239="CANCELADA","CANCELADA",IF(H1239="","",IFERROR(_xlfn.XLOOKUP(H1239,Listas!I:I,Listas!J:J),"OUTROS"))))</f>
        <v>ADMITIDO</v>
      </c>
      <c r="J1239" s="240" t="s">
        <v>3136</v>
      </c>
      <c r="K1239" s="240" t="s">
        <v>318</v>
      </c>
      <c r="L1239" s="240" t="s">
        <v>1173</v>
      </c>
      <c r="M1239" s="240"/>
      <c r="N1239" s="240" t="s">
        <v>1174</v>
      </c>
      <c r="O1239" s="119" t="s">
        <v>56</v>
      </c>
      <c r="P1239" s="119" t="s">
        <v>35</v>
      </c>
      <c r="Q1239" s="119" t="s">
        <v>176</v>
      </c>
      <c r="R1239" s="273"/>
      <c r="S1239" s="273" t="s">
        <v>65</v>
      </c>
      <c r="T1239" s="274" t="s">
        <v>3137</v>
      </c>
      <c r="U1239" s="73" t="s">
        <v>76</v>
      </c>
      <c r="V1239" s="216">
        <v>46216</v>
      </c>
      <c r="W1239" s="118" t="s">
        <v>3138</v>
      </c>
      <c r="X1239" s="119" t="s">
        <v>40</v>
      </c>
      <c r="Y1239" s="120">
        <v>46218</v>
      </c>
      <c r="Z1239" s="120">
        <v>46223</v>
      </c>
      <c r="AA1239" s="244">
        <v>916240</v>
      </c>
      <c r="AB1239" s="241"/>
      <c r="AC1239" s="241"/>
      <c r="AD1239" s="244">
        <v>0</v>
      </c>
    </row>
    <row r="1240" spans="1:30" ht="15" customHeight="1">
      <c r="A1240" s="237">
        <v>31108</v>
      </c>
      <c r="B1240" s="121">
        <v>1</v>
      </c>
      <c r="C1240" s="238">
        <v>46213</v>
      </c>
      <c r="D1240" s="105">
        <f t="shared" ca="1" si="74"/>
        <v>14</v>
      </c>
      <c r="E1240" s="138" t="str">
        <f t="shared" si="75"/>
        <v>ADMITIDO</v>
      </c>
      <c r="F1240" s="230" t="s">
        <v>28</v>
      </c>
      <c r="G1240" s="147" t="s">
        <v>240</v>
      </c>
      <c r="H1240" s="117" t="s">
        <v>40</v>
      </c>
      <c r="I1240" s="117" t="str">
        <f>IF(X1240="ADMITIDO","ADMITIDO",IF(X1240="CANCELADA","CANCELADA",IF(H1240="","",IFERROR(_xlfn.XLOOKUP(H1240,Listas!I:I,Listas!J:J),"OUTROS"))))</f>
        <v>ADMITIDO</v>
      </c>
      <c r="J1240" s="240" t="s">
        <v>268</v>
      </c>
      <c r="K1240" s="240" t="s">
        <v>423</v>
      </c>
      <c r="L1240" s="240" t="s">
        <v>855</v>
      </c>
      <c r="M1240" s="240"/>
      <c r="N1240" s="240" t="s">
        <v>63</v>
      </c>
      <c r="O1240" s="119" t="s">
        <v>34</v>
      </c>
      <c r="P1240" s="119" t="s">
        <v>35</v>
      </c>
      <c r="Q1240" s="119" t="s">
        <v>36</v>
      </c>
      <c r="R1240" s="273"/>
      <c r="S1240" s="273" t="s">
        <v>3139</v>
      </c>
      <c r="T1240" s="274"/>
      <c r="U1240" s="73" t="s">
        <v>76</v>
      </c>
      <c r="V1240" s="216">
        <v>46216</v>
      </c>
      <c r="W1240" s="118" t="s">
        <v>3140</v>
      </c>
      <c r="X1240" s="119" t="s">
        <v>40</v>
      </c>
      <c r="Y1240" s="120">
        <v>46217</v>
      </c>
      <c r="Z1240" s="120">
        <v>46223</v>
      </c>
      <c r="AA1240" s="244">
        <v>916235</v>
      </c>
      <c r="AB1240" s="241"/>
      <c r="AC1240" s="241"/>
      <c r="AD1240" s="244">
        <v>0</v>
      </c>
    </row>
    <row r="1241" spans="1:30" ht="15" customHeight="1">
      <c r="A1241" s="237">
        <v>31107</v>
      </c>
      <c r="B1241" s="121">
        <v>1</v>
      </c>
      <c r="C1241" s="238">
        <v>46213</v>
      </c>
      <c r="D1241" s="105">
        <f t="shared" ca="1" si="74"/>
        <v>14</v>
      </c>
      <c r="E1241" s="138" t="str">
        <f t="shared" ca="1" si="75"/>
        <v>ATENÇÃO</v>
      </c>
      <c r="F1241" s="230" t="s">
        <v>28</v>
      </c>
      <c r="G1241" s="147" t="s">
        <v>102</v>
      </c>
      <c r="H1241" s="117" t="s">
        <v>334</v>
      </c>
      <c r="I1241" s="117" t="str">
        <f>IF(X1241="ADMITIDO","ADMITIDO",IF(X1241="CANCELADA","CANCELADA",IF(H1241="","",IFERROR(_xlfn.XLOOKUP(H1241,Listas!I:I,Listas!J:J),"OUTROS"))))</f>
        <v>DOCUMENTAÇÃO</v>
      </c>
      <c r="J1241" s="240" t="s">
        <v>268</v>
      </c>
      <c r="K1241" s="240" t="s">
        <v>563</v>
      </c>
      <c r="L1241" s="240" t="s">
        <v>618</v>
      </c>
      <c r="M1241" s="240"/>
      <c r="N1241" s="240" t="s">
        <v>63</v>
      </c>
      <c r="O1241" s="119" t="s">
        <v>34</v>
      </c>
      <c r="P1241" s="119" t="s">
        <v>35</v>
      </c>
      <c r="Q1241" s="119" t="s">
        <v>36</v>
      </c>
      <c r="R1241" s="273" t="s">
        <v>3141</v>
      </c>
      <c r="S1241" s="273" t="s">
        <v>1533</v>
      </c>
      <c r="T1241" s="274"/>
      <c r="U1241" s="73" t="s">
        <v>76</v>
      </c>
      <c r="V1241" s="216">
        <v>46224</v>
      </c>
      <c r="W1241" s="118" t="s">
        <v>3142</v>
      </c>
      <c r="X1241" s="119" t="s">
        <v>188</v>
      </c>
      <c r="Y1241" s="120">
        <v>46227</v>
      </c>
      <c r="Z1241" s="120">
        <v>46228</v>
      </c>
      <c r="AA1241" s="244">
        <v>914699</v>
      </c>
      <c r="AB1241" s="241" t="s">
        <v>3143</v>
      </c>
      <c r="AC1241" s="241"/>
      <c r="AD1241" s="244">
        <v>1</v>
      </c>
    </row>
    <row r="1242" spans="1:30" ht="15" customHeight="1">
      <c r="A1242" s="237">
        <v>31109</v>
      </c>
      <c r="B1242" s="121">
        <v>1</v>
      </c>
      <c r="C1242" s="238">
        <v>46213</v>
      </c>
      <c r="D1242" s="105">
        <f t="shared" ca="1" si="74"/>
        <v>14</v>
      </c>
      <c r="E1242" s="138" t="str">
        <f t="shared" ca="1" si="75"/>
        <v>ATENÇÃO</v>
      </c>
      <c r="F1242" s="230" t="s">
        <v>28</v>
      </c>
      <c r="G1242" s="147" t="s">
        <v>663</v>
      </c>
      <c r="H1242" s="117" t="s">
        <v>91</v>
      </c>
      <c r="I1242" s="117" t="str">
        <f>IF(X1242="ADMITIDO","ADMITIDO",IF(X1242="CANCELADA","CANCELADA",IF(H1242="","",IFERROR(_xlfn.XLOOKUP(H1242,Listas!I:I,Listas!J:J),"OUTROS"))))</f>
        <v>TRIAGEM</v>
      </c>
      <c r="J1242" s="240" t="s">
        <v>1197</v>
      </c>
      <c r="K1242" s="240" t="s">
        <v>31</v>
      </c>
      <c r="L1242" s="240" t="s">
        <v>3144</v>
      </c>
      <c r="M1242" s="240"/>
      <c r="N1242" s="240" t="s">
        <v>3145</v>
      </c>
      <c r="O1242" s="119" t="s">
        <v>34</v>
      </c>
      <c r="P1242" s="119" t="s">
        <v>48</v>
      </c>
      <c r="Q1242" s="119" t="s">
        <v>441</v>
      </c>
      <c r="R1242" s="273"/>
      <c r="S1242" s="273"/>
      <c r="T1242" s="274"/>
      <c r="U1242" s="73"/>
      <c r="V1242" s="216"/>
      <c r="W1242" s="118"/>
      <c r="X1242" s="119"/>
      <c r="Y1242" s="120"/>
      <c r="Z1242" s="120"/>
      <c r="AA1242" s="244"/>
      <c r="AB1242" s="241"/>
      <c r="AC1242" s="241"/>
      <c r="AD1242" s="244">
        <v>0</v>
      </c>
    </row>
    <row r="1243" spans="1:30" ht="15" customHeight="1">
      <c r="A1243" s="237">
        <v>31101</v>
      </c>
      <c r="B1243" s="121">
        <v>1</v>
      </c>
      <c r="C1243" s="238">
        <v>46213</v>
      </c>
      <c r="D1243" s="105">
        <f t="shared" ca="1" si="74"/>
        <v>14</v>
      </c>
      <c r="E1243" s="138" t="str">
        <f t="shared" ca="1" si="75"/>
        <v>ATENÇÃO</v>
      </c>
      <c r="F1243" s="230" t="s">
        <v>42</v>
      </c>
      <c r="G1243" s="147" t="s">
        <v>69</v>
      </c>
      <c r="H1243" s="117" t="s">
        <v>181</v>
      </c>
      <c r="I1243" s="117" t="str">
        <f>IF(X1243="ADMITIDO","ADMITIDO",IF(X1243="CANCELADA","CANCELADA",IF(H1243="","",IFERROR(_xlfn.XLOOKUP(H1243,Listas!I:I,Listas!J:J),"OUTROS"))))</f>
        <v>DOCUMENTAÇÃO</v>
      </c>
      <c r="J1243" s="240" t="s">
        <v>163</v>
      </c>
      <c r="K1243" s="240" t="s">
        <v>70</v>
      </c>
      <c r="L1243" s="240" t="s">
        <v>639</v>
      </c>
      <c r="M1243" s="240"/>
      <c r="N1243" s="240" t="s">
        <v>63</v>
      </c>
      <c r="O1243" s="119" t="s">
        <v>34</v>
      </c>
      <c r="P1243" s="119" t="s">
        <v>57</v>
      </c>
      <c r="Q1243" s="119" t="s">
        <v>64</v>
      </c>
      <c r="R1243" s="273"/>
      <c r="S1243" s="273"/>
      <c r="T1243" s="274"/>
      <c r="U1243" s="73" t="s">
        <v>76</v>
      </c>
      <c r="V1243" s="216">
        <v>46217</v>
      </c>
      <c r="W1243" s="118" t="s">
        <v>3146</v>
      </c>
      <c r="X1243" s="119" t="s">
        <v>188</v>
      </c>
      <c r="Y1243" s="120">
        <v>46227</v>
      </c>
      <c r="Z1243" s="120">
        <v>46230</v>
      </c>
      <c r="AA1243" s="244">
        <v>146273</v>
      </c>
      <c r="AB1243" s="241"/>
      <c r="AC1243" s="241"/>
      <c r="AD1243" s="244">
        <v>0</v>
      </c>
    </row>
    <row r="1244" spans="1:30" ht="15" customHeight="1">
      <c r="A1244" s="237">
        <v>31117</v>
      </c>
      <c r="B1244" s="121">
        <v>1</v>
      </c>
      <c r="C1244" s="238">
        <v>46213</v>
      </c>
      <c r="D1244" s="105">
        <f t="shared" ca="1" si="74"/>
        <v>14</v>
      </c>
      <c r="E1244" s="138" t="str">
        <f t="shared" ca="1" si="75"/>
        <v>ATENÇÃO</v>
      </c>
      <c r="F1244" s="230" t="s">
        <v>42</v>
      </c>
      <c r="G1244" s="147" t="s">
        <v>60</v>
      </c>
      <c r="H1244" s="117" t="s">
        <v>279</v>
      </c>
      <c r="I1244" s="117" t="str">
        <f>IF(X1244="ADMITIDO","ADMITIDO",IF(X1244="CANCELADA","CANCELADA",IF(H1244="","",IFERROR(_xlfn.XLOOKUP(H1244,Listas!I:I,Listas!J:J),"OUTROS"))))</f>
        <v>DOCUMENTAÇÃO</v>
      </c>
      <c r="J1244" s="240" t="s">
        <v>53</v>
      </c>
      <c r="K1244" s="240" t="s">
        <v>61</v>
      </c>
      <c r="L1244" s="240" t="s">
        <v>62</v>
      </c>
      <c r="M1244" s="240"/>
      <c r="N1244" s="240" t="s">
        <v>63</v>
      </c>
      <c r="O1244" s="119" t="s">
        <v>34</v>
      </c>
      <c r="P1244" s="119" t="s">
        <v>219</v>
      </c>
      <c r="Q1244" s="119" t="s">
        <v>244</v>
      </c>
      <c r="R1244" s="273"/>
      <c r="S1244" s="273" t="s">
        <v>1533</v>
      </c>
      <c r="T1244" s="274" t="s">
        <v>3147</v>
      </c>
      <c r="U1244" s="73" t="s">
        <v>67</v>
      </c>
      <c r="V1244" s="216">
        <v>46226</v>
      </c>
      <c r="W1244" s="118" t="s">
        <v>3148</v>
      </c>
      <c r="X1244" s="119" t="s">
        <v>284</v>
      </c>
      <c r="Y1244" s="120"/>
      <c r="Z1244" s="120"/>
      <c r="AA1244" s="244"/>
      <c r="AB1244" s="118" t="s">
        <v>3149</v>
      </c>
      <c r="AC1244" s="241"/>
      <c r="AD1244" s="244">
        <v>2</v>
      </c>
    </row>
    <row r="1245" spans="1:30" ht="15" customHeight="1">
      <c r="A1245" s="237">
        <v>31119</v>
      </c>
      <c r="B1245" s="121">
        <v>1</v>
      </c>
      <c r="C1245" s="238">
        <v>46213</v>
      </c>
      <c r="D1245" s="105">
        <f t="shared" ca="1" si="74"/>
        <v>14</v>
      </c>
      <c r="E1245" s="138" t="str">
        <f t="shared" ca="1" si="75"/>
        <v>ATENÇÃO</v>
      </c>
      <c r="F1245" s="230" t="s">
        <v>42</v>
      </c>
      <c r="G1245" s="147" t="s">
        <v>663</v>
      </c>
      <c r="H1245" s="117" t="s">
        <v>181</v>
      </c>
      <c r="I1245" s="117" t="str">
        <f>IF(X1245="ADMITIDO","ADMITIDO",IF(X1245="CANCELADA","CANCELADA",IF(H1245="","",IFERROR(_xlfn.XLOOKUP(H1245,Listas!I:I,Listas!J:J),"OUTROS"))))</f>
        <v>DOCUMENTAÇÃO</v>
      </c>
      <c r="J1245" s="240" t="s">
        <v>53</v>
      </c>
      <c r="K1245" s="240" t="s">
        <v>2889</v>
      </c>
      <c r="L1245" s="240" t="s">
        <v>2057</v>
      </c>
      <c r="M1245" s="240"/>
      <c r="N1245" s="240" t="s">
        <v>611</v>
      </c>
      <c r="O1245" s="119" t="s">
        <v>34</v>
      </c>
      <c r="P1245" s="119" t="s">
        <v>48</v>
      </c>
      <c r="Q1245" s="119" t="s">
        <v>49</v>
      </c>
      <c r="R1245" s="273"/>
      <c r="S1245" s="273"/>
      <c r="T1245" s="274" t="s">
        <v>3150</v>
      </c>
      <c r="U1245" s="73" t="s">
        <v>38</v>
      </c>
      <c r="V1245" s="216" t="s">
        <v>2620</v>
      </c>
      <c r="W1245" s="65" t="s">
        <v>3151</v>
      </c>
      <c r="X1245" s="119" t="s">
        <v>188</v>
      </c>
      <c r="Y1245" s="120">
        <v>46227</v>
      </c>
      <c r="Z1245" s="120">
        <v>46230</v>
      </c>
      <c r="AA1245" s="244">
        <v>146278</v>
      </c>
      <c r="AB1245" s="241"/>
      <c r="AC1245" s="241"/>
      <c r="AD1245" s="244">
        <v>0</v>
      </c>
    </row>
    <row r="1246" spans="1:30" ht="15" customHeight="1">
      <c r="A1246" s="237">
        <v>31099</v>
      </c>
      <c r="B1246" s="121">
        <v>1</v>
      </c>
      <c r="C1246" s="238">
        <v>46213</v>
      </c>
      <c r="D1246" s="105">
        <f t="shared" ca="1" si="74"/>
        <v>14</v>
      </c>
      <c r="E1246" s="138" t="str">
        <f t="shared" ca="1" si="75"/>
        <v>ATENÇÃO</v>
      </c>
      <c r="F1246" s="230" t="s">
        <v>42</v>
      </c>
      <c r="G1246" s="147" t="s">
        <v>69</v>
      </c>
      <c r="H1246" s="117" t="s">
        <v>259</v>
      </c>
      <c r="I1246" s="117" t="str">
        <f>IF(X1246="ADMITIDO","ADMITIDO",IF(X1246="CANCELADA","CANCELADA",IF(H1246="","",IFERROR(_xlfn.XLOOKUP(H1246,Listas!I:I,Listas!J:J),"OUTROS"))))</f>
        <v>TRIAGEM</v>
      </c>
      <c r="J1246" s="240" t="s">
        <v>3152</v>
      </c>
      <c r="K1246" s="240" t="s">
        <v>158</v>
      </c>
      <c r="L1246" s="240" t="s">
        <v>1068</v>
      </c>
      <c r="M1246" s="240"/>
      <c r="N1246" s="240" t="s">
        <v>63</v>
      </c>
      <c r="O1246" s="119" t="s">
        <v>34</v>
      </c>
      <c r="P1246" s="119" t="s">
        <v>210</v>
      </c>
      <c r="Q1246" s="119" t="s">
        <v>151</v>
      </c>
      <c r="R1246" s="273"/>
      <c r="S1246" s="273"/>
      <c r="T1246" s="274"/>
      <c r="U1246" s="73"/>
      <c r="V1246" s="216"/>
      <c r="W1246" s="118"/>
      <c r="X1246" s="119"/>
      <c r="Y1246" s="120"/>
      <c r="Z1246" s="120"/>
      <c r="AA1246" s="244"/>
      <c r="AB1246" s="241" t="s">
        <v>3153</v>
      </c>
      <c r="AC1246" s="241"/>
      <c r="AD1246" s="244">
        <v>1</v>
      </c>
    </row>
    <row r="1247" spans="1:30" ht="15" customHeight="1">
      <c r="A1247" s="237">
        <v>31150</v>
      </c>
      <c r="B1247" s="121">
        <v>1</v>
      </c>
      <c r="C1247" s="238">
        <v>46216</v>
      </c>
      <c r="D1247" s="105">
        <f t="shared" ca="1" si="74"/>
        <v>11</v>
      </c>
      <c r="E1247" s="138" t="str">
        <f t="shared" ca="1" si="75"/>
        <v>ATENÇÃO</v>
      </c>
      <c r="F1247" s="230" t="s">
        <v>42</v>
      </c>
      <c r="G1247" s="147" t="s">
        <v>43</v>
      </c>
      <c r="H1247" s="117" t="s">
        <v>181</v>
      </c>
      <c r="I1247" s="117" t="str">
        <f>IF(X1247="ADMITIDO","ADMITIDO",IF(X1247="CANCELADA","CANCELADA",IF(H1247="","",IFERROR(_xlfn.XLOOKUP(H1247,Listas!I:I,Listas!J:J),"OUTROS"))))</f>
        <v>DOCUMENTAÇÃO</v>
      </c>
      <c r="J1247" s="240" t="s">
        <v>3154</v>
      </c>
      <c r="K1247" s="240" t="s">
        <v>189</v>
      </c>
      <c r="L1247" s="240" t="s">
        <v>3155</v>
      </c>
      <c r="M1247" s="240"/>
      <c r="N1247" s="240" t="s">
        <v>3156</v>
      </c>
      <c r="O1247" s="119" t="s">
        <v>34</v>
      </c>
      <c r="P1247" s="119" t="s">
        <v>48</v>
      </c>
      <c r="Q1247" s="119" t="s">
        <v>120</v>
      </c>
      <c r="R1247" s="273"/>
      <c r="S1247" s="273" t="s">
        <v>3157</v>
      </c>
      <c r="T1247" s="274">
        <v>51985382541</v>
      </c>
      <c r="U1247" s="73" t="s">
        <v>67</v>
      </c>
      <c r="V1247" s="216">
        <v>46217</v>
      </c>
      <c r="W1247" s="118" t="s">
        <v>3158</v>
      </c>
      <c r="X1247" s="119" t="s">
        <v>188</v>
      </c>
      <c r="Y1247" s="120">
        <v>46230</v>
      </c>
      <c r="Z1247" s="120">
        <v>46230</v>
      </c>
      <c r="AA1247" s="244">
        <v>914679</v>
      </c>
      <c r="AB1247" s="241"/>
      <c r="AC1247" s="241"/>
      <c r="AD1247" s="244">
        <v>0</v>
      </c>
    </row>
    <row r="1248" spans="1:30" ht="15" customHeight="1">
      <c r="A1248" s="237">
        <v>31158</v>
      </c>
      <c r="B1248" s="121">
        <v>1</v>
      </c>
      <c r="C1248" s="238">
        <v>46216</v>
      </c>
      <c r="D1248" s="105">
        <f t="shared" ca="1" si="74"/>
        <v>11</v>
      </c>
      <c r="E1248" s="138" t="str">
        <f t="shared" ca="1" si="75"/>
        <v>ATENÇÃO</v>
      </c>
      <c r="F1248" s="230" t="s">
        <v>42</v>
      </c>
      <c r="G1248" s="147" t="s">
        <v>552</v>
      </c>
      <c r="H1248" s="117" t="s">
        <v>91</v>
      </c>
      <c r="I1248" s="117" t="str">
        <f>IF(X1248="ADMITIDO","ADMITIDO",IF(X1248="CANCELADA","CANCELADA",IF(H1248="","",IFERROR(_xlfn.XLOOKUP(H1248,Listas!I:I,Listas!J:J),"OUTROS"))))</f>
        <v>TRIAGEM</v>
      </c>
      <c r="J1248" s="240" t="s">
        <v>53</v>
      </c>
      <c r="K1248" s="240" t="s">
        <v>553</v>
      </c>
      <c r="L1248" s="240" t="s">
        <v>554</v>
      </c>
      <c r="M1248" s="240"/>
      <c r="N1248" s="240"/>
      <c r="O1248" s="119" t="s">
        <v>34</v>
      </c>
      <c r="P1248" s="119" t="s">
        <v>57</v>
      </c>
      <c r="Q1248" s="119" t="s">
        <v>98</v>
      </c>
      <c r="R1248" s="273"/>
      <c r="S1248" s="273"/>
      <c r="T1248" s="274"/>
      <c r="U1248" s="73"/>
      <c r="V1248" s="216"/>
      <c r="W1248" s="118"/>
      <c r="X1248" s="119"/>
      <c r="Y1248" s="120"/>
      <c r="Z1248" s="120"/>
      <c r="AA1248" s="244"/>
      <c r="AB1248" s="241"/>
      <c r="AC1248" s="241"/>
      <c r="AD1248" s="244">
        <v>0</v>
      </c>
    </row>
    <row r="1249" spans="1:30" ht="15" customHeight="1">
      <c r="A1249" s="237">
        <v>31159</v>
      </c>
      <c r="B1249" s="121">
        <v>1</v>
      </c>
      <c r="C1249" s="238">
        <v>46216</v>
      </c>
      <c r="D1249" s="105">
        <f t="shared" ca="1" si="74"/>
        <v>11</v>
      </c>
      <c r="E1249" s="138" t="str">
        <f t="shared" ca="1" si="75"/>
        <v>ATENÇÃO</v>
      </c>
      <c r="F1249" s="230" t="s">
        <v>42</v>
      </c>
      <c r="G1249" s="147" t="s">
        <v>552</v>
      </c>
      <c r="H1249" s="117" t="s">
        <v>91</v>
      </c>
      <c r="I1249" s="117" t="str">
        <f>IF(X1249="ADMITIDO","ADMITIDO",IF(X1249="CANCELADA","CANCELADA",IF(H1249="","",IFERROR(_xlfn.XLOOKUP(H1249,Listas!I:I,Listas!J:J),"OUTROS"))))</f>
        <v>TRIAGEM</v>
      </c>
      <c r="J1249" s="240" t="s">
        <v>53</v>
      </c>
      <c r="K1249" s="240" t="s">
        <v>553</v>
      </c>
      <c r="L1249" s="240" t="s">
        <v>554</v>
      </c>
      <c r="M1249" s="240"/>
      <c r="N1249" s="240"/>
      <c r="O1249" s="119" t="s">
        <v>34</v>
      </c>
      <c r="P1249" s="119" t="s">
        <v>57</v>
      </c>
      <c r="Q1249" s="119" t="s">
        <v>98</v>
      </c>
      <c r="R1249" s="273"/>
      <c r="S1249" s="273"/>
      <c r="T1249" s="274"/>
      <c r="U1249" s="73"/>
      <c r="V1249" s="216"/>
      <c r="W1249" s="118"/>
      <c r="X1249" s="119"/>
      <c r="Y1249" s="120"/>
      <c r="Z1249" s="120"/>
      <c r="AA1249" s="244"/>
      <c r="AB1249" s="241"/>
      <c r="AC1249" s="241"/>
      <c r="AD1249" s="244">
        <v>0</v>
      </c>
    </row>
    <row r="1250" spans="1:30" ht="15" customHeight="1">
      <c r="A1250" s="237">
        <v>31120</v>
      </c>
      <c r="B1250" s="121">
        <v>1</v>
      </c>
      <c r="C1250" s="238">
        <v>46216</v>
      </c>
      <c r="D1250" s="105">
        <f t="shared" ca="1" si="74"/>
        <v>11</v>
      </c>
      <c r="E1250" s="138" t="str">
        <f t="shared" ca="1" si="75"/>
        <v>ATENÇÃO</v>
      </c>
      <c r="F1250" s="230" t="s">
        <v>171</v>
      </c>
      <c r="G1250" s="147" t="s">
        <v>29</v>
      </c>
      <c r="H1250" s="117" t="s">
        <v>181</v>
      </c>
      <c r="I1250" s="117" t="str">
        <f>IF(X1250="ADMITIDO","ADMITIDO",IF(X1250="CANCELADA","CANCELADA",IF(H1250="","",IFERROR(_xlfn.XLOOKUP(H1250,Listas!I:I,Listas!J:J),"OUTROS"))))</f>
        <v>DOCUMENTAÇÃO</v>
      </c>
      <c r="J1250" s="240" t="s">
        <v>172</v>
      </c>
      <c r="K1250" s="240" t="s">
        <v>31</v>
      </c>
      <c r="L1250" s="240" t="s">
        <v>32</v>
      </c>
      <c r="M1250" s="240"/>
      <c r="N1250" s="240" t="s">
        <v>33</v>
      </c>
      <c r="O1250" s="119" t="s">
        <v>34</v>
      </c>
      <c r="P1250" s="119" t="s">
        <v>35</v>
      </c>
      <c r="Q1250" s="119" t="s">
        <v>36</v>
      </c>
      <c r="R1250" s="273"/>
      <c r="S1250" s="273"/>
      <c r="T1250" s="274" t="s">
        <v>3159</v>
      </c>
      <c r="U1250" s="73" t="s">
        <v>38</v>
      </c>
      <c r="V1250" s="216" t="s">
        <v>3160</v>
      </c>
      <c r="W1250" s="118" t="s">
        <v>3161</v>
      </c>
      <c r="X1250" s="119"/>
      <c r="Y1250" s="120"/>
      <c r="Z1250" s="120"/>
      <c r="AA1250" s="244"/>
      <c r="AB1250" s="241"/>
      <c r="AC1250" s="241"/>
      <c r="AD1250" s="244">
        <v>0</v>
      </c>
    </row>
    <row r="1251" spans="1:30" ht="15" customHeight="1">
      <c r="A1251" s="237">
        <v>31137</v>
      </c>
      <c r="B1251" s="121">
        <v>1</v>
      </c>
      <c r="C1251" s="238">
        <v>46216</v>
      </c>
      <c r="D1251" s="105">
        <f t="shared" ca="1" si="74"/>
        <v>11</v>
      </c>
      <c r="E1251" s="138" t="str">
        <f t="shared" si="75"/>
        <v>ADMITIDO</v>
      </c>
      <c r="F1251" s="230" t="s">
        <v>28</v>
      </c>
      <c r="G1251" s="147" t="s">
        <v>102</v>
      </c>
      <c r="H1251" s="117" t="s">
        <v>334</v>
      </c>
      <c r="I1251" s="117" t="str">
        <f>IF(X1251="ADMITIDO","ADMITIDO",IF(X1251="CANCELADA","CANCELADA",IF(H1251="","",IFERROR(_xlfn.XLOOKUP(H1251,Listas!I:I,Listas!J:J),"OUTROS"))))</f>
        <v>ADMITIDO</v>
      </c>
      <c r="J1251" s="240" t="s">
        <v>487</v>
      </c>
      <c r="K1251" s="240" t="s">
        <v>371</v>
      </c>
      <c r="L1251" s="240" t="s">
        <v>845</v>
      </c>
      <c r="M1251" s="240"/>
      <c r="N1251" s="240" t="s">
        <v>63</v>
      </c>
      <c r="O1251" s="119" t="s">
        <v>34</v>
      </c>
      <c r="P1251" s="119" t="s">
        <v>35</v>
      </c>
      <c r="Q1251" s="119" t="s">
        <v>369</v>
      </c>
      <c r="R1251" s="273"/>
      <c r="S1251" s="273" t="s">
        <v>1533</v>
      </c>
      <c r="T1251" s="274" t="s">
        <v>3162</v>
      </c>
      <c r="U1251" s="73" t="s">
        <v>109</v>
      </c>
      <c r="V1251" s="216">
        <v>46224</v>
      </c>
      <c r="W1251" s="118" t="s">
        <v>3163</v>
      </c>
      <c r="X1251" s="119" t="s">
        <v>40</v>
      </c>
      <c r="Y1251" s="120">
        <v>46226</v>
      </c>
      <c r="Z1251" s="120">
        <v>46227</v>
      </c>
      <c r="AA1251" s="244">
        <v>914676</v>
      </c>
      <c r="AB1251" s="241" t="s">
        <v>3164</v>
      </c>
      <c r="AC1251" s="241"/>
      <c r="AD1251" s="244">
        <v>1</v>
      </c>
    </row>
    <row r="1252" spans="1:30" ht="15" customHeight="1">
      <c r="A1252" s="237">
        <v>31143</v>
      </c>
      <c r="B1252" s="121">
        <v>1</v>
      </c>
      <c r="C1252" s="238">
        <v>46216</v>
      </c>
      <c r="D1252" s="105">
        <f t="shared" ref="D1252:D1315" ca="1" si="76">TODAY()-C1252</f>
        <v>11</v>
      </c>
      <c r="E1252" s="138" t="str">
        <f t="shared" ref="E1252:E1326" ca="1" si="77">IF(X1252="ADMITIDO","ADMITIDO",IF(X1252="CANCELADA","CANCELADA",IF(H1252="","",IF(H1252="ADMITIDO","ADMITIDO",IF(H1252="CANCELADA","CANCELADA",IF(OR(H1252="ANALISE CANCELAMENTO",H1252="ANÁLISE CANCELAMENTO"),"EM ANÁLISE",IF(D1252="","",IF(D1252&lt;=7,"NO PRAZO",IF(D1252&lt;=14,"ATENÇÃO","CRÍTICO")))))))))</f>
        <v>ATENÇÃO</v>
      </c>
      <c r="F1252" s="230" t="s">
        <v>42</v>
      </c>
      <c r="G1252" s="147" t="s">
        <v>60</v>
      </c>
      <c r="H1252" s="117" t="s">
        <v>334</v>
      </c>
      <c r="I1252" s="117" t="str">
        <f>IF(X1252="ADMITIDO","ADMITIDO",IF(X1252="CANCELADA","CANCELADA",IF(H1252="","",IFERROR(_xlfn.XLOOKUP(H1252,Listas!I:I,Listas!J:J),"OUTROS"))))</f>
        <v>DOCUMENTAÇÃO</v>
      </c>
      <c r="J1252" s="240" t="s">
        <v>53</v>
      </c>
      <c r="K1252" s="240" t="s">
        <v>61</v>
      </c>
      <c r="L1252" s="240" t="s">
        <v>506</v>
      </c>
      <c r="M1252" s="240"/>
      <c r="N1252" s="240" t="s">
        <v>63</v>
      </c>
      <c r="O1252" s="119" t="s">
        <v>34</v>
      </c>
      <c r="P1252" s="119" t="s">
        <v>219</v>
      </c>
      <c r="Q1252" s="119" t="s">
        <v>581</v>
      </c>
      <c r="R1252" s="273"/>
      <c r="S1252" s="273" t="s">
        <v>1533</v>
      </c>
      <c r="T1252" s="274" t="s">
        <v>3165</v>
      </c>
      <c r="U1252" s="73" t="s">
        <v>67</v>
      </c>
      <c r="V1252" s="216">
        <v>46224</v>
      </c>
      <c r="W1252" s="118" t="s">
        <v>3166</v>
      </c>
      <c r="X1252" s="119" t="s">
        <v>284</v>
      </c>
      <c r="Y1252" s="120"/>
      <c r="Z1252" s="120"/>
      <c r="AA1252" s="244"/>
      <c r="AB1252" s="241" t="s">
        <v>3167</v>
      </c>
      <c r="AC1252" s="241"/>
      <c r="AD1252" s="244">
        <v>1</v>
      </c>
    </row>
    <row r="1253" spans="1:30" ht="15" customHeight="1">
      <c r="A1253" s="237">
        <v>31139</v>
      </c>
      <c r="B1253" s="121">
        <v>1</v>
      </c>
      <c r="C1253" s="238">
        <v>46216</v>
      </c>
      <c r="D1253" s="105">
        <f t="shared" ca="1" si="76"/>
        <v>11</v>
      </c>
      <c r="E1253" s="138" t="str">
        <f t="shared" ca="1" si="77"/>
        <v>ATENÇÃO</v>
      </c>
      <c r="F1253" s="230" t="s">
        <v>28</v>
      </c>
      <c r="G1253" s="147" t="s">
        <v>102</v>
      </c>
      <c r="H1253" s="117" t="s">
        <v>214</v>
      </c>
      <c r="I1253" s="117" t="str">
        <f>IF(X1253="ADMITIDO","ADMITIDO",IF(X1253="CANCELADA","CANCELADA",IF(H1253="","",IFERROR(_xlfn.XLOOKUP(H1253,Listas!I:I,Listas!J:J),"OUTROS"))))</f>
        <v>TRIAGEM</v>
      </c>
      <c r="J1253" s="240" t="s">
        <v>586</v>
      </c>
      <c r="K1253" s="240" t="s">
        <v>371</v>
      </c>
      <c r="L1253" s="240" t="s">
        <v>3119</v>
      </c>
      <c r="M1253" s="240"/>
      <c r="N1253" s="240" t="s">
        <v>63</v>
      </c>
      <c r="O1253" s="119" t="s">
        <v>34</v>
      </c>
      <c r="P1253" s="119" t="s">
        <v>35</v>
      </c>
      <c r="Q1253" s="119" t="s">
        <v>36</v>
      </c>
      <c r="R1253" s="273"/>
      <c r="S1253" s="273"/>
      <c r="T1253" s="274"/>
      <c r="U1253" s="73"/>
      <c r="V1253" s="216"/>
      <c r="W1253" s="118"/>
      <c r="X1253" s="119"/>
      <c r="Y1253" s="120"/>
      <c r="Z1253" s="120"/>
      <c r="AA1253" s="244"/>
      <c r="AB1253" s="241" t="s">
        <v>3168</v>
      </c>
      <c r="AC1253" s="241"/>
      <c r="AD1253" s="244">
        <v>2</v>
      </c>
    </row>
    <row r="1254" spans="1:30" ht="15" customHeight="1">
      <c r="A1254" s="237">
        <v>31110</v>
      </c>
      <c r="B1254" s="121">
        <v>1</v>
      </c>
      <c r="C1254" s="238">
        <v>46216</v>
      </c>
      <c r="D1254" s="105">
        <f t="shared" ca="1" si="76"/>
        <v>11</v>
      </c>
      <c r="E1254" s="138" t="str">
        <f t="shared" ca="1" si="77"/>
        <v>ATENÇÃO</v>
      </c>
      <c r="F1254" s="230" t="s">
        <v>171</v>
      </c>
      <c r="G1254" s="147" t="s">
        <v>102</v>
      </c>
      <c r="H1254" s="117" t="s">
        <v>91</v>
      </c>
      <c r="I1254" s="117" t="str">
        <f>IF(X1254="ADMITIDO","ADMITIDO",IF(X1254="CANCELADA","CANCELADA",IF(H1254="","",IFERROR(_xlfn.XLOOKUP(H1254,Listas!I:I,Listas!J:J),"OUTROS"))))</f>
        <v>TRIAGEM</v>
      </c>
      <c r="J1254" s="240" t="s">
        <v>514</v>
      </c>
      <c r="K1254" s="240" t="s">
        <v>371</v>
      </c>
      <c r="L1254" s="240" t="s">
        <v>921</v>
      </c>
      <c r="M1254" s="240"/>
      <c r="N1254" s="240" t="s">
        <v>672</v>
      </c>
      <c r="O1254" s="119" t="s">
        <v>34</v>
      </c>
      <c r="P1254" s="119" t="s">
        <v>35</v>
      </c>
      <c r="Q1254" s="119" t="s">
        <v>36</v>
      </c>
      <c r="R1254" s="273"/>
      <c r="S1254" s="273"/>
      <c r="T1254" s="274"/>
      <c r="U1254" s="73"/>
      <c r="V1254" s="216"/>
      <c r="W1254" s="118"/>
      <c r="X1254" s="119"/>
      <c r="Y1254" s="120"/>
      <c r="Z1254" s="120"/>
      <c r="AA1254" s="244"/>
      <c r="AB1254" s="241"/>
      <c r="AC1254" s="241"/>
      <c r="AD1254" s="244">
        <v>0</v>
      </c>
    </row>
    <row r="1255" spans="1:30" ht="15" customHeight="1">
      <c r="A1255" s="237">
        <v>31151</v>
      </c>
      <c r="B1255" s="121">
        <v>1</v>
      </c>
      <c r="C1255" s="238">
        <v>46216</v>
      </c>
      <c r="D1255" s="105">
        <f t="shared" ca="1" si="76"/>
        <v>11</v>
      </c>
      <c r="E1255" s="138" t="str">
        <f t="shared" si="77"/>
        <v>ADMITIDO</v>
      </c>
      <c r="F1255" s="230" t="s">
        <v>42</v>
      </c>
      <c r="G1255" s="147" t="s">
        <v>43</v>
      </c>
      <c r="H1255" s="117" t="s">
        <v>40</v>
      </c>
      <c r="I1255" s="117" t="str">
        <f>IF(X1255="ADMITIDO","ADMITIDO",IF(X1255="CANCELADA","CANCELADA",IF(H1255="","",IFERROR(_xlfn.XLOOKUP(H1255,Listas!I:I,Listas!J:J),"OUTROS"))))</f>
        <v>ADMITIDO</v>
      </c>
      <c r="J1255" s="240" t="s">
        <v>53</v>
      </c>
      <c r="K1255" s="240" t="s">
        <v>45</v>
      </c>
      <c r="L1255" s="240" t="s">
        <v>1275</v>
      </c>
      <c r="M1255" s="240"/>
      <c r="N1255" s="240" t="s">
        <v>378</v>
      </c>
      <c r="O1255" s="119" t="s">
        <v>34</v>
      </c>
      <c r="P1255" s="119" t="s">
        <v>48</v>
      </c>
      <c r="Q1255" s="119" t="s">
        <v>541</v>
      </c>
      <c r="R1255" s="273"/>
      <c r="S1255" s="273" t="s">
        <v>1375</v>
      </c>
      <c r="T1255" s="274">
        <v>11978345024</v>
      </c>
      <c r="U1255" s="73" t="s">
        <v>67</v>
      </c>
      <c r="V1255" s="216">
        <v>46218</v>
      </c>
      <c r="W1255" s="118" t="s">
        <v>3169</v>
      </c>
      <c r="X1255" s="119" t="s">
        <v>40</v>
      </c>
      <c r="Y1255" s="120">
        <v>46225</v>
      </c>
      <c r="Z1255" s="120">
        <v>46226</v>
      </c>
      <c r="AA1255" s="244">
        <v>914662</v>
      </c>
      <c r="AB1255" s="241"/>
      <c r="AC1255" s="241"/>
      <c r="AD1255" s="244">
        <v>0</v>
      </c>
    </row>
    <row r="1256" spans="1:30" ht="15" customHeight="1">
      <c r="A1256" s="237">
        <v>31145</v>
      </c>
      <c r="B1256" s="121">
        <v>1</v>
      </c>
      <c r="C1256" s="238">
        <v>46216</v>
      </c>
      <c r="D1256" s="105">
        <f t="shared" ca="1" si="76"/>
        <v>11</v>
      </c>
      <c r="E1256" s="138" t="str">
        <f t="shared" si="77"/>
        <v>CANCELADA</v>
      </c>
      <c r="F1256" s="230" t="s">
        <v>28</v>
      </c>
      <c r="G1256" s="147" t="s">
        <v>102</v>
      </c>
      <c r="H1256" s="117" t="s">
        <v>52</v>
      </c>
      <c r="I1256" s="117" t="str">
        <f>IF(X1256="ADMITIDO","ADMITIDO",IF(X1256="CANCELADA","CANCELADA",IF(H1256="","",IFERROR(_xlfn.XLOOKUP(H1256,Listas!I:I,Listas!J:J),"OUTROS"))))</f>
        <v>CANCELADA</v>
      </c>
      <c r="J1256" s="240" t="s">
        <v>586</v>
      </c>
      <c r="K1256" s="240" t="s">
        <v>1820</v>
      </c>
      <c r="L1256" s="240" t="s">
        <v>515</v>
      </c>
      <c r="M1256" s="240"/>
      <c r="N1256" s="240" t="s">
        <v>63</v>
      </c>
      <c r="O1256" s="119" t="s">
        <v>34</v>
      </c>
      <c r="P1256" s="119" t="s">
        <v>35</v>
      </c>
      <c r="Q1256" s="119" t="s">
        <v>36</v>
      </c>
      <c r="R1256" s="273"/>
      <c r="S1256" s="273"/>
      <c r="T1256" s="274"/>
      <c r="U1256" s="73"/>
      <c r="V1256" s="216"/>
      <c r="W1256" s="118"/>
      <c r="X1256" s="119"/>
      <c r="Y1256" s="120"/>
      <c r="Z1256" s="120"/>
      <c r="AA1256" s="244"/>
      <c r="AB1256" s="241"/>
      <c r="AC1256" s="241"/>
      <c r="AD1256" s="244">
        <v>0</v>
      </c>
    </row>
    <row r="1257" spans="1:30" ht="15" customHeight="1">
      <c r="A1257" s="237">
        <v>31155</v>
      </c>
      <c r="B1257" s="121">
        <v>1</v>
      </c>
      <c r="C1257" s="238">
        <v>46216</v>
      </c>
      <c r="D1257" s="105">
        <f t="shared" ca="1" si="76"/>
        <v>11</v>
      </c>
      <c r="E1257" s="138" t="str">
        <f t="shared" si="77"/>
        <v>CANCELADA</v>
      </c>
      <c r="F1257" s="230" t="s">
        <v>171</v>
      </c>
      <c r="G1257" s="147" t="s">
        <v>102</v>
      </c>
      <c r="H1257" s="117" t="s">
        <v>52</v>
      </c>
      <c r="I1257" s="117" t="str">
        <f>IF(X1257="ADMITIDO","ADMITIDO",IF(X1257="CANCELADA","CANCELADA",IF(H1257="","",IFERROR(_xlfn.XLOOKUP(H1257,Listas!I:I,Listas!J:J),"OUTROS"))))</f>
        <v>CANCELADA</v>
      </c>
      <c r="J1257" s="240" t="s">
        <v>172</v>
      </c>
      <c r="K1257" s="240" t="s">
        <v>1820</v>
      </c>
      <c r="L1257" s="240" t="s">
        <v>515</v>
      </c>
      <c r="M1257" s="240"/>
      <c r="N1257" s="240" t="s">
        <v>63</v>
      </c>
      <c r="O1257" s="119" t="s">
        <v>34</v>
      </c>
      <c r="P1257" s="119" t="s">
        <v>35</v>
      </c>
      <c r="Q1257" s="119" t="s">
        <v>36</v>
      </c>
      <c r="R1257" s="273"/>
      <c r="S1257" s="273"/>
      <c r="T1257" s="274"/>
      <c r="U1257" s="73" t="s">
        <v>76</v>
      </c>
      <c r="V1257" s="216">
        <v>46217</v>
      </c>
      <c r="W1257" s="118" t="s">
        <v>3170</v>
      </c>
      <c r="X1257" s="119" t="s">
        <v>284</v>
      </c>
      <c r="Y1257" s="120"/>
      <c r="Z1257" s="120"/>
      <c r="AA1257" s="244"/>
      <c r="AB1257" s="241"/>
      <c r="AC1257" s="241"/>
      <c r="AD1257" s="244">
        <v>0</v>
      </c>
    </row>
    <row r="1258" spans="1:30" ht="15" customHeight="1">
      <c r="A1258" s="223">
        <v>31146</v>
      </c>
      <c r="B1258" s="224">
        <v>1</v>
      </c>
      <c r="C1258" s="201">
        <v>46216</v>
      </c>
      <c r="D1258" s="105">
        <f t="shared" ca="1" si="76"/>
        <v>11</v>
      </c>
      <c r="E1258" s="551" t="str">
        <f t="shared" si="77"/>
        <v>CANCELADA</v>
      </c>
      <c r="F1258" s="248" t="s">
        <v>28</v>
      </c>
      <c r="G1258" s="258" t="s">
        <v>102</v>
      </c>
      <c r="H1258" s="73" t="s">
        <v>52</v>
      </c>
      <c r="I1258" s="73" t="str">
        <f>IF(X1258="ADMITIDO","ADMITIDO",IF(X1258="CANCELADA","CANCELADA",IF(H1258="","",IFERROR(_xlfn.XLOOKUP(H1258,Listas!I:I,Listas!J:J),"OUTROS"))))</f>
        <v>CANCELADA</v>
      </c>
      <c r="J1258" s="226" t="s">
        <v>586</v>
      </c>
      <c r="K1258" s="226" t="s">
        <v>1820</v>
      </c>
      <c r="L1258" s="226" t="s">
        <v>1239</v>
      </c>
      <c r="M1258" s="226"/>
      <c r="N1258" s="226" t="s">
        <v>63</v>
      </c>
      <c r="O1258" s="227" t="s">
        <v>34</v>
      </c>
      <c r="P1258" s="227" t="s">
        <v>35</v>
      </c>
      <c r="Q1258" s="227" t="s">
        <v>36</v>
      </c>
      <c r="R1258" s="250"/>
      <c r="S1258" s="250"/>
      <c r="T1258" s="261"/>
      <c r="U1258" s="73"/>
      <c r="V1258" s="220"/>
      <c r="W1258" s="203"/>
      <c r="X1258" s="227"/>
      <c r="Y1258" s="249"/>
      <c r="Z1258" s="249"/>
      <c r="AA1258" s="256"/>
      <c r="AB1258" s="74"/>
      <c r="AC1258" s="74"/>
      <c r="AD1258" s="256">
        <v>0</v>
      </c>
    </row>
    <row r="1259" spans="1:30" ht="15" customHeight="1">
      <c r="A1259" s="237">
        <v>31136</v>
      </c>
      <c r="B1259" s="121">
        <v>1</v>
      </c>
      <c r="C1259" s="238">
        <v>46216</v>
      </c>
      <c r="D1259" s="105">
        <f t="shared" ca="1" si="76"/>
        <v>11</v>
      </c>
      <c r="E1259" s="138" t="str">
        <f t="shared" ca="1" si="77"/>
        <v>ATENÇÃO</v>
      </c>
      <c r="F1259" s="230" t="s">
        <v>42</v>
      </c>
      <c r="G1259" s="147" t="s">
        <v>43</v>
      </c>
      <c r="H1259" s="117" t="s">
        <v>181</v>
      </c>
      <c r="I1259" s="117" t="str">
        <f>IF(X1259="ADMITIDO","ADMITIDO",IF(X1259="CANCELADA","CANCELADA",IF(H1259="","",IFERROR(_xlfn.XLOOKUP(H1259,Listas!I:I,Listas!J:J),"OUTROS"))))</f>
        <v>DOCUMENTAÇÃO</v>
      </c>
      <c r="J1259" s="240" t="s">
        <v>53</v>
      </c>
      <c r="K1259" s="240" t="s">
        <v>189</v>
      </c>
      <c r="L1259" s="240" t="s">
        <v>3171</v>
      </c>
      <c r="M1259" s="240"/>
      <c r="N1259" s="240" t="s">
        <v>337</v>
      </c>
      <c r="O1259" s="119" t="s">
        <v>34</v>
      </c>
      <c r="P1259" s="119" t="s">
        <v>57</v>
      </c>
      <c r="Q1259" s="119" t="s">
        <v>3172</v>
      </c>
      <c r="R1259" s="273"/>
      <c r="S1259" s="273" t="s">
        <v>3173</v>
      </c>
      <c r="T1259" s="274">
        <v>15992848941</v>
      </c>
      <c r="U1259" s="73" t="s">
        <v>67</v>
      </c>
      <c r="V1259" s="216">
        <v>46217</v>
      </c>
      <c r="W1259" s="118" t="s">
        <v>3174</v>
      </c>
      <c r="X1259" s="119" t="s">
        <v>284</v>
      </c>
      <c r="Y1259" s="120"/>
      <c r="Z1259" s="120"/>
      <c r="AA1259" s="244"/>
      <c r="AB1259" s="241" t="s">
        <v>3175</v>
      </c>
      <c r="AC1259" s="241"/>
      <c r="AD1259" s="244">
        <v>0</v>
      </c>
    </row>
    <row r="1260" spans="1:30" ht="15" customHeight="1">
      <c r="A1260" s="237">
        <v>31153</v>
      </c>
      <c r="B1260" s="121">
        <v>1</v>
      </c>
      <c r="C1260" s="238">
        <v>46216</v>
      </c>
      <c r="D1260" s="105">
        <f t="shared" ca="1" si="76"/>
        <v>11</v>
      </c>
      <c r="E1260" s="138" t="str">
        <f t="shared" si="77"/>
        <v>ADMITIDO</v>
      </c>
      <c r="F1260" s="230" t="s">
        <v>28</v>
      </c>
      <c r="G1260" s="147" t="s">
        <v>60</v>
      </c>
      <c r="H1260" s="117" t="s">
        <v>181</v>
      </c>
      <c r="I1260" s="117" t="str">
        <f>IF(X1260="ADMITIDO","ADMITIDO",IF(X1260="CANCELADA","CANCELADA",IF(H1260="","",IFERROR(_xlfn.XLOOKUP(H1260,Listas!I:I,Listas!J:J),"OUTROS"))))</f>
        <v>ADMITIDO</v>
      </c>
      <c r="J1260" s="240" t="s">
        <v>268</v>
      </c>
      <c r="K1260" s="240" t="s">
        <v>330</v>
      </c>
      <c r="L1260" s="240" t="s">
        <v>1017</v>
      </c>
      <c r="M1260" s="240"/>
      <c r="N1260" s="240" t="s">
        <v>435</v>
      </c>
      <c r="O1260" s="119" t="s">
        <v>34</v>
      </c>
      <c r="P1260" s="119" t="s">
        <v>35</v>
      </c>
      <c r="Q1260" s="119" t="s">
        <v>362</v>
      </c>
      <c r="R1260" s="273"/>
      <c r="S1260" s="273" t="s">
        <v>1533</v>
      </c>
      <c r="T1260" s="274" t="s">
        <v>3176</v>
      </c>
      <c r="U1260" s="73" t="s">
        <v>109</v>
      </c>
      <c r="V1260" s="216">
        <v>46220</v>
      </c>
      <c r="W1260" s="118" t="s">
        <v>3177</v>
      </c>
      <c r="X1260" s="119" t="s">
        <v>40</v>
      </c>
      <c r="Y1260" s="120">
        <v>46226</v>
      </c>
      <c r="Z1260" s="120">
        <v>46227</v>
      </c>
      <c r="AA1260" s="244">
        <v>914674</v>
      </c>
      <c r="AB1260" s="241"/>
      <c r="AC1260" s="241"/>
      <c r="AD1260" s="244">
        <v>0</v>
      </c>
    </row>
    <row r="1261" spans="1:30" ht="15" customHeight="1">
      <c r="A1261" s="237">
        <v>31147</v>
      </c>
      <c r="B1261" s="121">
        <v>1</v>
      </c>
      <c r="C1261" s="238">
        <v>46216</v>
      </c>
      <c r="D1261" s="105">
        <f t="shared" ca="1" si="76"/>
        <v>11</v>
      </c>
      <c r="E1261" s="138" t="str">
        <f t="shared" ca="1" si="77"/>
        <v>ATENÇÃO</v>
      </c>
      <c r="F1261" s="230" t="s">
        <v>28</v>
      </c>
      <c r="G1261" s="147" t="s">
        <v>60</v>
      </c>
      <c r="H1261" s="117" t="s">
        <v>259</v>
      </c>
      <c r="I1261" s="117" t="str">
        <f>IF(X1261="ADMITIDO","ADMITIDO",IF(X1261="CANCELADA","CANCELADA",IF(H1261="","",IFERROR(_xlfn.XLOOKUP(H1261,Listas!I:I,Listas!J:J),"OUTROS"))))</f>
        <v>TRIAGEM</v>
      </c>
      <c r="J1261" s="240" t="s">
        <v>586</v>
      </c>
      <c r="K1261" s="240" t="s">
        <v>318</v>
      </c>
      <c r="L1261" s="240" t="s">
        <v>1173</v>
      </c>
      <c r="M1261" s="240"/>
      <c r="N1261" s="240" t="s">
        <v>1174</v>
      </c>
      <c r="O1261" s="119" t="s">
        <v>56</v>
      </c>
      <c r="P1261" s="119" t="s">
        <v>35</v>
      </c>
      <c r="Q1261" s="119" t="s">
        <v>176</v>
      </c>
      <c r="R1261" s="273"/>
      <c r="S1261" s="273"/>
      <c r="T1261" s="274"/>
      <c r="U1261" s="73" t="s">
        <v>109</v>
      </c>
      <c r="V1261" s="216">
        <v>46226</v>
      </c>
      <c r="W1261" s="118" t="s">
        <v>3178</v>
      </c>
      <c r="X1261" s="119" t="s">
        <v>284</v>
      </c>
      <c r="Y1261" s="120"/>
      <c r="Z1261" s="120"/>
      <c r="AA1261" s="244"/>
      <c r="AB1261" s="241" t="s">
        <v>3179</v>
      </c>
      <c r="AC1261" s="241"/>
      <c r="AD1261" s="244">
        <v>1</v>
      </c>
    </row>
    <row r="1262" spans="1:30" ht="15" customHeight="1">
      <c r="A1262" s="237">
        <v>31140</v>
      </c>
      <c r="B1262" s="121">
        <v>1</v>
      </c>
      <c r="C1262" s="238">
        <v>46216</v>
      </c>
      <c r="D1262" s="105">
        <f t="shared" ca="1" si="76"/>
        <v>11</v>
      </c>
      <c r="E1262" s="138" t="str">
        <f t="shared" si="77"/>
        <v>ADMITIDO</v>
      </c>
      <c r="F1262" s="230" t="s">
        <v>42</v>
      </c>
      <c r="G1262" s="147" t="s">
        <v>60</v>
      </c>
      <c r="H1262" s="117" t="s">
        <v>181</v>
      </c>
      <c r="I1262" s="117" t="str">
        <f>IF(X1262="ADMITIDO","ADMITIDO",IF(X1262="CANCELADA","CANCELADA",IF(H1262="","",IFERROR(_xlfn.XLOOKUP(H1262,Listas!I:I,Listas!J:J),"OUTROS"))))</f>
        <v>ADMITIDO</v>
      </c>
      <c r="J1262" s="240" t="s">
        <v>163</v>
      </c>
      <c r="K1262" s="240" t="s">
        <v>61</v>
      </c>
      <c r="L1262" s="240" t="s">
        <v>600</v>
      </c>
      <c r="M1262" s="240"/>
      <c r="N1262" s="240" t="s">
        <v>63</v>
      </c>
      <c r="O1262" s="119" t="s">
        <v>34</v>
      </c>
      <c r="P1262" s="119" t="s">
        <v>57</v>
      </c>
      <c r="Q1262" s="119" t="s">
        <v>98</v>
      </c>
      <c r="R1262" s="273"/>
      <c r="S1262" s="273" t="s">
        <v>1533</v>
      </c>
      <c r="T1262" s="274" t="s">
        <v>3180</v>
      </c>
      <c r="U1262" s="73" t="s">
        <v>67</v>
      </c>
      <c r="V1262" s="216">
        <v>46219</v>
      </c>
      <c r="W1262" s="118" t="s">
        <v>3181</v>
      </c>
      <c r="X1262" s="119" t="s">
        <v>40</v>
      </c>
      <c r="Y1262" s="120">
        <v>46225</v>
      </c>
      <c r="Z1262" s="120">
        <v>46226</v>
      </c>
      <c r="AA1262" s="244">
        <v>146269</v>
      </c>
      <c r="AB1262" s="241"/>
      <c r="AC1262" s="241"/>
      <c r="AD1262" s="244">
        <v>0</v>
      </c>
    </row>
    <row r="1263" spans="1:30" ht="15" customHeight="1">
      <c r="A1263" s="237">
        <v>31138</v>
      </c>
      <c r="B1263" s="121">
        <v>1</v>
      </c>
      <c r="C1263" s="238">
        <v>46216</v>
      </c>
      <c r="D1263" s="105">
        <f t="shared" ca="1" si="76"/>
        <v>11</v>
      </c>
      <c r="E1263" s="138" t="str">
        <f t="shared" ca="1" si="77"/>
        <v>ATENÇÃO</v>
      </c>
      <c r="F1263" s="230" t="s">
        <v>42</v>
      </c>
      <c r="G1263" s="147" t="s">
        <v>663</v>
      </c>
      <c r="H1263" s="117" t="s">
        <v>181</v>
      </c>
      <c r="I1263" s="117" t="str">
        <f>IF(X1263="ADMITIDO","ADMITIDO",IF(X1263="CANCELADA","CANCELADA",IF(H1263="","",IFERROR(_xlfn.XLOOKUP(H1263,Listas!I:I,Listas!J:J),"OUTROS"))))</f>
        <v>DOCUMENTAÇÃO</v>
      </c>
      <c r="J1263" s="240" t="s">
        <v>53</v>
      </c>
      <c r="K1263" s="240" t="s">
        <v>228</v>
      </c>
      <c r="L1263" s="240" t="s">
        <v>92</v>
      </c>
      <c r="M1263" s="240"/>
      <c r="N1263" s="240" t="s">
        <v>93</v>
      </c>
      <c r="O1263" s="119" t="s">
        <v>34</v>
      </c>
      <c r="P1263" s="119" t="s">
        <v>57</v>
      </c>
      <c r="Q1263" s="119" t="s">
        <v>94</v>
      </c>
      <c r="R1263" s="273"/>
      <c r="S1263" s="273"/>
      <c r="T1263" s="274" t="s">
        <v>3182</v>
      </c>
      <c r="U1263" s="73" t="s">
        <v>38</v>
      </c>
      <c r="V1263" s="216" t="s">
        <v>2620</v>
      </c>
      <c r="W1263" s="65" t="s">
        <v>3183</v>
      </c>
      <c r="X1263" s="119" t="s">
        <v>188</v>
      </c>
      <c r="Y1263" s="120">
        <v>46227</v>
      </c>
      <c r="Z1263" s="120">
        <v>46228</v>
      </c>
      <c r="AA1263" s="244">
        <v>914692</v>
      </c>
      <c r="AB1263" s="241"/>
      <c r="AC1263" s="241"/>
      <c r="AD1263" s="244">
        <v>0</v>
      </c>
    </row>
    <row r="1264" spans="1:30" ht="15" customHeight="1">
      <c r="A1264" s="237">
        <v>31144</v>
      </c>
      <c r="B1264" s="121">
        <v>1</v>
      </c>
      <c r="C1264" s="238">
        <v>46216</v>
      </c>
      <c r="D1264" s="105">
        <f t="shared" ca="1" si="76"/>
        <v>11</v>
      </c>
      <c r="E1264" s="138" t="str">
        <f t="shared" ca="1" si="77"/>
        <v>ATENÇÃO</v>
      </c>
      <c r="F1264" s="230" t="s">
        <v>42</v>
      </c>
      <c r="G1264" s="147" t="s">
        <v>60</v>
      </c>
      <c r="H1264" s="117" t="s">
        <v>91</v>
      </c>
      <c r="I1264" s="117" t="str">
        <f>IF(X1264="ADMITIDO","ADMITIDO",IF(X1264="CANCELADA","CANCELADA",IF(H1264="","",IFERROR(_xlfn.XLOOKUP(H1264,Listas!I:I,Listas!J:J),"OUTROS"))))</f>
        <v>TRIAGEM</v>
      </c>
      <c r="J1264" s="240" t="s">
        <v>53</v>
      </c>
      <c r="K1264" s="240" t="s">
        <v>61</v>
      </c>
      <c r="L1264" s="240" t="s">
        <v>255</v>
      </c>
      <c r="M1264" s="240"/>
      <c r="N1264" s="240" t="s">
        <v>63</v>
      </c>
      <c r="O1264" s="119" t="s">
        <v>34</v>
      </c>
      <c r="P1264" s="119" t="s">
        <v>219</v>
      </c>
      <c r="Q1264" s="119" t="s">
        <v>73</v>
      </c>
      <c r="R1264" s="273"/>
      <c r="S1264" s="273"/>
      <c r="T1264" s="274"/>
      <c r="U1264" s="73"/>
      <c r="V1264" s="216"/>
      <c r="W1264" s="118"/>
      <c r="X1264" s="119"/>
      <c r="Y1264" s="120"/>
      <c r="Z1264" s="120"/>
      <c r="AA1264" s="244"/>
      <c r="AB1264" s="241"/>
      <c r="AC1264" s="241"/>
      <c r="AD1264" s="244">
        <v>0</v>
      </c>
    </row>
    <row r="1265" spans="1:30" ht="15" customHeight="1">
      <c r="A1265" s="237">
        <v>31141</v>
      </c>
      <c r="B1265" s="121">
        <v>1</v>
      </c>
      <c r="C1265" s="238">
        <v>46216</v>
      </c>
      <c r="D1265" s="105">
        <f t="shared" ca="1" si="76"/>
        <v>11</v>
      </c>
      <c r="E1265" s="138" t="str">
        <f t="shared" si="77"/>
        <v>ADMITIDO</v>
      </c>
      <c r="F1265" s="230" t="s">
        <v>42</v>
      </c>
      <c r="G1265" s="147" t="s">
        <v>60</v>
      </c>
      <c r="H1265" s="117" t="s">
        <v>91</v>
      </c>
      <c r="I1265" s="117" t="str">
        <f>IF(X1265="ADMITIDO","ADMITIDO",IF(X1265="CANCELADA","CANCELADA",IF(H1265="","",IFERROR(_xlfn.XLOOKUP(H1265,Listas!I:I,Listas!J:J),"OUTROS"))))</f>
        <v>ADMITIDO</v>
      </c>
      <c r="J1265" s="240" t="s">
        <v>53</v>
      </c>
      <c r="K1265" s="240" t="s">
        <v>61</v>
      </c>
      <c r="L1265" s="240" t="s">
        <v>62</v>
      </c>
      <c r="M1265" s="240"/>
      <c r="N1265" s="240" t="s">
        <v>63</v>
      </c>
      <c r="O1265" s="119" t="s">
        <v>34</v>
      </c>
      <c r="P1265" s="119" t="s">
        <v>219</v>
      </c>
      <c r="Q1265" s="119" t="s">
        <v>73</v>
      </c>
      <c r="R1265" s="273"/>
      <c r="S1265" s="273"/>
      <c r="T1265" s="274"/>
      <c r="U1265" s="73" t="s">
        <v>109</v>
      </c>
      <c r="V1265" s="216">
        <v>46224</v>
      </c>
      <c r="W1265" s="118" t="s">
        <v>3184</v>
      </c>
      <c r="X1265" s="119" t="s">
        <v>40</v>
      </c>
      <c r="Y1265" s="120">
        <v>46226</v>
      </c>
      <c r="Z1265" s="120">
        <v>46230</v>
      </c>
      <c r="AA1265" s="244">
        <v>146276</v>
      </c>
      <c r="AB1265" s="241"/>
      <c r="AC1265" s="241"/>
      <c r="AD1265" s="244">
        <v>0</v>
      </c>
    </row>
    <row r="1266" spans="1:30" ht="15" customHeight="1">
      <c r="A1266" s="237">
        <v>31142</v>
      </c>
      <c r="B1266" s="121">
        <v>1</v>
      </c>
      <c r="C1266" s="238">
        <v>46216</v>
      </c>
      <c r="D1266" s="105">
        <f t="shared" ca="1" si="76"/>
        <v>11</v>
      </c>
      <c r="E1266" s="138" t="str">
        <f t="shared" ca="1" si="77"/>
        <v>ATENÇÃO</v>
      </c>
      <c r="F1266" s="230" t="s">
        <v>42</v>
      </c>
      <c r="G1266" s="147" t="s">
        <v>60</v>
      </c>
      <c r="H1266" s="117" t="s">
        <v>334</v>
      </c>
      <c r="I1266" s="117" t="str">
        <f>IF(X1266="ADMITIDO","ADMITIDO",IF(X1266="CANCELADA","CANCELADA",IF(H1266="","",IFERROR(_xlfn.XLOOKUP(H1266,Listas!I:I,Listas!J:J),"OUTROS"))))</f>
        <v>DOCUMENTAÇÃO</v>
      </c>
      <c r="J1266" s="240" t="s">
        <v>53</v>
      </c>
      <c r="K1266" s="240" t="s">
        <v>61</v>
      </c>
      <c r="L1266" s="240" t="s">
        <v>62</v>
      </c>
      <c r="M1266" s="240"/>
      <c r="N1266" s="240" t="s">
        <v>63</v>
      </c>
      <c r="O1266" s="119" t="s">
        <v>34</v>
      </c>
      <c r="P1266" s="119" t="s">
        <v>219</v>
      </c>
      <c r="Q1266" s="119" t="s">
        <v>244</v>
      </c>
      <c r="R1266" s="273"/>
      <c r="S1266" s="273" t="s">
        <v>1533</v>
      </c>
      <c r="T1266" s="274" t="s">
        <v>3185</v>
      </c>
      <c r="U1266" s="73" t="s">
        <v>76</v>
      </c>
      <c r="V1266" s="216">
        <v>46226</v>
      </c>
      <c r="W1266" s="118" t="s">
        <v>3186</v>
      </c>
      <c r="X1266" s="119" t="s">
        <v>284</v>
      </c>
      <c r="Y1266" s="120"/>
      <c r="Z1266" s="120"/>
      <c r="AA1266" s="244"/>
      <c r="AB1266" s="241" t="s">
        <v>3187</v>
      </c>
      <c r="AC1266" s="241"/>
      <c r="AD1266" s="244">
        <v>1</v>
      </c>
    </row>
    <row r="1267" spans="1:30" ht="15" customHeight="1">
      <c r="A1267" s="237">
        <v>31154</v>
      </c>
      <c r="B1267" s="121">
        <v>1</v>
      </c>
      <c r="C1267" s="238">
        <v>46216</v>
      </c>
      <c r="D1267" s="105">
        <f t="shared" ca="1" si="76"/>
        <v>11</v>
      </c>
      <c r="E1267" s="138" t="str">
        <f t="shared" ca="1" si="77"/>
        <v>ATENÇÃO</v>
      </c>
      <c r="F1267" s="230" t="s">
        <v>42</v>
      </c>
      <c r="G1267" s="147" t="s">
        <v>663</v>
      </c>
      <c r="H1267" s="117" t="s">
        <v>91</v>
      </c>
      <c r="I1267" s="117" t="str">
        <f>IF(X1267="ADMITIDO","ADMITIDO",IF(X1267="CANCELADA","CANCELADA",IF(H1267="","",IFERROR(_xlfn.XLOOKUP(H1267,Listas!I:I,Listas!J:J),"OUTROS"))))</f>
        <v>TRIAGEM</v>
      </c>
      <c r="J1267" s="240" t="s">
        <v>53</v>
      </c>
      <c r="K1267" s="240" t="s">
        <v>2889</v>
      </c>
      <c r="L1267" s="240" t="s">
        <v>3188</v>
      </c>
      <c r="M1267" s="240"/>
      <c r="N1267" s="240" t="s">
        <v>88</v>
      </c>
      <c r="O1267" s="119" t="s">
        <v>34</v>
      </c>
      <c r="P1267" s="119" t="s">
        <v>48</v>
      </c>
      <c r="Q1267" s="119" t="s">
        <v>49</v>
      </c>
      <c r="R1267" s="273"/>
      <c r="S1267" s="273"/>
      <c r="T1267" s="274"/>
      <c r="U1267" s="73"/>
      <c r="V1267" s="216"/>
      <c r="W1267" s="118"/>
      <c r="X1267" s="119"/>
      <c r="Y1267" s="120"/>
      <c r="Z1267" s="120"/>
      <c r="AA1267" s="244"/>
      <c r="AB1267" s="241" t="s">
        <v>3189</v>
      </c>
      <c r="AC1267" s="241"/>
      <c r="AD1267" s="244">
        <v>1</v>
      </c>
    </row>
    <row r="1268" spans="1:30" ht="15" customHeight="1">
      <c r="A1268" s="237">
        <v>31156</v>
      </c>
      <c r="B1268" s="121">
        <v>1</v>
      </c>
      <c r="C1268" s="238">
        <v>46216</v>
      </c>
      <c r="D1268" s="105">
        <f t="shared" ca="1" si="76"/>
        <v>11</v>
      </c>
      <c r="E1268" s="138" t="str">
        <f t="shared" si="77"/>
        <v>ADMITIDO</v>
      </c>
      <c r="F1268" s="230" t="s">
        <v>171</v>
      </c>
      <c r="G1268" s="147" t="s">
        <v>43</v>
      </c>
      <c r="H1268" s="117" t="s">
        <v>40</v>
      </c>
      <c r="I1268" s="117" t="str">
        <f>IF(X1268="ADMITIDO","ADMITIDO",IF(X1268="CANCELADA","CANCELADA",IF(H1268="","",IFERROR(_xlfn.XLOOKUP(H1268,Listas!I:I,Listas!J:J),"OUTROS"))))</f>
        <v>ADMITIDO</v>
      </c>
      <c r="J1268" s="240" t="s">
        <v>514</v>
      </c>
      <c r="K1268" s="240" t="s">
        <v>1808</v>
      </c>
      <c r="L1268" s="240" t="s">
        <v>2372</v>
      </c>
      <c r="M1268" s="240"/>
      <c r="N1268" s="240" t="s">
        <v>2594</v>
      </c>
      <c r="O1268" s="119" t="s">
        <v>56</v>
      </c>
      <c r="P1268" s="119" t="s">
        <v>35</v>
      </c>
      <c r="Q1268" s="119" t="s">
        <v>176</v>
      </c>
      <c r="R1268" s="273"/>
      <c r="S1268" s="273" t="s">
        <v>1375</v>
      </c>
      <c r="T1268" s="274">
        <v>11987315050</v>
      </c>
      <c r="U1268" s="73" t="s">
        <v>50</v>
      </c>
      <c r="V1268" s="216">
        <v>46219</v>
      </c>
      <c r="W1268" s="118" t="s">
        <v>3190</v>
      </c>
      <c r="X1268" s="119" t="s">
        <v>40</v>
      </c>
      <c r="Y1268" s="120">
        <v>46223</v>
      </c>
      <c r="Z1268" s="120">
        <v>46224</v>
      </c>
      <c r="AA1268" s="585">
        <v>83386</v>
      </c>
      <c r="AB1268" s="241" t="s">
        <v>3191</v>
      </c>
      <c r="AC1268" s="241"/>
      <c r="AD1268" s="244">
        <v>0</v>
      </c>
    </row>
    <row r="1269" spans="1:30" ht="15" customHeight="1">
      <c r="A1269" s="237">
        <v>31157</v>
      </c>
      <c r="B1269" s="121">
        <v>1</v>
      </c>
      <c r="C1269" s="238">
        <v>46216</v>
      </c>
      <c r="D1269" s="105">
        <f t="shared" ca="1" si="76"/>
        <v>11</v>
      </c>
      <c r="E1269" s="138" t="str">
        <f t="shared" si="77"/>
        <v>ADMITIDO</v>
      </c>
      <c r="F1269" s="230" t="s">
        <v>171</v>
      </c>
      <c r="G1269" s="147" t="s">
        <v>43</v>
      </c>
      <c r="H1269" s="117" t="s">
        <v>40</v>
      </c>
      <c r="I1269" s="117" t="str">
        <f>IF(X1269="ADMITIDO","ADMITIDO",IF(X1269="CANCELADA","CANCELADA",IF(H1269="","",IFERROR(_xlfn.XLOOKUP(H1269,Listas!I:I,Listas!J:J),"OUTROS"))))</f>
        <v>ADMITIDO</v>
      </c>
      <c r="J1269" s="240" t="s">
        <v>514</v>
      </c>
      <c r="K1269" s="240" t="s">
        <v>1808</v>
      </c>
      <c r="L1269" s="240" t="s">
        <v>2372</v>
      </c>
      <c r="M1269" s="240"/>
      <c r="N1269" s="240" t="s">
        <v>2594</v>
      </c>
      <c r="O1269" s="119" t="s">
        <v>56</v>
      </c>
      <c r="P1269" s="119" t="s">
        <v>35</v>
      </c>
      <c r="Q1269" s="119" t="s">
        <v>176</v>
      </c>
      <c r="R1269" s="273"/>
      <c r="S1269" s="273" t="s">
        <v>1375</v>
      </c>
      <c r="T1269" s="274">
        <v>11944603557</v>
      </c>
      <c r="U1269" s="73" t="s">
        <v>50</v>
      </c>
      <c r="V1269" s="216">
        <v>46219</v>
      </c>
      <c r="W1269" s="118" t="s">
        <v>3192</v>
      </c>
      <c r="X1269" s="119" t="s">
        <v>40</v>
      </c>
      <c r="Y1269" s="120">
        <v>46223</v>
      </c>
      <c r="Z1269" s="120">
        <v>46223</v>
      </c>
      <c r="AA1269" s="585">
        <v>83387</v>
      </c>
      <c r="AB1269" s="241" t="s">
        <v>3193</v>
      </c>
      <c r="AC1269" s="241"/>
      <c r="AD1269" s="244">
        <v>0</v>
      </c>
    </row>
    <row r="1270" spans="1:30" ht="15" customHeight="1">
      <c r="A1270" s="237">
        <v>31175</v>
      </c>
      <c r="B1270" s="121">
        <v>1</v>
      </c>
      <c r="C1270" s="238">
        <v>46217</v>
      </c>
      <c r="D1270" s="105">
        <f t="shared" ca="1" si="76"/>
        <v>10</v>
      </c>
      <c r="E1270" s="138" t="str">
        <f t="shared" si="77"/>
        <v>ADMITIDO</v>
      </c>
      <c r="F1270" s="230" t="s">
        <v>42</v>
      </c>
      <c r="G1270" s="147" t="s">
        <v>43</v>
      </c>
      <c r="H1270" s="117" t="s">
        <v>40</v>
      </c>
      <c r="I1270" s="117" t="str">
        <f>IF(X1270="ADMITIDO","ADMITIDO",IF(X1270="CANCELADA","CANCELADA",IF(H1270="","",IFERROR(_xlfn.XLOOKUP(H1270,Listas!I:I,Listas!J:J),"OUTROS"))))</f>
        <v>ADMITIDO</v>
      </c>
      <c r="J1270" s="240" t="s">
        <v>53</v>
      </c>
      <c r="K1270" s="240" t="s">
        <v>189</v>
      </c>
      <c r="L1270" s="240" t="s">
        <v>869</v>
      </c>
      <c r="M1270" s="240"/>
      <c r="N1270" s="240" t="s">
        <v>337</v>
      </c>
      <c r="O1270" s="119" t="s">
        <v>34</v>
      </c>
      <c r="P1270" s="119" t="s">
        <v>48</v>
      </c>
      <c r="Q1270" s="119" t="s">
        <v>131</v>
      </c>
      <c r="R1270" s="273"/>
      <c r="S1270" s="273" t="s">
        <v>1702</v>
      </c>
      <c r="T1270" s="274">
        <v>15998564248</v>
      </c>
      <c r="U1270" s="73" t="s">
        <v>67</v>
      </c>
      <c r="V1270" s="216">
        <v>46218</v>
      </c>
      <c r="W1270" s="118" t="s">
        <v>3194</v>
      </c>
      <c r="X1270" s="119" t="s">
        <v>40</v>
      </c>
      <c r="Y1270" s="120">
        <v>46226</v>
      </c>
      <c r="Z1270" s="120">
        <v>46226</v>
      </c>
      <c r="AA1270" s="244">
        <v>914662</v>
      </c>
      <c r="AB1270" s="241"/>
      <c r="AC1270" s="241"/>
      <c r="AD1270" s="244">
        <v>0</v>
      </c>
    </row>
    <row r="1271" spans="1:30" ht="15" customHeight="1">
      <c r="A1271" s="237">
        <v>31178</v>
      </c>
      <c r="B1271" s="121">
        <v>1</v>
      </c>
      <c r="C1271" s="238">
        <v>46217</v>
      </c>
      <c r="D1271" s="105">
        <f t="shared" ca="1" si="76"/>
        <v>10</v>
      </c>
      <c r="E1271" s="138" t="str">
        <f t="shared" ca="1" si="77"/>
        <v>ATENÇÃO</v>
      </c>
      <c r="F1271" s="230" t="s">
        <v>28</v>
      </c>
      <c r="G1271" s="147" t="s">
        <v>29</v>
      </c>
      <c r="H1271" s="117" t="s">
        <v>181</v>
      </c>
      <c r="I1271" s="117" t="str">
        <f>IF(X1271="ADMITIDO","ADMITIDO",IF(X1271="CANCELADA","CANCELADA",IF(H1271="","",IFERROR(_xlfn.XLOOKUP(H1271,Listas!I:I,Listas!J:J),"OUTROS"))))</f>
        <v>DOCUMENTAÇÃO</v>
      </c>
      <c r="J1271" s="240" t="s">
        <v>146</v>
      </c>
      <c r="K1271" s="240" t="s">
        <v>2936</v>
      </c>
      <c r="L1271" s="240" t="s">
        <v>1827</v>
      </c>
      <c r="M1271" s="240"/>
      <c r="N1271" s="240" t="s">
        <v>148</v>
      </c>
      <c r="O1271" s="119" t="s">
        <v>56</v>
      </c>
      <c r="P1271" s="119" t="s">
        <v>35</v>
      </c>
      <c r="Q1271" s="119" t="s">
        <v>176</v>
      </c>
      <c r="R1271" s="273"/>
      <c r="S1271" s="273"/>
      <c r="T1271" s="274" t="s">
        <v>3195</v>
      </c>
      <c r="U1271" s="73" t="s">
        <v>38</v>
      </c>
      <c r="V1271" s="216" t="s">
        <v>3196</v>
      </c>
      <c r="W1271" s="118" t="s">
        <v>3197</v>
      </c>
      <c r="X1271" s="119" t="s">
        <v>810</v>
      </c>
      <c r="Y1271" s="120"/>
      <c r="Z1271" s="120"/>
      <c r="AA1271" s="244"/>
      <c r="AB1271" s="241"/>
      <c r="AC1271" s="241"/>
      <c r="AD1271" s="244">
        <v>0</v>
      </c>
    </row>
    <row r="1272" spans="1:30" ht="15" customHeight="1">
      <c r="A1272" s="237">
        <v>31170</v>
      </c>
      <c r="B1272" s="121">
        <v>1</v>
      </c>
      <c r="C1272" s="238">
        <v>46217</v>
      </c>
      <c r="D1272" s="105">
        <f t="shared" ca="1" si="76"/>
        <v>10</v>
      </c>
      <c r="E1272" s="138" t="str">
        <f ca="1">IF(X1272="ADMITIDO","ADMITIDO",IF(X1272="CANCELADA","CANCELADA",IF(H1272="","",IF(H1272="ADMITIDO","ADMITIDO",IF(H1272="CANCELADA","CANCELADA",IF(OR(H1272="ANALISE CANCELAMENTO",H1272="ANÁLISE CANCELAMENTO"),"EM ANÁLISE",IF(D1272="","",IF(D1272&lt;=7,"NO PRAZO",IF(D1272&lt;=14,"ATENÇÃO","CRÍTICO")))))))))</f>
        <v>ATENÇÃO</v>
      </c>
      <c r="F1272" s="230" t="s">
        <v>42</v>
      </c>
      <c r="G1272" s="147" t="s">
        <v>43</v>
      </c>
      <c r="H1272" s="117" t="s">
        <v>833</v>
      </c>
      <c r="I1272" s="117" t="str">
        <f>IF(X1272="ADMITIDO","ADMITIDO",IF(X1272="CANCELADA","CANCELADA",IF(H1272="","",IFERROR(_xlfn.XLOOKUP(H1272,Listas!I:I,Listas!J:J),"OUTROS"))))</f>
        <v>ENTREVISTA OPS</v>
      </c>
      <c r="J1272" s="240" t="s">
        <v>163</v>
      </c>
      <c r="K1272" s="240" t="s">
        <v>45</v>
      </c>
      <c r="L1272" s="240" t="s">
        <v>386</v>
      </c>
      <c r="M1272" s="240"/>
      <c r="N1272" s="240" t="s">
        <v>243</v>
      </c>
      <c r="O1272" s="119" t="s">
        <v>34</v>
      </c>
      <c r="P1272" s="119" t="s">
        <v>57</v>
      </c>
      <c r="Q1272" s="119" t="s">
        <v>1437</v>
      </c>
      <c r="R1272" s="274" t="s">
        <v>3198</v>
      </c>
      <c r="S1272" s="273"/>
      <c r="T1272" s="274"/>
      <c r="U1272" s="73"/>
      <c r="V1272" s="216"/>
      <c r="W1272" s="118"/>
      <c r="X1272" s="119"/>
      <c r="Y1272" s="120"/>
      <c r="Z1272" s="120"/>
      <c r="AA1272" s="244"/>
      <c r="AB1272" s="241"/>
      <c r="AC1272" s="241"/>
      <c r="AD1272" s="244">
        <v>0</v>
      </c>
    </row>
    <row r="1273" spans="1:30" ht="15" customHeight="1">
      <c r="A1273" s="237">
        <v>31166</v>
      </c>
      <c r="B1273" s="121">
        <v>1</v>
      </c>
      <c r="C1273" s="238">
        <v>46217</v>
      </c>
      <c r="D1273" s="105">
        <f t="shared" ca="1" si="76"/>
        <v>10</v>
      </c>
      <c r="E1273" s="138" t="str">
        <f t="shared" si="77"/>
        <v>ADMITIDO</v>
      </c>
      <c r="F1273" s="230" t="s">
        <v>28</v>
      </c>
      <c r="G1273" s="147" t="s">
        <v>60</v>
      </c>
      <c r="H1273" s="117" t="s">
        <v>181</v>
      </c>
      <c r="I1273" s="117" t="str">
        <f>IF(X1273="ADMITIDO","ADMITIDO",IF(X1273="CANCELADA","CANCELADA",IF(H1273="","",IFERROR(_xlfn.XLOOKUP(H1273,Listas!I:I,Listas!J:J),"OUTROS"))))</f>
        <v>ADMITIDO</v>
      </c>
      <c r="J1273" s="240" t="s">
        <v>268</v>
      </c>
      <c r="K1273" s="240" t="s">
        <v>330</v>
      </c>
      <c r="L1273" s="240" t="s">
        <v>605</v>
      </c>
      <c r="M1273" s="240"/>
      <c r="N1273" s="240" t="s">
        <v>63</v>
      </c>
      <c r="O1273" s="119" t="s">
        <v>34</v>
      </c>
      <c r="P1273" s="119" t="s">
        <v>35</v>
      </c>
      <c r="Q1273" s="119" t="s">
        <v>36</v>
      </c>
      <c r="R1273" s="273"/>
      <c r="S1273" s="273" t="s">
        <v>1533</v>
      </c>
      <c r="T1273" s="274" t="s">
        <v>3199</v>
      </c>
      <c r="U1273" s="73" t="s">
        <v>76</v>
      </c>
      <c r="V1273" s="216">
        <v>46217</v>
      </c>
      <c r="W1273" s="118" t="s">
        <v>3200</v>
      </c>
      <c r="X1273" s="119" t="s">
        <v>40</v>
      </c>
      <c r="Y1273" s="120">
        <v>46220</v>
      </c>
      <c r="Z1273" s="120">
        <v>46221</v>
      </c>
      <c r="AA1273" s="244">
        <v>914638</v>
      </c>
      <c r="AB1273" s="241"/>
      <c r="AC1273" s="241"/>
      <c r="AD1273" s="244">
        <v>0</v>
      </c>
    </row>
    <row r="1274" spans="1:30" ht="15" customHeight="1">
      <c r="A1274" s="237">
        <v>31167</v>
      </c>
      <c r="B1274" s="121">
        <v>1</v>
      </c>
      <c r="C1274" s="238">
        <v>46217</v>
      </c>
      <c r="D1274" s="105">
        <f t="shared" ca="1" si="76"/>
        <v>10</v>
      </c>
      <c r="E1274" s="138" t="str">
        <f t="shared" ca="1" si="77"/>
        <v>ATENÇÃO</v>
      </c>
      <c r="F1274" s="230" t="s">
        <v>28</v>
      </c>
      <c r="G1274" s="147" t="s">
        <v>60</v>
      </c>
      <c r="H1274" s="117" t="s">
        <v>91</v>
      </c>
      <c r="I1274" s="117" t="str">
        <f>IF(X1274="ADMITIDO","ADMITIDO",IF(X1274="CANCELADA","CANCELADA",IF(H1274="","",IFERROR(_xlfn.XLOOKUP(H1274,Listas!I:I,Listas!J:J),"OUTROS"))))</f>
        <v>TRIAGEM</v>
      </c>
      <c r="J1274" s="240" t="s">
        <v>268</v>
      </c>
      <c r="K1274" s="240" t="s">
        <v>330</v>
      </c>
      <c r="L1274" s="240" t="s">
        <v>605</v>
      </c>
      <c r="M1274" s="240"/>
      <c r="N1274" s="240" t="s">
        <v>63</v>
      </c>
      <c r="O1274" s="119" t="s">
        <v>34</v>
      </c>
      <c r="P1274" s="119" t="s">
        <v>35</v>
      </c>
      <c r="Q1274" s="119" t="s">
        <v>36</v>
      </c>
      <c r="R1274" s="273"/>
      <c r="S1274" s="273"/>
      <c r="T1274" s="274"/>
      <c r="U1274" s="73"/>
      <c r="V1274" s="216"/>
      <c r="W1274" s="118"/>
      <c r="X1274" s="119"/>
      <c r="Y1274" s="120"/>
      <c r="Z1274" s="120"/>
      <c r="AA1274" s="244"/>
      <c r="AB1274" s="241"/>
      <c r="AC1274" s="241"/>
      <c r="AD1274" s="244">
        <v>0</v>
      </c>
    </row>
    <row r="1275" spans="1:30" ht="15" customHeight="1">
      <c r="A1275" s="237">
        <v>31181</v>
      </c>
      <c r="B1275" s="121">
        <v>1</v>
      </c>
      <c r="C1275" s="238">
        <v>46217</v>
      </c>
      <c r="D1275" s="105">
        <f t="shared" ca="1" si="76"/>
        <v>10</v>
      </c>
      <c r="E1275" s="138" t="str">
        <f t="shared" si="77"/>
        <v>ADMITIDO</v>
      </c>
      <c r="F1275" s="230" t="s">
        <v>171</v>
      </c>
      <c r="G1275" s="147" t="s">
        <v>69</v>
      </c>
      <c r="H1275" s="117" t="s">
        <v>40</v>
      </c>
      <c r="I1275" s="117" t="str">
        <f>IF(X1275="ADMITIDO","ADMITIDO",IF(X1275="CANCELADA","CANCELADA",IF(H1275="","",IFERROR(_xlfn.XLOOKUP(H1275,Listas!I:I,Listas!J:J),"OUTROS"))))</f>
        <v>ADMITIDO</v>
      </c>
      <c r="J1275" s="240" t="s">
        <v>172</v>
      </c>
      <c r="K1275" s="240" t="s">
        <v>2991</v>
      </c>
      <c r="L1275" s="240" t="s">
        <v>3201</v>
      </c>
      <c r="M1275" s="240"/>
      <c r="N1275" s="240" t="s">
        <v>63</v>
      </c>
      <c r="O1275" s="119" t="s">
        <v>34</v>
      </c>
      <c r="P1275" s="119" t="s">
        <v>35</v>
      </c>
      <c r="Q1275" s="119" t="s">
        <v>36</v>
      </c>
      <c r="R1275" s="273"/>
      <c r="S1275" s="273"/>
      <c r="T1275" s="274"/>
      <c r="U1275" s="73" t="s">
        <v>67</v>
      </c>
      <c r="V1275" s="216">
        <v>46219</v>
      </c>
      <c r="W1275" s="118" t="s">
        <v>3202</v>
      </c>
      <c r="X1275" s="119" t="s">
        <v>40</v>
      </c>
      <c r="Y1275" s="120">
        <v>46225</v>
      </c>
      <c r="Z1275" s="120">
        <v>46226</v>
      </c>
      <c r="AA1275" s="244">
        <v>83390</v>
      </c>
      <c r="AB1275" s="241"/>
      <c r="AC1275" s="241"/>
      <c r="AD1275" s="244">
        <v>0</v>
      </c>
    </row>
    <row r="1276" spans="1:30" ht="15" customHeight="1">
      <c r="A1276" s="237">
        <v>31182</v>
      </c>
      <c r="B1276" s="121">
        <v>1</v>
      </c>
      <c r="C1276" s="238">
        <v>46217</v>
      </c>
      <c r="D1276" s="105">
        <f t="shared" ca="1" si="76"/>
        <v>10</v>
      </c>
      <c r="E1276" s="138" t="str">
        <f t="shared" si="77"/>
        <v>ADMITIDO</v>
      </c>
      <c r="F1276" s="230" t="s">
        <v>171</v>
      </c>
      <c r="G1276" s="147" t="s">
        <v>102</v>
      </c>
      <c r="H1276" s="117" t="s">
        <v>181</v>
      </c>
      <c r="I1276" s="117" t="str">
        <f>IF(X1276="ADMITIDO","ADMITIDO",IF(X1276="CANCELADA","CANCELADA",IF(H1276="","",IFERROR(_xlfn.XLOOKUP(H1276,Listas!I:I,Listas!J:J),"OUTROS"))))</f>
        <v>ADMITIDO</v>
      </c>
      <c r="J1276" s="240" t="s">
        <v>172</v>
      </c>
      <c r="K1276" s="240" t="s">
        <v>2991</v>
      </c>
      <c r="L1276" s="240" t="s">
        <v>3201</v>
      </c>
      <c r="M1276" s="240"/>
      <c r="N1276" s="240" t="s">
        <v>63</v>
      </c>
      <c r="O1276" s="119" t="s">
        <v>34</v>
      </c>
      <c r="P1276" s="119" t="s">
        <v>35</v>
      </c>
      <c r="Q1276" s="119" t="s">
        <v>36</v>
      </c>
      <c r="R1276" s="273" t="s">
        <v>3203</v>
      </c>
      <c r="S1276" s="273" t="s">
        <v>626</v>
      </c>
      <c r="T1276" s="274"/>
      <c r="U1276" s="73" t="s">
        <v>76</v>
      </c>
      <c r="V1276" s="216">
        <v>46217</v>
      </c>
      <c r="W1276" s="118" t="s">
        <v>3204</v>
      </c>
      <c r="X1276" s="119" t="s">
        <v>40</v>
      </c>
      <c r="Y1276" s="120">
        <v>46220</v>
      </c>
      <c r="Z1276" s="120">
        <v>46221</v>
      </c>
      <c r="AA1276" s="244">
        <v>83388</v>
      </c>
      <c r="AB1276" s="241"/>
      <c r="AC1276" s="241"/>
      <c r="AD1276" s="244">
        <v>0</v>
      </c>
    </row>
    <row r="1277" spans="1:30" ht="15" customHeight="1">
      <c r="A1277" s="237">
        <v>31185</v>
      </c>
      <c r="B1277" s="121">
        <v>1</v>
      </c>
      <c r="C1277" s="238">
        <v>46217</v>
      </c>
      <c r="D1277" s="105">
        <f t="shared" ca="1" si="76"/>
        <v>10</v>
      </c>
      <c r="E1277" s="138" t="str">
        <f t="shared" ca="1" si="77"/>
        <v>ATENÇÃO</v>
      </c>
      <c r="F1277" s="230" t="s">
        <v>171</v>
      </c>
      <c r="G1277" s="147" t="s">
        <v>102</v>
      </c>
      <c r="H1277" s="117" t="s">
        <v>259</v>
      </c>
      <c r="I1277" s="117" t="str">
        <f>IF(X1277="ADMITIDO","ADMITIDO",IF(X1277="CANCELADA","CANCELADA",IF(H1277="","",IFERROR(_xlfn.XLOOKUP(H1277,Listas!I:I,Listas!J:J),"OUTROS"))))</f>
        <v>TRIAGEM</v>
      </c>
      <c r="J1277" s="240" t="s">
        <v>172</v>
      </c>
      <c r="K1277" s="240" t="s">
        <v>2991</v>
      </c>
      <c r="L1277" s="240" t="s">
        <v>3201</v>
      </c>
      <c r="M1277" s="240"/>
      <c r="N1277" s="240" t="s">
        <v>243</v>
      </c>
      <c r="O1277" s="119" t="s">
        <v>34</v>
      </c>
      <c r="P1277" s="119" t="s">
        <v>35</v>
      </c>
      <c r="Q1277" s="119" t="s">
        <v>36</v>
      </c>
      <c r="R1277" s="273" t="s">
        <v>3205</v>
      </c>
      <c r="S1277" s="273" t="s">
        <v>626</v>
      </c>
      <c r="T1277" s="274"/>
      <c r="U1277" s="73"/>
      <c r="V1277" s="216"/>
      <c r="W1277" s="118"/>
      <c r="X1277" s="119"/>
      <c r="Y1277" s="120"/>
      <c r="Z1277" s="120"/>
      <c r="AA1277" s="244"/>
      <c r="AB1277" s="241" t="s">
        <v>3206</v>
      </c>
      <c r="AC1277" s="241" t="s">
        <v>3207</v>
      </c>
      <c r="AD1277" s="244">
        <v>0</v>
      </c>
    </row>
    <row r="1278" spans="1:30" ht="15" customHeight="1">
      <c r="A1278" s="237">
        <v>31186</v>
      </c>
      <c r="B1278" s="121">
        <v>1</v>
      </c>
      <c r="C1278" s="238">
        <v>46217</v>
      </c>
      <c r="D1278" s="105">
        <f t="shared" ca="1" si="76"/>
        <v>10</v>
      </c>
      <c r="E1278" s="138" t="str">
        <f t="shared" ca="1" si="77"/>
        <v>ATENÇÃO</v>
      </c>
      <c r="F1278" s="230" t="s">
        <v>171</v>
      </c>
      <c r="G1278" s="147" t="s">
        <v>102</v>
      </c>
      <c r="H1278" s="117" t="s">
        <v>334</v>
      </c>
      <c r="I1278" s="117" t="str">
        <f>IF(X1278="ADMITIDO","ADMITIDO",IF(X1278="CANCELADA","CANCELADA",IF(H1278="","",IFERROR(_xlfn.XLOOKUP(H1278,Listas!I:I,Listas!J:J),"OUTROS"))))</f>
        <v>DOCUMENTAÇÃO</v>
      </c>
      <c r="J1278" s="240" t="s">
        <v>172</v>
      </c>
      <c r="K1278" s="240" t="s">
        <v>2991</v>
      </c>
      <c r="L1278" s="240" t="s">
        <v>3201</v>
      </c>
      <c r="M1278" s="240"/>
      <c r="N1278" s="240" t="s">
        <v>243</v>
      </c>
      <c r="O1278" s="119" t="s">
        <v>34</v>
      </c>
      <c r="P1278" s="119" t="s">
        <v>35</v>
      </c>
      <c r="Q1278" s="119" t="s">
        <v>36</v>
      </c>
      <c r="R1278" s="273" t="s">
        <v>3208</v>
      </c>
      <c r="S1278" s="273" t="s">
        <v>626</v>
      </c>
      <c r="T1278" s="274"/>
      <c r="U1278" s="73" t="s">
        <v>109</v>
      </c>
      <c r="V1278" s="216">
        <v>46224</v>
      </c>
      <c r="W1278" s="118" t="s">
        <v>3209</v>
      </c>
      <c r="X1278" s="119" t="s">
        <v>188</v>
      </c>
      <c r="Y1278" s="120">
        <v>46227</v>
      </c>
      <c r="Z1278" s="120">
        <v>46230</v>
      </c>
      <c r="AA1278" s="244">
        <v>83398</v>
      </c>
      <c r="AB1278" s="241"/>
      <c r="AC1278" s="241"/>
      <c r="AD1278" s="244">
        <v>0</v>
      </c>
    </row>
    <row r="1279" spans="1:30" ht="15" customHeight="1">
      <c r="A1279" s="237">
        <v>31191</v>
      </c>
      <c r="B1279" s="121">
        <v>1</v>
      </c>
      <c r="C1279" s="238">
        <v>46217</v>
      </c>
      <c r="D1279" s="105">
        <f t="shared" ca="1" si="76"/>
        <v>10</v>
      </c>
      <c r="E1279" s="138" t="str">
        <f t="shared" ca="1" si="77"/>
        <v>ATENÇÃO</v>
      </c>
      <c r="F1279" s="230" t="s">
        <v>171</v>
      </c>
      <c r="G1279" s="147" t="s">
        <v>102</v>
      </c>
      <c r="H1279" s="117" t="s">
        <v>91</v>
      </c>
      <c r="I1279" s="117" t="str">
        <f>IF(X1279="ADMITIDO","ADMITIDO",IF(X1279="CANCELADA","CANCELADA",IF(H1279="","",IFERROR(_xlfn.XLOOKUP(H1279,Listas!I:I,Listas!J:J),"OUTROS"))))</f>
        <v>TRIAGEM</v>
      </c>
      <c r="J1279" s="240" t="s">
        <v>172</v>
      </c>
      <c r="K1279" s="240" t="s">
        <v>2991</v>
      </c>
      <c r="L1279" s="240" t="s">
        <v>3201</v>
      </c>
      <c r="M1279" s="240"/>
      <c r="N1279" s="240" t="s">
        <v>391</v>
      </c>
      <c r="O1279" s="119" t="s">
        <v>34</v>
      </c>
      <c r="P1279" s="119" t="s">
        <v>35</v>
      </c>
      <c r="Q1279" s="119" t="s">
        <v>36</v>
      </c>
      <c r="R1279" s="273"/>
      <c r="S1279" s="273"/>
      <c r="T1279" s="274"/>
      <c r="U1279" s="73"/>
      <c r="V1279" s="216"/>
      <c r="W1279" s="118"/>
      <c r="X1279" s="119"/>
      <c r="Y1279" s="120"/>
      <c r="Z1279" s="120"/>
      <c r="AA1279" s="244"/>
      <c r="AB1279" s="241"/>
      <c r="AC1279" s="241"/>
      <c r="AD1279" s="244">
        <v>0</v>
      </c>
    </row>
    <row r="1280" spans="1:30" ht="15" customHeight="1">
      <c r="A1280" s="237">
        <v>31192</v>
      </c>
      <c r="B1280" s="121">
        <v>1</v>
      </c>
      <c r="C1280" s="238">
        <v>46217</v>
      </c>
      <c r="D1280" s="105">
        <f t="shared" ca="1" si="76"/>
        <v>10</v>
      </c>
      <c r="E1280" s="138" t="str">
        <f t="shared" ca="1" si="77"/>
        <v>ATENÇÃO</v>
      </c>
      <c r="F1280" s="230" t="s">
        <v>171</v>
      </c>
      <c r="G1280" s="147" t="s">
        <v>102</v>
      </c>
      <c r="H1280" s="117" t="s">
        <v>91</v>
      </c>
      <c r="I1280" s="117" t="str">
        <f>IF(X1280="ADMITIDO","ADMITIDO",IF(X1280="CANCELADA","CANCELADA",IF(H1280="","",IFERROR(_xlfn.XLOOKUP(H1280,Listas!I:I,Listas!J:J),"OUTROS"))))</f>
        <v>TRIAGEM</v>
      </c>
      <c r="J1280" s="240" t="s">
        <v>172</v>
      </c>
      <c r="K1280" s="240" t="s">
        <v>2991</v>
      </c>
      <c r="L1280" s="240" t="s">
        <v>3201</v>
      </c>
      <c r="M1280" s="240"/>
      <c r="N1280" s="240" t="s">
        <v>391</v>
      </c>
      <c r="O1280" s="119" t="s">
        <v>34</v>
      </c>
      <c r="P1280" s="119" t="s">
        <v>35</v>
      </c>
      <c r="Q1280" s="119" t="s">
        <v>36</v>
      </c>
      <c r="R1280" s="273"/>
      <c r="S1280" s="273"/>
      <c r="T1280" s="274"/>
      <c r="U1280" s="73"/>
      <c r="V1280" s="216"/>
      <c r="W1280" s="118"/>
      <c r="X1280" s="119"/>
      <c r="Y1280" s="120"/>
      <c r="Z1280" s="120"/>
      <c r="AA1280" s="244"/>
      <c r="AB1280" s="241"/>
      <c r="AC1280" s="241"/>
      <c r="AD1280" s="244">
        <v>0</v>
      </c>
    </row>
    <row r="1281" spans="1:30" ht="15" customHeight="1">
      <c r="A1281" s="237">
        <v>31183</v>
      </c>
      <c r="B1281" s="121">
        <v>1</v>
      </c>
      <c r="C1281" s="238">
        <v>46217</v>
      </c>
      <c r="D1281" s="105">
        <f t="shared" ca="1" si="76"/>
        <v>10</v>
      </c>
      <c r="E1281" s="138" t="str">
        <f t="shared" si="77"/>
        <v>ADMITIDO</v>
      </c>
      <c r="F1281" s="230" t="s">
        <v>171</v>
      </c>
      <c r="G1281" s="147" t="s">
        <v>102</v>
      </c>
      <c r="H1281" s="117" t="s">
        <v>181</v>
      </c>
      <c r="I1281" s="117" t="str">
        <f>IF(X1281="ADMITIDO","ADMITIDO",IF(X1281="CANCELADA","CANCELADA",IF(H1281="","",IFERROR(_xlfn.XLOOKUP(H1281,Listas!I:I,Listas!J:J),"OUTROS"))))</f>
        <v>ADMITIDO</v>
      </c>
      <c r="J1281" s="240" t="s">
        <v>172</v>
      </c>
      <c r="K1281" s="240" t="s">
        <v>2991</v>
      </c>
      <c r="L1281" s="240" t="s">
        <v>3201</v>
      </c>
      <c r="M1281" s="240"/>
      <c r="N1281" s="240" t="s">
        <v>63</v>
      </c>
      <c r="O1281" s="119" t="s">
        <v>56</v>
      </c>
      <c r="P1281" s="119" t="s">
        <v>35</v>
      </c>
      <c r="Q1281" s="119" t="s">
        <v>176</v>
      </c>
      <c r="R1281" s="273"/>
      <c r="S1281" s="273"/>
      <c r="T1281" s="274"/>
      <c r="U1281" s="73" t="s">
        <v>76</v>
      </c>
      <c r="V1281" s="216">
        <v>46223</v>
      </c>
      <c r="W1281" s="118" t="s">
        <v>3210</v>
      </c>
      <c r="X1281" s="119" t="s">
        <v>40</v>
      </c>
      <c r="Y1281" s="120">
        <v>46226</v>
      </c>
      <c r="Z1281" s="120">
        <v>46227</v>
      </c>
      <c r="AA1281" s="244">
        <v>83393</v>
      </c>
      <c r="AB1281" s="241"/>
      <c r="AC1281" s="241"/>
      <c r="AD1281" s="244">
        <v>0</v>
      </c>
    </row>
    <row r="1282" spans="1:30" ht="15" customHeight="1">
      <c r="A1282" s="237">
        <v>31184</v>
      </c>
      <c r="B1282" s="121">
        <v>1</v>
      </c>
      <c r="C1282" s="238">
        <v>46217</v>
      </c>
      <c r="D1282" s="105">
        <f t="shared" ca="1" si="76"/>
        <v>10</v>
      </c>
      <c r="E1282" s="138" t="str">
        <f t="shared" si="77"/>
        <v>ADMITIDO</v>
      </c>
      <c r="F1282" s="230" t="s">
        <v>171</v>
      </c>
      <c r="G1282" s="147" t="s">
        <v>102</v>
      </c>
      <c r="H1282" s="117" t="s">
        <v>334</v>
      </c>
      <c r="I1282" s="117" t="str">
        <f>IF(X1282="ADMITIDO","ADMITIDO",IF(X1282="CANCELADA","CANCELADA",IF(H1282="","",IFERROR(_xlfn.XLOOKUP(H1282,Listas!I:I,Listas!J:J),"OUTROS"))))</f>
        <v>ADMITIDO</v>
      </c>
      <c r="J1282" s="240" t="s">
        <v>172</v>
      </c>
      <c r="K1282" s="240" t="s">
        <v>2991</v>
      </c>
      <c r="L1282" s="240" t="s">
        <v>3201</v>
      </c>
      <c r="M1282" s="240"/>
      <c r="N1282" s="240" t="s">
        <v>63</v>
      </c>
      <c r="O1282" s="119" t="s">
        <v>56</v>
      </c>
      <c r="P1282" s="119" t="s">
        <v>35</v>
      </c>
      <c r="Q1282" s="119" t="s">
        <v>176</v>
      </c>
      <c r="R1282" s="273" t="s">
        <v>3211</v>
      </c>
      <c r="S1282" s="273" t="s">
        <v>626</v>
      </c>
      <c r="T1282" s="274"/>
      <c r="U1282" s="73" t="s">
        <v>109</v>
      </c>
      <c r="V1282" s="216">
        <v>46220</v>
      </c>
      <c r="W1282" s="118" t="s">
        <v>3212</v>
      </c>
      <c r="X1282" s="119" t="s">
        <v>40</v>
      </c>
      <c r="Y1282" s="120">
        <v>46225</v>
      </c>
      <c r="Z1282" s="120">
        <v>46225</v>
      </c>
      <c r="AA1282" s="244">
        <v>83391</v>
      </c>
      <c r="AB1282" s="241"/>
      <c r="AC1282" s="241"/>
      <c r="AD1282" s="244">
        <v>0</v>
      </c>
    </row>
    <row r="1283" spans="1:30" ht="15" customHeight="1">
      <c r="A1283" s="237">
        <v>31187</v>
      </c>
      <c r="B1283" s="121">
        <v>1</v>
      </c>
      <c r="C1283" s="238">
        <v>46217</v>
      </c>
      <c r="D1283" s="105">
        <f t="shared" ca="1" si="76"/>
        <v>10</v>
      </c>
      <c r="E1283" s="138" t="str">
        <f t="shared" ca="1" si="77"/>
        <v>ATENÇÃO</v>
      </c>
      <c r="F1283" s="230" t="s">
        <v>171</v>
      </c>
      <c r="G1283" s="147" t="s">
        <v>102</v>
      </c>
      <c r="H1283" s="117" t="s">
        <v>181</v>
      </c>
      <c r="I1283" s="117" t="str">
        <f>IF(X1283="ADMITIDO","ADMITIDO",IF(X1283="CANCELADA","CANCELADA",IF(H1283="","",IFERROR(_xlfn.XLOOKUP(H1283,Listas!I:I,Listas!J:J),"OUTROS"))))</f>
        <v>DOCUMENTAÇÃO</v>
      </c>
      <c r="J1283" s="240" t="s">
        <v>172</v>
      </c>
      <c r="K1283" s="240" t="s">
        <v>2991</v>
      </c>
      <c r="L1283" s="240" t="s">
        <v>3201</v>
      </c>
      <c r="M1283" s="240"/>
      <c r="N1283" s="240" t="s">
        <v>243</v>
      </c>
      <c r="O1283" s="119" t="s">
        <v>56</v>
      </c>
      <c r="P1283" s="119" t="s">
        <v>35</v>
      </c>
      <c r="Q1283" s="119" t="s">
        <v>176</v>
      </c>
      <c r="R1283" s="273" t="s">
        <v>3213</v>
      </c>
      <c r="S1283" s="273" t="s">
        <v>626</v>
      </c>
      <c r="T1283" s="274"/>
      <c r="U1283" s="73" t="s">
        <v>67</v>
      </c>
      <c r="V1283" s="216">
        <v>46224</v>
      </c>
      <c r="W1283" s="118" t="s">
        <v>3214</v>
      </c>
      <c r="X1283" s="119" t="s">
        <v>284</v>
      </c>
      <c r="Y1283" s="120"/>
      <c r="Z1283" s="120"/>
      <c r="AA1283" s="244"/>
      <c r="AB1283" s="241"/>
      <c r="AC1283" s="241"/>
      <c r="AD1283" s="244">
        <v>0</v>
      </c>
    </row>
    <row r="1284" spans="1:30" ht="15" customHeight="1">
      <c r="A1284" s="237">
        <v>31188</v>
      </c>
      <c r="B1284" s="121">
        <v>1</v>
      </c>
      <c r="C1284" s="238">
        <v>46217</v>
      </c>
      <c r="D1284" s="105">
        <f t="shared" ca="1" si="76"/>
        <v>10</v>
      </c>
      <c r="E1284" s="138" t="str">
        <f t="shared" ca="1" si="77"/>
        <v>ATENÇÃO</v>
      </c>
      <c r="F1284" s="230" t="s">
        <v>171</v>
      </c>
      <c r="G1284" s="147" t="s">
        <v>102</v>
      </c>
      <c r="H1284" s="117" t="s">
        <v>91</v>
      </c>
      <c r="I1284" s="117" t="str">
        <f>IF(X1284="ADMITIDO","ADMITIDO",IF(X1284="CANCELADA","CANCELADA",IF(H1284="","",IFERROR(_xlfn.XLOOKUP(H1284,Listas!I:I,Listas!J:J),"OUTROS"))))</f>
        <v>TRIAGEM</v>
      </c>
      <c r="J1284" s="240" t="s">
        <v>172</v>
      </c>
      <c r="K1284" s="240" t="s">
        <v>2991</v>
      </c>
      <c r="L1284" s="240" t="s">
        <v>3201</v>
      </c>
      <c r="M1284" s="240"/>
      <c r="N1284" s="240" t="s">
        <v>243</v>
      </c>
      <c r="O1284" s="119" t="s">
        <v>56</v>
      </c>
      <c r="P1284" s="119" t="s">
        <v>35</v>
      </c>
      <c r="Q1284" s="119" t="s">
        <v>176</v>
      </c>
      <c r="R1284" s="273"/>
      <c r="S1284" s="273"/>
      <c r="T1284" s="274"/>
      <c r="U1284" s="73"/>
      <c r="V1284" s="216"/>
      <c r="W1284" s="118"/>
      <c r="X1284" s="119"/>
      <c r="Y1284" s="120"/>
      <c r="Z1284" s="120"/>
      <c r="AA1284" s="244"/>
      <c r="AB1284" s="241" t="s">
        <v>3215</v>
      </c>
      <c r="AC1284" s="241"/>
      <c r="AD1284" s="244">
        <v>1</v>
      </c>
    </row>
    <row r="1285" spans="1:30" ht="15" customHeight="1">
      <c r="A1285" s="237">
        <v>31189</v>
      </c>
      <c r="B1285" s="121">
        <v>1</v>
      </c>
      <c r="C1285" s="238">
        <v>46217</v>
      </c>
      <c r="D1285" s="105">
        <f t="shared" ca="1" si="76"/>
        <v>10</v>
      </c>
      <c r="E1285" s="138" t="str">
        <f t="shared" ca="1" si="77"/>
        <v>ATENÇÃO</v>
      </c>
      <c r="F1285" s="230" t="s">
        <v>171</v>
      </c>
      <c r="G1285" s="147" t="s">
        <v>102</v>
      </c>
      <c r="H1285" s="117" t="s">
        <v>91</v>
      </c>
      <c r="I1285" s="117" t="str">
        <f>IF(X1285="ADMITIDO","ADMITIDO",IF(X1285="CANCELADA","CANCELADA",IF(H1285="","",IFERROR(_xlfn.XLOOKUP(H1285,Listas!I:I,Listas!J:J),"OUTROS"))))</f>
        <v>TRIAGEM</v>
      </c>
      <c r="J1285" s="240" t="s">
        <v>172</v>
      </c>
      <c r="K1285" s="240" t="s">
        <v>2991</v>
      </c>
      <c r="L1285" s="240" t="s">
        <v>3201</v>
      </c>
      <c r="M1285" s="240"/>
      <c r="N1285" s="240" t="s">
        <v>391</v>
      </c>
      <c r="O1285" s="119" t="s">
        <v>56</v>
      </c>
      <c r="P1285" s="119" t="s">
        <v>35</v>
      </c>
      <c r="Q1285" s="119" t="s">
        <v>176</v>
      </c>
      <c r="R1285" s="273"/>
      <c r="S1285" s="273"/>
      <c r="T1285" s="274"/>
      <c r="U1285" s="73"/>
      <c r="V1285" s="216"/>
      <c r="W1285" s="118"/>
      <c r="X1285" s="119"/>
      <c r="Y1285" s="120"/>
      <c r="Z1285" s="120"/>
      <c r="AA1285" s="244"/>
      <c r="AB1285" s="241"/>
      <c r="AC1285" s="241"/>
      <c r="AD1285" s="244">
        <v>0</v>
      </c>
    </row>
    <row r="1286" spans="1:30" ht="15" customHeight="1">
      <c r="A1286" s="237">
        <v>31190</v>
      </c>
      <c r="B1286" s="121">
        <v>1</v>
      </c>
      <c r="C1286" s="238">
        <v>46217</v>
      </c>
      <c r="D1286" s="105">
        <f t="shared" ca="1" si="76"/>
        <v>10</v>
      </c>
      <c r="E1286" s="138" t="str">
        <f t="shared" ca="1" si="77"/>
        <v>ATENÇÃO</v>
      </c>
      <c r="F1286" s="230" t="s">
        <v>171</v>
      </c>
      <c r="G1286" s="147" t="s">
        <v>102</v>
      </c>
      <c r="H1286" s="117" t="s">
        <v>91</v>
      </c>
      <c r="I1286" s="117" t="str">
        <f>IF(X1286="ADMITIDO","ADMITIDO",IF(X1286="CANCELADA","CANCELADA",IF(H1286="","",IFERROR(_xlfn.XLOOKUP(H1286,Listas!I:I,Listas!J:J),"OUTROS"))))</f>
        <v>TRIAGEM</v>
      </c>
      <c r="J1286" s="240" t="s">
        <v>172</v>
      </c>
      <c r="K1286" s="240" t="s">
        <v>2991</v>
      </c>
      <c r="L1286" s="240" t="s">
        <v>3201</v>
      </c>
      <c r="M1286" s="240"/>
      <c r="N1286" s="240" t="s">
        <v>391</v>
      </c>
      <c r="O1286" s="119" t="s">
        <v>56</v>
      </c>
      <c r="P1286" s="119" t="s">
        <v>35</v>
      </c>
      <c r="Q1286" s="119" t="s">
        <v>176</v>
      </c>
      <c r="R1286" s="273"/>
      <c r="S1286" s="273"/>
      <c r="T1286" s="274"/>
      <c r="U1286" s="73"/>
      <c r="V1286" s="216"/>
      <c r="W1286" s="118"/>
      <c r="X1286" s="119"/>
      <c r="Y1286" s="120"/>
      <c r="Z1286" s="120"/>
      <c r="AA1286" s="244"/>
      <c r="AB1286" s="241"/>
      <c r="AC1286" s="241"/>
      <c r="AD1286" s="244">
        <v>0</v>
      </c>
    </row>
    <row r="1287" spans="1:30" ht="15" customHeight="1">
      <c r="A1287" s="237">
        <v>31173</v>
      </c>
      <c r="B1287" s="121">
        <v>1</v>
      </c>
      <c r="C1287" s="238">
        <v>46217</v>
      </c>
      <c r="D1287" s="105">
        <f t="shared" ca="1" si="76"/>
        <v>10</v>
      </c>
      <c r="E1287" s="138" t="str">
        <f t="shared" ca="1" si="77"/>
        <v>ATENÇÃO</v>
      </c>
      <c r="F1287" s="230" t="s">
        <v>171</v>
      </c>
      <c r="G1287" s="147" t="s">
        <v>43</v>
      </c>
      <c r="H1287" s="117" t="s">
        <v>334</v>
      </c>
      <c r="I1287" s="117" t="str">
        <f>IF(X1287="ADMITIDO","ADMITIDO",IF(X1287="CANCELADA","CANCELADA",IF(H1287="","",IFERROR(_xlfn.XLOOKUP(H1287,Listas!I:I,Listas!J:J),"OUTROS"))))</f>
        <v>DOCUMENTAÇÃO</v>
      </c>
      <c r="J1287" s="240" t="s">
        <v>172</v>
      </c>
      <c r="K1287" s="240" t="s">
        <v>1808</v>
      </c>
      <c r="L1287" s="240" t="s">
        <v>528</v>
      </c>
      <c r="M1287" s="240"/>
      <c r="N1287" s="240" t="s">
        <v>529</v>
      </c>
      <c r="O1287" s="119" t="s">
        <v>34</v>
      </c>
      <c r="P1287" s="119" t="s">
        <v>48</v>
      </c>
      <c r="Q1287" s="119" t="s">
        <v>79</v>
      </c>
      <c r="R1287" s="273"/>
      <c r="S1287" s="273" t="s">
        <v>1375</v>
      </c>
      <c r="T1287" s="274">
        <v>11973507857</v>
      </c>
      <c r="U1287" s="73" t="s">
        <v>67</v>
      </c>
      <c r="V1287" s="216">
        <v>46226</v>
      </c>
      <c r="W1287" s="118" t="s">
        <v>3216</v>
      </c>
      <c r="X1287" s="119" t="s">
        <v>284</v>
      </c>
      <c r="Y1287" s="120"/>
      <c r="Z1287" s="120"/>
      <c r="AA1287" s="244"/>
      <c r="AB1287" s="241"/>
      <c r="AC1287" s="241"/>
      <c r="AD1287" s="244">
        <v>0</v>
      </c>
    </row>
    <row r="1288" spans="1:30" ht="15" customHeight="1">
      <c r="A1288" s="237">
        <v>31180</v>
      </c>
      <c r="B1288" s="121">
        <v>1</v>
      </c>
      <c r="C1288" s="238">
        <v>46217</v>
      </c>
      <c r="D1288" s="105">
        <f t="shared" ca="1" si="76"/>
        <v>10</v>
      </c>
      <c r="E1288" s="138" t="str">
        <f t="shared" ca="1" si="77"/>
        <v>ATENÇÃO</v>
      </c>
      <c r="F1288" s="230" t="s">
        <v>28</v>
      </c>
      <c r="G1288" s="147" t="s">
        <v>29</v>
      </c>
      <c r="H1288" s="117" t="s">
        <v>91</v>
      </c>
      <c r="I1288" s="117" t="str">
        <f>IF(X1288="ADMITIDO","ADMITIDO",IF(X1288="CANCELADA","CANCELADA",IF(H1288="","",IFERROR(_xlfn.XLOOKUP(H1288,Listas!I:I,Listas!J:J),"OUTROS"))))</f>
        <v>TRIAGEM</v>
      </c>
      <c r="J1288" s="240" t="s">
        <v>146</v>
      </c>
      <c r="K1288" s="240" t="s">
        <v>614</v>
      </c>
      <c r="L1288" s="240" t="s">
        <v>2270</v>
      </c>
      <c r="M1288" s="240"/>
      <c r="N1288" s="240" t="s">
        <v>2092</v>
      </c>
      <c r="O1288" s="119" t="s">
        <v>56</v>
      </c>
      <c r="P1288" s="119" t="s">
        <v>35</v>
      </c>
      <c r="Q1288" s="119" t="s">
        <v>176</v>
      </c>
      <c r="R1288" s="273"/>
      <c r="S1288" s="273"/>
      <c r="T1288" s="274"/>
      <c r="U1288" s="73"/>
      <c r="V1288" s="216"/>
      <c r="W1288" s="118"/>
      <c r="X1288" s="119"/>
      <c r="Y1288" s="120"/>
      <c r="Z1288" s="120"/>
      <c r="AA1288" s="244"/>
      <c r="AB1288" s="241"/>
      <c r="AC1288" s="241"/>
      <c r="AD1288" s="244">
        <v>0</v>
      </c>
    </row>
    <row r="1289" spans="1:30" ht="15" customHeight="1">
      <c r="A1289" s="237">
        <v>31168</v>
      </c>
      <c r="B1289" s="121">
        <v>1</v>
      </c>
      <c r="C1289" s="238">
        <v>46217</v>
      </c>
      <c r="D1289" s="105">
        <f t="shared" ca="1" si="76"/>
        <v>10</v>
      </c>
      <c r="E1289" s="138" t="str">
        <f t="shared" si="77"/>
        <v>ADMITIDO</v>
      </c>
      <c r="F1289" s="230" t="s">
        <v>28</v>
      </c>
      <c r="G1289" s="147" t="s">
        <v>552</v>
      </c>
      <c r="H1289" s="117" t="s">
        <v>91</v>
      </c>
      <c r="I1289" s="117" t="str">
        <f>IF(X1289="ADMITIDO","ADMITIDO",IF(X1289="CANCELADA","CANCELADA",IF(H1289="","",IFERROR(_xlfn.XLOOKUP(H1289,Listas!I:I,Listas!J:J),"OUTROS"))))</f>
        <v>ADMITIDO</v>
      </c>
      <c r="J1289" s="240" t="s">
        <v>146</v>
      </c>
      <c r="K1289" s="240" t="s">
        <v>553</v>
      </c>
      <c r="L1289" s="240" t="s">
        <v>947</v>
      </c>
      <c r="M1289" s="240"/>
      <c r="N1289" s="240" t="s">
        <v>948</v>
      </c>
      <c r="O1289" s="119" t="s">
        <v>56</v>
      </c>
      <c r="P1289" s="119" t="s">
        <v>35</v>
      </c>
      <c r="Q1289" s="119" t="s">
        <v>176</v>
      </c>
      <c r="R1289" s="273"/>
      <c r="S1289" s="273"/>
      <c r="T1289" s="274"/>
      <c r="U1289" s="73" t="s">
        <v>552</v>
      </c>
      <c r="V1289" s="216"/>
      <c r="W1289" s="118" t="s">
        <v>3217</v>
      </c>
      <c r="X1289" s="119" t="s">
        <v>40</v>
      </c>
      <c r="Y1289" s="120"/>
      <c r="Z1289" s="120"/>
      <c r="AA1289" s="244">
        <v>914637</v>
      </c>
      <c r="AB1289" s="241"/>
      <c r="AC1289" s="241"/>
      <c r="AD1289" s="244">
        <v>0</v>
      </c>
    </row>
    <row r="1290" spans="1:30" ht="15" customHeight="1">
      <c r="A1290" s="237">
        <v>31169</v>
      </c>
      <c r="B1290" s="121">
        <v>1</v>
      </c>
      <c r="C1290" s="238">
        <v>46217</v>
      </c>
      <c r="D1290" s="105">
        <f t="shared" ca="1" si="76"/>
        <v>10</v>
      </c>
      <c r="E1290" s="138" t="str">
        <f t="shared" si="77"/>
        <v>ADMITIDO</v>
      </c>
      <c r="F1290" s="230" t="s">
        <v>28</v>
      </c>
      <c r="G1290" s="147" t="s">
        <v>552</v>
      </c>
      <c r="H1290" s="117" t="s">
        <v>91</v>
      </c>
      <c r="I1290" s="117" t="str">
        <f>IF(X1290="ADMITIDO","ADMITIDO",IF(X1290="CANCELADA","CANCELADA",IF(H1290="","",IFERROR(_xlfn.XLOOKUP(H1290,Listas!I:I,Listas!J:J),"OUTROS"))))</f>
        <v>ADMITIDO</v>
      </c>
      <c r="J1290" s="240" t="s">
        <v>146</v>
      </c>
      <c r="K1290" s="240" t="s">
        <v>553</v>
      </c>
      <c r="L1290" s="240" t="s">
        <v>947</v>
      </c>
      <c r="M1290" s="240"/>
      <c r="N1290" s="240" t="s">
        <v>948</v>
      </c>
      <c r="O1290" s="119" t="s">
        <v>56</v>
      </c>
      <c r="P1290" s="119" t="s">
        <v>35</v>
      </c>
      <c r="Q1290" s="119" t="s">
        <v>176</v>
      </c>
      <c r="R1290" s="273"/>
      <c r="S1290" s="273"/>
      <c r="T1290" s="274"/>
      <c r="U1290" s="73" t="s">
        <v>552</v>
      </c>
      <c r="V1290" s="216"/>
      <c r="W1290" s="118" t="s">
        <v>3218</v>
      </c>
      <c r="X1290" s="119" t="s">
        <v>40</v>
      </c>
      <c r="Y1290" s="120"/>
      <c r="Z1290" s="120"/>
      <c r="AA1290" s="244">
        <v>916239</v>
      </c>
      <c r="AB1290" s="241"/>
      <c r="AC1290" s="241"/>
      <c r="AD1290" s="244">
        <v>0</v>
      </c>
    </row>
    <row r="1291" spans="1:30" ht="15" customHeight="1">
      <c r="A1291" s="237">
        <v>31215</v>
      </c>
      <c r="B1291" s="121">
        <v>1</v>
      </c>
      <c r="C1291" s="238">
        <v>46218</v>
      </c>
      <c r="D1291" s="105">
        <f t="shared" ca="1" si="76"/>
        <v>9</v>
      </c>
      <c r="E1291" s="138" t="str">
        <f t="shared" ca="1" si="77"/>
        <v>ATENÇÃO</v>
      </c>
      <c r="F1291" s="230" t="s">
        <v>119</v>
      </c>
      <c r="G1291" s="147" t="s">
        <v>821</v>
      </c>
      <c r="H1291" s="117" t="s">
        <v>181</v>
      </c>
      <c r="I1291" s="117" t="str">
        <f>IF(X1291="ADMITIDO","ADMITIDO",IF(X1291="CANCELADA","CANCELADA",IF(H1291="","",IFERROR(_xlfn.XLOOKUP(H1291,Listas!I:I,Listas!J:J),"OUTROS"))))</f>
        <v>DOCUMENTAÇÃO</v>
      </c>
      <c r="J1291" s="240" t="s">
        <v>1892</v>
      </c>
      <c r="K1291" s="240" t="s">
        <v>835</v>
      </c>
      <c r="L1291" s="240" t="s">
        <v>836</v>
      </c>
      <c r="M1291" s="240"/>
      <c r="N1291" s="240" t="s">
        <v>2250</v>
      </c>
      <c r="O1291" s="119" t="s">
        <v>34</v>
      </c>
      <c r="P1291" s="119" t="s">
        <v>48</v>
      </c>
      <c r="Q1291" s="119" t="s">
        <v>441</v>
      </c>
      <c r="R1291" s="273"/>
      <c r="S1291" s="273" t="s">
        <v>2215</v>
      </c>
      <c r="T1291" s="273" t="s">
        <v>3219</v>
      </c>
      <c r="U1291" s="73" t="s">
        <v>132</v>
      </c>
      <c r="V1291" s="216">
        <v>46219</v>
      </c>
      <c r="W1291" s="118" t="s">
        <v>3220</v>
      </c>
      <c r="X1291" s="119" t="s">
        <v>188</v>
      </c>
      <c r="Y1291" s="120">
        <v>46224</v>
      </c>
      <c r="Z1291" s="120">
        <v>46224</v>
      </c>
      <c r="AA1291" s="244">
        <v>146260</v>
      </c>
      <c r="AB1291" s="241"/>
      <c r="AC1291" s="241"/>
      <c r="AD1291" s="244">
        <v>0</v>
      </c>
    </row>
    <row r="1292" spans="1:30" ht="15" customHeight="1">
      <c r="A1292" s="237">
        <v>31216</v>
      </c>
      <c r="B1292" s="121">
        <v>1</v>
      </c>
      <c r="C1292" s="238">
        <v>46218</v>
      </c>
      <c r="D1292" s="105">
        <f t="shared" ca="1" si="76"/>
        <v>9</v>
      </c>
      <c r="E1292" s="138" t="str">
        <f t="shared" ca="1" si="77"/>
        <v>ATENÇÃO</v>
      </c>
      <c r="F1292" s="230" t="s">
        <v>119</v>
      </c>
      <c r="G1292" s="147" t="s">
        <v>821</v>
      </c>
      <c r="H1292" s="117" t="s">
        <v>91</v>
      </c>
      <c r="I1292" s="117" t="str">
        <f>IF(X1292="ADMITIDO","ADMITIDO",IF(X1292="CANCELADA","CANCELADA",IF(H1292="","",IFERROR(_xlfn.XLOOKUP(H1292,Listas!I:I,Listas!J:J),"OUTROS"))))</f>
        <v>TRIAGEM</v>
      </c>
      <c r="J1292" s="240" t="s">
        <v>826</v>
      </c>
      <c r="K1292" s="240" t="s">
        <v>835</v>
      </c>
      <c r="L1292" s="240" t="s">
        <v>836</v>
      </c>
      <c r="M1292" s="240"/>
      <c r="N1292" s="240" t="s">
        <v>2250</v>
      </c>
      <c r="O1292" s="119" t="s">
        <v>34</v>
      </c>
      <c r="P1292" s="119" t="s">
        <v>3221</v>
      </c>
      <c r="Q1292" s="119" t="s">
        <v>3222</v>
      </c>
      <c r="R1292" s="273"/>
      <c r="S1292" s="273"/>
      <c r="T1292" s="274"/>
      <c r="U1292" s="73"/>
      <c r="V1292" s="216"/>
      <c r="W1292" s="118"/>
      <c r="X1292" s="119"/>
      <c r="Y1292" s="120"/>
      <c r="Z1292" s="120"/>
      <c r="AA1292" s="244"/>
      <c r="AB1292" s="241"/>
      <c r="AC1292" s="241"/>
      <c r="AD1292" s="244">
        <v>0</v>
      </c>
    </row>
    <row r="1293" spans="1:30" ht="15" customHeight="1">
      <c r="A1293" s="237">
        <v>31204</v>
      </c>
      <c r="B1293" s="121">
        <v>1</v>
      </c>
      <c r="C1293" s="238">
        <v>46218</v>
      </c>
      <c r="D1293" s="105">
        <f t="shared" ca="1" si="76"/>
        <v>9</v>
      </c>
      <c r="E1293" s="138" t="str">
        <f t="shared" si="77"/>
        <v>ADMITIDO</v>
      </c>
      <c r="F1293" s="230" t="s">
        <v>42</v>
      </c>
      <c r="G1293" s="147" t="s">
        <v>43</v>
      </c>
      <c r="H1293" s="117" t="s">
        <v>40</v>
      </c>
      <c r="I1293" s="117" t="str">
        <f>IF(X1293="ADMITIDO","ADMITIDO",IF(X1293="CANCELADA","CANCELADA",IF(H1293="","",IFERROR(_xlfn.XLOOKUP(H1293,Listas!I:I,Listas!J:J),"OUTROS"))))</f>
        <v>ADMITIDO</v>
      </c>
      <c r="J1293" s="240" t="s">
        <v>53</v>
      </c>
      <c r="K1293" s="240" t="s">
        <v>45</v>
      </c>
      <c r="L1293" s="240" t="s">
        <v>156</v>
      </c>
      <c r="M1293" s="240"/>
      <c r="N1293" s="240" t="s">
        <v>97</v>
      </c>
      <c r="O1293" s="119" t="s">
        <v>34</v>
      </c>
      <c r="P1293" s="119" t="s">
        <v>57</v>
      </c>
      <c r="Q1293" s="119" t="s">
        <v>308</v>
      </c>
      <c r="R1293" s="273"/>
      <c r="S1293" s="273" t="s">
        <v>3223</v>
      </c>
      <c r="T1293" s="274">
        <v>11975263326</v>
      </c>
      <c r="U1293" s="73" t="s">
        <v>50</v>
      </c>
      <c r="V1293" s="216">
        <v>46220</v>
      </c>
      <c r="W1293" s="118" t="s">
        <v>3224</v>
      </c>
      <c r="X1293" s="119" t="s">
        <v>40</v>
      </c>
      <c r="Y1293" s="120">
        <v>46227</v>
      </c>
      <c r="Z1293" s="120">
        <v>46230</v>
      </c>
      <c r="AA1293" s="520">
        <v>914682</v>
      </c>
      <c r="AB1293" s="241" t="s">
        <v>3225</v>
      </c>
      <c r="AC1293" s="241"/>
      <c r="AD1293" s="244">
        <v>0</v>
      </c>
    </row>
    <row r="1294" spans="1:30" ht="15" customHeight="1">
      <c r="A1294" s="237">
        <v>31160</v>
      </c>
      <c r="B1294" s="121">
        <v>1</v>
      </c>
      <c r="C1294" s="238">
        <v>46218</v>
      </c>
      <c r="D1294" s="105">
        <f t="shared" ca="1" si="76"/>
        <v>9</v>
      </c>
      <c r="E1294" s="138" t="str">
        <f t="shared" ca="1" si="77"/>
        <v>ATENÇÃO</v>
      </c>
      <c r="F1294" s="230" t="s">
        <v>42</v>
      </c>
      <c r="G1294" s="147" t="s">
        <v>145</v>
      </c>
      <c r="H1294" s="117" t="s">
        <v>181</v>
      </c>
      <c r="I1294" s="117" t="str">
        <f>IF(X1294="ADMITIDO","ADMITIDO",IF(X1294="CANCELADA","CANCELADA",IF(H1294="","",IFERROR(_xlfn.XLOOKUP(H1294,Listas!I:I,Listas!J:J),"OUTROS"))))</f>
        <v>DOCUMENTAÇÃO</v>
      </c>
      <c r="J1294" s="240" t="s">
        <v>53</v>
      </c>
      <c r="K1294" s="240" t="s">
        <v>699</v>
      </c>
      <c r="L1294" s="240" t="s">
        <v>3226</v>
      </c>
      <c r="M1294" s="240"/>
      <c r="N1294" s="240" t="s">
        <v>2250</v>
      </c>
      <c r="O1294" s="119" t="s">
        <v>34</v>
      </c>
      <c r="P1294" s="119" t="s">
        <v>35</v>
      </c>
      <c r="Q1294" s="119" t="s">
        <v>711</v>
      </c>
      <c r="R1294" s="273"/>
      <c r="S1294" s="273"/>
      <c r="T1294" s="274"/>
      <c r="U1294" s="73" t="s">
        <v>132</v>
      </c>
      <c r="V1294" s="216">
        <v>46216</v>
      </c>
      <c r="W1294" s="118" t="s">
        <v>3227</v>
      </c>
      <c r="X1294" s="119" t="s">
        <v>188</v>
      </c>
      <c r="Y1294" s="120">
        <v>46230</v>
      </c>
      <c r="Z1294" s="120">
        <v>46239</v>
      </c>
      <c r="AA1294" s="244">
        <v>914686</v>
      </c>
      <c r="AB1294" s="241"/>
      <c r="AC1294" s="241"/>
      <c r="AD1294" s="244">
        <v>0</v>
      </c>
    </row>
    <row r="1295" spans="1:30" ht="15" customHeight="1">
      <c r="A1295" s="237">
        <v>31160</v>
      </c>
      <c r="B1295" s="121">
        <v>1</v>
      </c>
      <c r="C1295" s="238">
        <v>46218</v>
      </c>
      <c r="D1295" s="105">
        <f t="shared" ca="1" si="76"/>
        <v>9</v>
      </c>
      <c r="E1295" s="138" t="str">
        <f t="shared" ca="1" si="77"/>
        <v>ATENÇÃO</v>
      </c>
      <c r="F1295" s="230" t="s">
        <v>42</v>
      </c>
      <c r="G1295" s="147" t="s">
        <v>145</v>
      </c>
      <c r="H1295" s="117" t="s">
        <v>181</v>
      </c>
      <c r="I1295" s="117" t="str">
        <f>IF(X1295="ADMITIDO","ADMITIDO",IF(X1295="CANCELADA","CANCELADA",IF(H1295="","",IFERROR(_xlfn.XLOOKUP(H1295,Listas!I:I,Listas!J:J),"OUTROS"))))</f>
        <v>DOCUMENTAÇÃO</v>
      </c>
      <c r="J1295" s="240" t="s">
        <v>53</v>
      </c>
      <c r="K1295" s="240" t="s">
        <v>699</v>
      </c>
      <c r="L1295" s="240" t="s">
        <v>3226</v>
      </c>
      <c r="M1295" s="240"/>
      <c r="N1295" s="240" t="s">
        <v>2250</v>
      </c>
      <c r="O1295" s="119" t="s">
        <v>34</v>
      </c>
      <c r="P1295" s="119" t="s">
        <v>35</v>
      </c>
      <c r="Q1295" s="119" t="s">
        <v>711</v>
      </c>
      <c r="R1295" s="273"/>
      <c r="S1295" s="273"/>
      <c r="T1295" s="274"/>
      <c r="U1295" s="73" t="s">
        <v>132</v>
      </c>
      <c r="V1295" s="216"/>
      <c r="W1295" s="118"/>
      <c r="X1295" s="119"/>
      <c r="Y1295" s="120"/>
      <c r="Z1295" s="120"/>
      <c r="AA1295" s="244"/>
      <c r="AB1295" s="241"/>
      <c r="AC1295" s="241"/>
      <c r="AD1295" s="244">
        <v>0</v>
      </c>
    </row>
    <row r="1296" spans="1:30" ht="15" customHeight="1">
      <c r="A1296" s="237">
        <v>31162</v>
      </c>
      <c r="B1296" s="121">
        <v>1</v>
      </c>
      <c r="C1296" s="238">
        <v>46218</v>
      </c>
      <c r="D1296" s="105">
        <f t="shared" ca="1" si="76"/>
        <v>9</v>
      </c>
      <c r="E1296" s="138" t="str">
        <f t="shared" ca="1" si="77"/>
        <v>ATENÇÃO</v>
      </c>
      <c r="F1296" s="230" t="s">
        <v>42</v>
      </c>
      <c r="G1296" s="147" t="s">
        <v>145</v>
      </c>
      <c r="H1296" s="117" t="s">
        <v>181</v>
      </c>
      <c r="I1296" s="117" t="str">
        <f>IF(X1296="ADMITIDO","ADMITIDO",IF(X1296="CANCELADA","CANCELADA",IF(H1296="","",IFERROR(_xlfn.XLOOKUP(H1296,Listas!I:I,Listas!J:J),"OUTROS"))))</f>
        <v>DOCUMENTAÇÃO</v>
      </c>
      <c r="J1296" s="240" t="s">
        <v>53</v>
      </c>
      <c r="K1296" s="240" t="s">
        <v>699</v>
      </c>
      <c r="L1296" s="240" t="s">
        <v>3226</v>
      </c>
      <c r="M1296" s="240"/>
      <c r="N1296" s="240" t="s">
        <v>2250</v>
      </c>
      <c r="O1296" s="119" t="s">
        <v>34</v>
      </c>
      <c r="P1296" s="119" t="s">
        <v>35</v>
      </c>
      <c r="Q1296" s="119" t="s">
        <v>711</v>
      </c>
      <c r="R1296" s="273"/>
      <c r="S1296" s="273"/>
      <c r="T1296" s="274"/>
      <c r="U1296" s="73" t="s">
        <v>132</v>
      </c>
      <c r="V1296" s="216">
        <v>46213</v>
      </c>
      <c r="W1296" s="118" t="s">
        <v>3228</v>
      </c>
      <c r="X1296" s="119" t="s">
        <v>188</v>
      </c>
      <c r="Y1296" s="120">
        <v>46230</v>
      </c>
      <c r="Z1296" s="120">
        <v>46239</v>
      </c>
      <c r="AA1296" s="244">
        <v>914690</v>
      </c>
      <c r="AB1296" s="241"/>
      <c r="AC1296" s="241"/>
      <c r="AD1296" s="244">
        <v>0</v>
      </c>
    </row>
    <row r="1297" spans="1:30" ht="15" customHeight="1">
      <c r="A1297" s="237">
        <v>31162</v>
      </c>
      <c r="B1297" s="121">
        <v>1</v>
      </c>
      <c r="C1297" s="238">
        <v>46218</v>
      </c>
      <c r="D1297" s="105">
        <f t="shared" ca="1" si="76"/>
        <v>9</v>
      </c>
      <c r="E1297" s="138" t="str">
        <f t="shared" ca="1" si="77"/>
        <v>ATENÇÃO</v>
      </c>
      <c r="F1297" s="230" t="s">
        <v>42</v>
      </c>
      <c r="G1297" s="147" t="s">
        <v>145</v>
      </c>
      <c r="H1297" s="117" t="s">
        <v>181</v>
      </c>
      <c r="I1297" s="117" t="str">
        <f>IF(X1297="ADMITIDO","ADMITIDO",IF(X1297="CANCELADA","CANCELADA",IF(H1297="","",IFERROR(_xlfn.XLOOKUP(H1297,Listas!I:I,Listas!J:J),"OUTROS"))))</f>
        <v>DOCUMENTAÇÃO</v>
      </c>
      <c r="J1297" s="240" t="s">
        <v>53</v>
      </c>
      <c r="K1297" s="240" t="s">
        <v>699</v>
      </c>
      <c r="L1297" s="240" t="s">
        <v>3226</v>
      </c>
      <c r="M1297" s="240"/>
      <c r="N1297" s="240" t="s">
        <v>2250</v>
      </c>
      <c r="O1297" s="119" t="s">
        <v>34</v>
      </c>
      <c r="P1297" s="119" t="s">
        <v>35</v>
      </c>
      <c r="Q1297" s="119" t="s">
        <v>711</v>
      </c>
      <c r="R1297" s="273"/>
      <c r="S1297" s="273"/>
      <c r="T1297" s="274"/>
      <c r="U1297" s="73" t="s">
        <v>132</v>
      </c>
      <c r="V1297" s="216">
        <v>46213</v>
      </c>
      <c r="W1297" s="118" t="s">
        <v>3229</v>
      </c>
      <c r="X1297" s="119" t="s">
        <v>188</v>
      </c>
      <c r="Y1297" s="120">
        <v>46230</v>
      </c>
      <c r="Z1297" s="120">
        <v>46239</v>
      </c>
      <c r="AA1297" s="244">
        <v>914691</v>
      </c>
      <c r="AB1297" s="241"/>
      <c r="AC1297" s="241"/>
      <c r="AD1297" s="244">
        <v>0</v>
      </c>
    </row>
    <row r="1298" spans="1:30" ht="15" customHeight="1">
      <c r="A1298" s="237">
        <v>31165</v>
      </c>
      <c r="B1298" s="121">
        <v>1</v>
      </c>
      <c r="C1298" s="238">
        <v>46218</v>
      </c>
      <c r="D1298" s="105">
        <f t="shared" ca="1" si="76"/>
        <v>9</v>
      </c>
      <c r="E1298" s="138" t="str">
        <f t="shared" ca="1" si="77"/>
        <v>ATENÇÃO</v>
      </c>
      <c r="F1298" s="230" t="s">
        <v>42</v>
      </c>
      <c r="G1298" s="147" t="s">
        <v>145</v>
      </c>
      <c r="H1298" s="117" t="s">
        <v>181</v>
      </c>
      <c r="I1298" s="117" t="str">
        <f>IF(X1298="ADMITIDO","ADMITIDO",IF(X1298="CANCELADA","CANCELADA",IF(H1298="","",IFERROR(_xlfn.XLOOKUP(H1298,Listas!I:I,Listas!J:J),"OUTROS"))))</f>
        <v>DOCUMENTAÇÃO</v>
      </c>
      <c r="J1298" s="240" t="s">
        <v>53</v>
      </c>
      <c r="K1298" s="240" t="s">
        <v>699</v>
      </c>
      <c r="L1298" s="240" t="s">
        <v>3226</v>
      </c>
      <c r="M1298" s="240"/>
      <c r="N1298" s="240" t="s">
        <v>2250</v>
      </c>
      <c r="O1298" s="119" t="s">
        <v>34</v>
      </c>
      <c r="P1298" s="119" t="s">
        <v>48</v>
      </c>
      <c r="Q1298" s="119" t="s">
        <v>49</v>
      </c>
      <c r="R1298" s="273"/>
      <c r="S1298" s="273"/>
      <c r="T1298" s="274"/>
      <c r="U1298" s="73" t="s">
        <v>132</v>
      </c>
      <c r="V1298" s="216"/>
      <c r="W1298" s="118"/>
      <c r="X1298" s="119"/>
      <c r="Y1298" s="120"/>
      <c r="Z1298" s="120"/>
      <c r="AA1298" s="244"/>
      <c r="AB1298" s="241"/>
      <c r="AC1298" s="241"/>
      <c r="AD1298" s="244">
        <v>0</v>
      </c>
    </row>
    <row r="1299" spans="1:30" ht="15" customHeight="1">
      <c r="A1299" s="237">
        <v>31165</v>
      </c>
      <c r="B1299" s="121">
        <v>1</v>
      </c>
      <c r="C1299" s="238">
        <v>46218</v>
      </c>
      <c r="D1299" s="105">
        <f t="shared" ca="1" si="76"/>
        <v>9</v>
      </c>
      <c r="E1299" s="138" t="str">
        <f t="shared" ca="1" si="77"/>
        <v>ATENÇÃO</v>
      </c>
      <c r="F1299" s="230" t="s">
        <v>42</v>
      </c>
      <c r="G1299" s="147" t="s">
        <v>145</v>
      </c>
      <c r="H1299" s="117" t="s">
        <v>181</v>
      </c>
      <c r="I1299" s="117" t="str">
        <f>IF(X1299="ADMITIDO","ADMITIDO",IF(X1299="CANCELADA","CANCELADA",IF(H1299="","",IFERROR(_xlfn.XLOOKUP(H1299,Listas!I:I,Listas!J:J),"OUTROS"))))</f>
        <v>DOCUMENTAÇÃO</v>
      </c>
      <c r="J1299" s="240" t="s">
        <v>53</v>
      </c>
      <c r="K1299" s="240" t="s">
        <v>699</v>
      </c>
      <c r="L1299" s="240" t="s">
        <v>3226</v>
      </c>
      <c r="M1299" s="240"/>
      <c r="N1299" s="240" t="s">
        <v>2250</v>
      </c>
      <c r="O1299" s="119" t="s">
        <v>34</v>
      </c>
      <c r="P1299" s="119" t="s">
        <v>48</v>
      </c>
      <c r="Q1299" s="119" t="s">
        <v>49</v>
      </c>
      <c r="R1299" s="273"/>
      <c r="S1299" s="273"/>
      <c r="T1299" s="274"/>
      <c r="U1299" s="73" t="s">
        <v>132</v>
      </c>
      <c r="V1299" s="216">
        <v>46219</v>
      </c>
      <c r="W1299" s="118" t="s">
        <v>3230</v>
      </c>
      <c r="X1299" s="119" t="s">
        <v>188</v>
      </c>
      <c r="Y1299" s="120">
        <v>46230</v>
      </c>
      <c r="Z1299" s="120">
        <v>46239</v>
      </c>
      <c r="AA1299" s="244">
        <v>914695</v>
      </c>
      <c r="AB1299" s="241"/>
      <c r="AC1299" s="241"/>
      <c r="AD1299" s="244">
        <v>0</v>
      </c>
    </row>
    <row r="1300" spans="1:30" ht="15" customHeight="1">
      <c r="A1300" s="237">
        <v>31161</v>
      </c>
      <c r="B1300" s="121">
        <v>1</v>
      </c>
      <c r="C1300" s="238">
        <v>46218</v>
      </c>
      <c r="D1300" s="105">
        <f t="shared" ca="1" si="76"/>
        <v>9</v>
      </c>
      <c r="E1300" s="138" t="str">
        <f t="shared" ca="1" si="77"/>
        <v>ATENÇÃO</v>
      </c>
      <c r="F1300" s="230" t="s">
        <v>42</v>
      </c>
      <c r="G1300" s="147" t="s">
        <v>145</v>
      </c>
      <c r="H1300" s="117" t="s">
        <v>181</v>
      </c>
      <c r="I1300" s="117" t="str">
        <f>IF(X1300="ADMITIDO","ADMITIDO",IF(X1300="CANCELADA","CANCELADA",IF(H1300="","",IFERROR(_xlfn.XLOOKUP(H1300,Listas!I:I,Listas!J:J),"OUTROS"))))</f>
        <v>DOCUMENTAÇÃO</v>
      </c>
      <c r="J1300" s="240" t="s">
        <v>53</v>
      </c>
      <c r="K1300" s="240" t="s">
        <v>699</v>
      </c>
      <c r="L1300" s="240" t="s">
        <v>3226</v>
      </c>
      <c r="M1300" s="240"/>
      <c r="N1300" s="240" t="s">
        <v>2250</v>
      </c>
      <c r="O1300" s="119" t="s">
        <v>56</v>
      </c>
      <c r="P1300" s="119" t="s">
        <v>35</v>
      </c>
      <c r="Q1300" s="119" t="s">
        <v>176</v>
      </c>
      <c r="R1300" s="273"/>
      <c r="S1300" s="273"/>
      <c r="T1300" s="274"/>
      <c r="U1300" s="73" t="s">
        <v>132</v>
      </c>
      <c r="V1300" s="216">
        <v>46211</v>
      </c>
      <c r="W1300" s="118" t="s">
        <v>3231</v>
      </c>
      <c r="X1300" s="119" t="s">
        <v>188</v>
      </c>
      <c r="Y1300" s="120">
        <v>46230</v>
      </c>
      <c r="Z1300" s="120">
        <v>46239</v>
      </c>
      <c r="AA1300" s="244">
        <v>914687</v>
      </c>
      <c r="AB1300" s="241"/>
      <c r="AC1300" s="241"/>
      <c r="AD1300" s="244">
        <v>0</v>
      </c>
    </row>
    <row r="1301" spans="1:30" ht="15" customHeight="1">
      <c r="A1301" s="237">
        <v>31161</v>
      </c>
      <c r="B1301" s="121">
        <v>1</v>
      </c>
      <c r="C1301" s="238">
        <v>46218</v>
      </c>
      <c r="D1301" s="105">
        <f t="shared" ca="1" si="76"/>
        <v>9</v>
      </c>
      <c r="E1301" s="138" t="str">
        <f t="shared" ca="1" si="77"/>
        <v>ATENÇÃO</v>
      </c>
      <c r="F1301" s="230" t="s">
        <v>42</v>
      </c>
      <c r="G1301" s="147" t="s">
        <v>145</v>
      </c>
      <c r="H1301" s="117" t="s">
        <v>181</v>
      </c>
      <c r="I1301" s="117" t="str">
        <f>IF(X1301="ADMITIDO","ADMITIDO",IF(X1301="CANCELADA","CANCELADA",IF(H1301="","",IFERROR(_xlfn.XLOOKUP(H1301,Listas!I:I,Listas!J:J),"OUTROS"))))</f>
        <v>DOCUMENTAÇÃO</v>
      </c>
      <c r="J1301" s="240" t="s">
        <v>53</v>
      </c>
      <c r="K1301" s="240" t="s">
        <v>699</v>
      </c>
      <c r="L1301" s="240" t="s">
        <v>3226</v>
      </c>
      <c r="M1301" s="240"/>
      <c r="N1301" s="240" t="s">
        <v>2250</v>
      </c>
      <c r="O1301" s="119" t="s">
        <v>56</v>
      </c>
      <c r="P1301" s="119" t="s">
        <v>35</v>
      </c>
      <c r="Q1301" s="119" t="s">
        <v>176</v>
      </c>
      <c r="R1301" s="273"/>
      <c r="S1301" s="273"/>
      <c r="T1301" s="274"/>
      <c r="U1301" s="73" t="s">
        <v>132</v>
      </c>
      <c r="V1301" s="216">
        <v>46206</v>
      </c>
      <c r="W1301" s="118" t="s">
        <v>3232</v>
      </c>
      <c r="X1301" s="119" t="s">
        <v>188</v>
      </c>
      <c r="Y1301" s="120">
        <v>46230</v>
      </c>
      <c r="Z1301" s="120">
        <v>46239</v>
      </c>
      <c r="AA1301" s="244">
        <v>914689</v>
      </c>
      <c r="AB1301" s="241"/>
      <c r="AC1301" s="241"/>
      <c r="AD1301" s="244">
        <v>0</v>
      </c>
    </row>
    <row r="1302" spans="1:30" ht="15" customHeight="1">
      <c r="A1302" s="237">
        <v>31163</v>
      </c>
      <c r="B1302" s="121">
        <v>1</v>
      </c>
      <c r="C1302" s="238">
        <v>46218</v>
      </c>
      <c r="D1302" s="105">
        <f t="shared" ca="1" si="76"/>
        <v>9</v>
      </c>
      <c r="E1302" s="138" t="str">
        <f t="shared" ca="1" si="77"/>
        <v>ATENÇÃO</v>
      </c>
      <c r="F1302" s="230" t="s">
        <v>42</v>
      </c>
      <c r="G1302" s="147" t="s">
        <v>145</v>
      </c>
      <c r="H1302" s="117" t="s">
        <v>181</v>
      </c>
      <c r="I1302" s="117" t="str">
        <f>IF(X1302="ADMITIDO","ADMITIDO",IF(X1302="CANCELADA","CANCELADA",IF(H1302="","",IFERROR(_xlfn.XLOOKUP(H1302,Listas!I:I,Listas!J:J),"OUTROS"))))</f>
        <v>DOCUMENTAÇÃO</v>
      </c>
      <c r="J1302" s="240" t="s">
        <v>53</v>
      </c>
      <c r="K1302" s="240" t="s">
        <v>699</v>
      </c>
      <c r="L1302" s="240" t="s">
        <v>3226</v>
      </c>
      <c r="M1302" s="240"/>
      <c r="N1302" s="240" t="s">
        <v>2250</v>
      </c>
      <c r="O1302" s="119" t="s">
        <v>56</v>
      </c>
      <c r="P1302" s="119" t="s">
        <v>35</v>
      </c>
      <c r="Q1302" s="119" t="s">
        <v>176</v>
      </c>
      <c r="R1302" s="273"/>
      <c r="S1302" s="273"/>
      <c r="T1302" s="274"/>
      <c r="U1302" s="73" t="s">
        <v>132</v>
      </c>
      <c r="V1302" s="216">
        <v>46219</v>
      </c>
      <c r="W1302" s="118" t="s">
        <v>3233</v>
      </c>
      <c r="X1302" s="119" t="s">
        <v>188</v>
      </c>
      <c r="Y1302" s="120">
        <v>46230</v>
      </c>
      <c r="Z1302" s="120">
        <v>46239</v>
      </c>
      <c r="AA1302" s="244">
        <v>914694</v>
      </c>
      <c r="AB1302" s="241"/>
      <c r="AC1302" s="241"/>
      <c r="AD1302" s="244">
        <v>0</v>
      </c>
    </row>
    <row r="1303" spans="1:30" ht="15" customHeight="1">
      <c r="A1303" s="237">
        <v>31163</v>
      </c>
      <c r="B1303" s="121">
        <v>1</v>
      </c>
      <c r="C1303" s="238">
        <v>46218</v>
      </c>
      <c r="D1303" s="105">
        <f t="shared" ca="1" si="76"/>
        <v>9</v>
      </c>
      <c r="E1303" s="138" t="str">
        <f t="shared" ca="1" si="77"/>
        <v>ATENÇÃO</v>
      </c>
      <c r="F1303" s="230" t="s">
        <v>42</v>
      </c>
      <c r="G1303" s="147" t="s">
        <v>145</v>
      </c>
      <c r="H1303" s="117" t="s">
        <v>181</v>
      </c>
      <c r="I1303" s="117" t="str">
        <f>IF(X1303="ADMITIDO","ADMITIDO",IF(X1303="CANCELADA","CANCELADA",IF(H1303="","",IFERROR(_xlfn.XLOOKUP(H1303,Listas!I:I,Listas!J:J),"OUTROS"))))</f>
        <v>DOCUMENTAÇÃO</v>
      </c>
      <c r="J1303" s="240" t="s">
        <v>53</v>
      </c>
      <c r="K1303" s="240" t="s">
        <v>699</v>
      </c>
      <c r="L1303" s="240" t="s">
        <v>3226</v>
      </c>
      <c r="M1303" s="240"/>
      <c r="N1303" s="240" t="s">
        <v>2250</v>
      </c>
      <c r="O1303" s="119" t="s">
        <v>56</v>
      </c>
      <c r="P1303" s="119" t="s">
        <v>35</v>
      </c>
      <c r="Q1303" s="119" t="s">
        <v>176</v>
      </c>
      <c r="R1303" s="273"/>
      <c r="S1303" s="273"/>
      <c r="T1303" s="274"/>
      <c r="U1303" s="73" t="s">
        <v>132</v>
      </c>
      <c r="V1303" s="216">
        <v>46217</v>
      </c>
      <c r="W1303" s="118" t="s">
        <v>3234</v>
      </c>
      <c r="X1303" s="119" t="s">
        <v>188</v>
      </c>
      <c r="Y1303" s="120">
        <v>46230</v>
      </c>
      <c r="Z1303" s="120">
        <v>46239</v>
      </c>
      <c r="AA1303" s="244">
        <v>914693</v>
      </c>
      <c r="AB1303" s="241"/>
      <c r="AC1303" s="241"/>
      <c r="AD1303" s="244">
        <v>0</v>
      </c>
    </row>
    <row r="1304" spans="1:30" ht="15" customHeight="1">
      <c r="A1304" s="237">
        <v>31164</v>
      </c>
      <c r="B1304" s="121">
        <v>1</v>
      </c>
      <c r="C1304" s="238">
        <v>46218</v>
      </c>
      <c r="D1304" s="105">
        <f t="shared" ca="1" si="76"/>
        <v>9</v>
      </c>
      <c r="E1304" s="138" t="str">
        <f t="shared" ca="1" si="77"/>
        <v>ATENÇÃO</v>
      </c>
      <c r="F1304" s="230" t="s">
        <v>42</v>
      </c>
      <c r="G1304" s="147" t="s">
        <v>145</v>
      </c>
      <c r="H1304" s="117" t="s">
        <v>181</v>
      </c>
      <c r="I1304" s="117" t="str">
        <f>IF(X1304="ADMITIDO","ADMITIDO",IF(X1304="CANCELADA","CANCELADA",IF(H1304="","",IFERROR(_xlfn.XLOOKUP(H1304,Listas!I:I,Listas!J:J),"OUTROS"))))</f>
        <v>DOCUMENTAÇÃO</v>
      </c>
      <c r="J1304" s="240" t="s">
        <v>163</v>
      </c>
      <c r="K1304" s="240" t="s">
        <v>699</v>
      </c>
      <c r="L1304" s="240" t="s">
        <v>3226</v>
      </c>
      <c r="M1304" s="240"/>
      <c r="N1304" s="240" t="s">
        <v>2250</v>
      </c>
      <c r="O1304" s="119" t="s">
        <v>34</v>
      </c>
      <c r="P1304" s="119" t="s">
        <v>48</v>
      </c>
      <c r="Q1304" s="119" t="s">
        <v>49</v>
      </c>
      <c r="R1304" s="273"/>
      <c r="S1304" s="273"/>
      <c r="T1304" s="274"/>
      <c r="U1304" s="73" t="s">
        <v>132</v>
      </c>
      <c r="V1304" s="216"/>
      <c r="W1304" s="118"/>
      <c r="X1304" s="119"/>
      <c r="Y1304" s="120"/>
      <c r="Z1304" s="120"/>
      <c r="AA1304" s="244"/>
      <c r="AB1304" s="241"/>
      <c r="AC1304" s="241"/>
      <c r="AD1304" s="244">
        <v>0</v>
      </c>
    </row>
    <row r="1305" spans="1:30" ht="15" customHeight="1">
      <c r="A1305" s="237">
        <v>31174</v>
      </c>
      <c r="B1305" s="121">
        <v>1</v>
      </c>
      <c r="C1305" s="238">
        <v>46218</v>
      </c>
      <c r="D1305" s="105">
        <f t="shared" ca="1" si="76"/>
        <v>9</v>
      </c>
      <c r="E1305" s="138" t="str">
        <f t="shared" ca="1" si="77"/>
        <v>ATENÇÃO</v>
      </c>
      <c r="F1305" s="230" t="s">
        <v>42</v>
      </c>
      <c r="G1305" s="147" t="s">
        <v>43</v>
      </c>
      <c r="H1305" s="117" t="s">
        <v>181</v>
      </c>
      <c r="I1305" s="117" t="str">
        <f>IF(X1305="ADMITIDO","ADMITIDO",IF(X1305="CANCELADA","CANCELADA",IF(H1305="","",IFERROR(_xlfn.XLOOKUP(H1305,Listas!I:I,Listas!J:J),"OUTROS"))))</f>
        <v>DOCUMENTAÇÃO</v>
      </c>
      <c r="J1305" s="240" t="s">
        <v>53</v>
      </c>
      <c r="K1305" s="240" t="s">
        <v>189</v>
      </c>
      <c r="L1305" s="240" t="s">
        <v>869</v>
      </c>
      <c r="M1305" s="240"/>
      <c r="N1305" s="240" t="s">
        <v>337</v>
      </c>
      <c r="O1305" s="119" t="s">
        <v>34</v>
      </c>
      <c r="P1305" s="119" t="s">
        <v>48</v>
      </c>
      <c r="Q1305" s="119" t="s">
        <v>131</v>
      </c>
      <c r="R1305" s="273"/>
      <c r="S1305" s="273" t="s">
        <v>1375</v>
      </c>
      <c r="T1305" s="274">
        <v>15997190986</v>
      </c>
      <c r="U1305" s="73" t="s">
        <v>67</v>
      </c>
      <c r="V1305" s="216">
        <v>46224</v>
      </c>
      <c r="W1305" s="118" t="s">
        <v>3235</v>
      </c>
      <c r="X1305" s="119" t="s">
        <v>284</v>
      </c>
      <c r="Y1305" s="120"/>
      <c r="Z1305" s="120"/>
      <c r="AA1305" s="244"/>
      <c r="AB1305" s="241"/>
      <c r="AC1305" s="241"/>
      <c r="AD1305" s="244">
        <v>0</v>
      </c>
    </row>
    <row r="1306" spans="1:30" ht="15" customHeight="1">
      <c r="A1306" s="237">
        <v>31196</v>
      </c>
      <c r="B1306" s="121">
        <v>1</v>
      </c>
      <c r="C1306" s="238">
        <v>46218</v>
      </c>
      <c r="D1306" s="105">
        <f t="shared" ca="1" si="76"/>
        <v>9</v>
      </c>
      <c r="E1306" s="138" t="str">
        <f t="shared" ca="1" si="77"/>
        <v>ATENÇÃO</v>
      </c>
      <c r="F1306" s="230" t="s">
        <v>42</v>
      </c>
      <c r="G1306" s="147" t="s">
        <v>145</v>
      </c>
      <c r="H1306" s="117" t="s">
        <v>181</v>
      </c>
      <c r="I1306" s="117" t="str">
        <f>IF(X1306="ADMITIDO","ADMITIDO",IF(X1306="CANCELADA","CANCELADA",IF(H1306="","",IFERROR(_xlfn.XLOOKUP(H1306,Listas!I:I,Listas!J:J),"OUTROS"))))</f>
        <v>DOCUMENTAÇÃO</v>
      </c>
      <c r="J1306" s="240" t="s">
        <v>53</v>
      </c>
      <c r="K1306" s="240" t="s">
        <v>699</v>
      </c>
      <c r="L1306" s="240" t="s">
        <v>3236</v>
      </c>
      <c r="M1306" s="240"/>
      <c r="N1306" s="240" t="s">
        <v>3237</v>
      </c>
      <c r="O1306" s="119" t="s">
        <v>34</v>
      </c>
      <c r="P1306" s="119" t="s">
        <v>57</v>
      </c>
      <c r="Q1306" s="119" t="s">
        <v>1437</v>
      </c>
      <c r="R1306" s="273"/>
      <c r="S1306" s="273"/>
      <c r="T1306" s="274"/>
      <c r="U1306" s="73" t="s">
        <v>132</v>
      </c>
      <c r="V1306" s="216">
        <v>46213</v>
      </c>
      <c r="W1306" s="118" t="s">
        <v>3238</v>
      </c>
      <c r="X1306" s="119" t="s">
        <v>284</v>
      </c>
      <c r="Y1306" s="120"/>
      <c r="Z1306" s="120"/>
      <c r="AA1306" s="244"/>
      <c r="AB1306" s="241"/>
      <c r="AC1306" s="241"/>
      <c r="AD1306" s="244">
        <v>0</v>
      </c>
    </row>
    <row r="1307" spans="1:30" ht="15" customHeight="1">
      <c r="A1307" s="237">
        <v>31194</v>
      </c>
      <c r="B1307" s="121">
        <v>1</v>
      </c>
      <c r="C1307" s="238">
        <v>46218</v>
      </c>
      <c r="D1307" s="105">
        <f t="shared" ca="1" si="76"/>
        <v>9</v>
      </c>
      <c r="E1307" s="138" t="str">
        <f t="shared" ca="1" si="77"/>
        <v>ATENÇÃO</v>
      </c>
      <c r="F1307" s="230" t="s">
        <v>42</v>
      </c>
      <c r="G1307" s="147" t="s">
        <v>145</v>
      </c>
      <c r="H1307" s="117" t="s">
        <v>181</v>
      </c>
      <c r="I1307" s="117" t="str">
        <f>IF(X1307="ADMITIDO","ADMITIDO",IF(X1307="CANCELADA","CANCELADA",IF(H1307="","",IFERROR(_xlfn.XLOOKUP(H1307,Listas!I:I,Listas!J:J),"OUTROS"))))</f>
        <v>DOCUMENTAÇÃO</v>
      </c>
      <c r="J1307" s="240" t="s">
        <v>116</v>
      </c>
      <c r="K1307" s="240" t="s">
        <v>699</v>
      </c>
      <c r="L1307" s="240" t="s">
        <v>3236</v>
      </c>
      <c r="M1307" s="240"/>
      <c r="N1307" s="240" t="s">
        <v>3237</v>
      </c>
      <c r="O1307" s="119" t="s">
        <v>34</v>
      </c>
      <c r="P1307" s="119" t="s">
        <v>48</v>
      </c>
      <c r="Q1307" s="119" t="s">
        <v>414</v>
      </c>
      <c r="R1307" s="273"/>
      <c r="S1307" s="273"/>
      <c r="T1307" s="274"/>
      <c r="U1307" s="73" t="s">
        <v>132</v>
      </c>
      <c r="V1307" s="216">
        <v>46213</v>
      </c>
      <c r="W1307" s="118" t="s">
        <v>3239</v>
      </c>
      <c r="X1307" s="119" t="s">
        <v>284</v>
      </c>
      <c r="Y1307" s="120"/>
      <c r="Z1307" s="120"/>
      <c r="AA1307" s="244"/>
      <c r="AB1307" s="241"/>
      <c r="AC1307" s="241"/>
      <c r="AD1307" s="244">
        <v>0</v>
      </c>
    </row>
    <row r="1308" spans="1:30" ht="15" customHeight="1">
      <c r="A1308" s="237">
        <v>31194</v>
      </c>
      <c r="B1308" s="121">
        <v>1</v>
      </c>
      <c r="C1308" s="238">
        <v>46218</v>
      </c>
      <c r="D1308" s="105">
        <f t="shared" ca="1" si="76"/>
        <v>9</v>
      </c>
      <c r="E1308" s="138" t="str">
        <f t="shared" ca="1" si="77"/>
        <v>ATENÇÃO</v>
      </c>
      <c r="F1308" s="230" t="s">
        <v>42</v>
      </c>
      <c r="G1308" s="147" t="s">
        <v>145</v>
      </c>
      <c r="H1308" s="117" t="s">
        <v>181</v>
      </c>
      <c r="I1308" s="117" t="str">
        <f>IF(X1308="ADMITIDO","ADMITIDO",IF(X1308="CANCELADA","CANCELADA",IF(H1308="","",IFERROR(_xlfn.XLOOKUP(H1308,Listas!I:I,Listas!J:J),"OUTROS"))))</f>
        <v>DOCUMENTAÇÃO</v>
      </c>
      <c r="J1308" s="240" t="s">
        <v>116</v>
      </c>
      <c r="K1308" s="240" t="s">
        <v>699</v>
      </c>
      <c r="L1308" s="240" t="s">
        <v>3236</v>
      </c>
      <c r="M1308" s="240"/>
      <c r="N1308" s="240" t="s">
        <v>3237</v>
      </c>
      <c r="O1308" s="119" t="s">
        <v>34</v>
      </c>
      <c r="P1308" s="119" t="s">
        <v>48</v>
      </c>
      <c r="Q1308" s="119" t="s">
        <v>414</v>
      </c>
      <c r="R1308" s="273"/>
      <c r="S1308" s="273"/>
      <c r="T1308" s="274"/>
      <c r="U1308" s="73" t="s">
        <v>132</v>
      </c>
      <c r="V1308" s="216">
        <v>46213</v>
      </c>
      <c r="W1308" s="118" t="s">
        <v>3240</v>
      </c>
      <c r="X1308" s="119" t="s">
        <v>284</v>
      </c>
      <c r="Y1308" s="120"/>
      <c r="Z1308" s="120"/>
      <c r="AA1308" s="244"/>
      <c r="AB1308" s="241"/>
      <c r="AC1308" s="241"/>
      <c r="AD1308" s="244">
        <v>0</v>
      </c>
    </row>
    <row r="1309" spans="1:30" ht="15" customHeight="1">
      <c r="A1309" s="237">
        <v>31194</v>
      </c>
      <c r="B1309" s="121">
        <v>1</v>
      </c>
      <c r="C1309" s="238">
        <v>46218</v>
      </c>
      <c r="D1309" s="105">
        <f t="shared" ca="1" si="76"/>
        <v>9</v>
      </c>
      <c r="E1309" s="138" t="str">
        <f t="shared" ca="1" si="77"/>
        <v>ATENÇÃO</v>
      </c>
      <c r="F1309" s="230" t="s">
        <v>42</v>
      </c>
      <c r="G1309" s="147" t="s">
        <v>145</v>
      </c>
      <c r="H1309" s="117" t="s">
        <v>181</v>
      </c>
      <c r="I1309" s="117" t="str">
        <f>IF(X1309="ADMITIDO","ADMITIDO",IF(X1309="CANCELADA","CANCELADA",IF(H1309="","",IFERROR(_xlfn.XLOOKUP(H1309,Listas!I:I,Listas!J:J),"OUTROS"))))</f>
        <v>DOCUMENTAÇÃO</v>
      </c>
      <c r="J1309" s="240" t="s">
        <v>116</v>
      </c>
      <c r="K1309" s="240" t="s">
        <v>699</v>
      </c>
      <c r="L1309" s="240" t="s">
        <v>3236</v>
      </c>
      <c r="M1309" s="240"/>
      <c r="N1309" s="240" t="s">
        <v>3237</v>
      </c>
      <c r="O1309" s="119" t="s">
        <v>34</v>
      </c>
      <c r="P1309" s="119" t="s">
        <v>48</v>
      </c>
      <c r="Q1309" s="119" t="s">
        <v>414</v>
      </c>
      <c r="R1309" s="273"/>
      <c r="S1309" s="273"/>
      <c r="T1309" s="274"/>
      <c r="U1309" s="73" t="s">
        <v>132</v>
      </c>
      <c r="V1309" s="216">
        <v>46213</v>
      </c>
      <c r="W1309" s="118" t="s">
        <v>3241</v>
      </c>
      <c r="X1309" s="119" t="s">
        <v>284</v>
      </c>
      <c r="Y1309" s="120"/>
      <c r="Z1309" s="120"/>
      <c r="AA1309" s="244"/>
      <c r="AB1309" s="241"/>
      <c r="AC1309" s="241"/>
      <c r="AD1309" s="244">
        <v>0</v>
      </c>
    </row>
    <row r="1310" spans="1:30" ht="15" customHeight="1">
      <c r="A1310" s="237">
        <v>31195</v>
      </c>
      <c r="B1310" s="121">
        <v>1</v>
      </c>
      <c r="C1310" s="238">
        <v>46218</v>
      </c>
      <c r="D1310" s="105">
        <f t="shared" ca="1" si="76"/>
        <v>9</v>
      </c>
      <c r="E1310" s="138" t="str">
        <f t="shared" ca="1" si="77"/>
        <v>ATENÇÃO</v>
      </c>
      <c r="F1310" s="230" t="s">
        <v>42</v>
      </c>
      <c r="G1310" s="147" t="s">
        <v>145</v>
      </c>
      <c r="H1310" s="117" t="s">
        <v>181</v>
      </c>
      <c r="I1310" s="117" t="str">
        <f>IF(X1310="ADMITIDO","ADMITIDO",IF(X1310="CANCELADA","CANCELADA",IF(H1310="","",IFERROR(_xlfn.XLOOKUP(H1310,Listas!I:I,Listas!J:J),"OUTROS"))))</f>
        <v>DOCUMENTAÇÃO</v>
      </c>
      <c r="J1310" s="240" t="s">
        <v>116</v>
      </c>
      <c r="K1310" s="240" t="s">
        <v>699</v>
      </c>
      <c r="L1310" s="240" t="s">
        <v>3236</v>
      </c>
      <c r="M1310" s="240"/>
      <c r="N1310" s="240" t="s">
        <v>3237</v>
      </c>
      <c r="O1310" s="119" t="s">
        <v>34</v>
      </c>
      <c r="P1310" s="119" t="s">
        <v>48</v>
      </c>
      <c r="Q1310" s="119" t="s">
        <v>414</v>
      </c>
      <c r="R1310" s="273"/>
      <c r="S1310" s="273"/>
      <c r="T1310" s="274"/>
      <c r="U1310" s="73" t="s">
        <v>132</v>
      </c>
      <c r="V1310" s="216">
        <v>46213</v>
      </c>
      <c r="W1310" s="118" t="s">
        <v>3242</v>
      </c>
      <c r="X1310" s="119" t="s">
        <v>284</v>
      </c>
      <c r="Y1310" s="120"/>
      <c r="Z1310" s="120"/>
      <c r="AA1310" s="244"/>
      <c r="AB1310" s="241"/>
      <c r="AC1310" s="241"/>
      <c r="AD1310" s="244">
        <v>0</v>
      </c>
    </row>
    <row r="1311" spans="1:30" ht="15" customHeight="1">
      <c r="A1311" s="237">
        <v>31128</v>
      </c>
      <c r="B1311" s="121">
        <v>1</v>
      </c>
      <c r="C1311" s="238">
        <v>46218</v>
      </c>
      <c r="D1311" s="105">
        <f t="shared" ca="1" si="76"/>
        <v>9</v>
      </c>
      <c r="E1311" s="138" t="str">
        <f t="shared" ca="1" si="77"/>
        <v>ATENÇÃO</v>
      </c>
      <c r="F1311" s="230" t="s">
        <v>42</v>
      </c>
      <c r="G1311" s="147" t="s">
        <v>145</v>
      </c>
      <c r="H1311" s="117" t="s">
        <v>181</v>
      </c>
      <c r="I1311" s="117" t="str">
        <f>IF(X1311="ADMITIDO","ADMITIDO",IF(X1311="CANCELADA","CANCELADA",IF(H1311="","",IFERROR(_xlfn.XLOOKUP(H1311,Listas!I:I,Listas!J:J),"OUTROS"))))</f>
        <v>DOCUMENTAÇÃO</v>
      </c>
      <c r="J1311" s="240" t="s">
        <v>268</v>
      </c>
      <c r="K1311" s="240" t="s">
        <v>699</v>
      </c>
      <c r="L1311" s="240" t="s">
        <v>3236</v>
      </c>
      <c r="M1311" s="240"/>
      <c r="N1311" s="240" t="s">
        <v>3237</v>
      </c>
      <c r="O1311" s="119" t="s">
        <v>34</v>
      </c>
      <c r="P1311" s="119" t="s">
        <v>48</v>
      </c>
      <c r="Q1311" s="119" t="s">
        <v>3243</v>
      </c>
      <c r="R1311" s="273"/>
      <c r="S1311" s="273"/>
      <c r="T1311" s="274"/>
      <c r="U1311" s="73" t="s">
        <v>132</v>
      </c>
      <c r="V1311" s="216">
        <v>46213</v>
      </c>
      <c r="W1311" s="118" t="s">
        <v>3244</v>
      </c>
      <c r="X1311" s="119" t="s">
        <v>284</v>
      </c>
      <c r="Y1311" s="120"/>
      <c r="Z1311" s="120"/>
      <c r="AA1311" s="244"/>
      <c r="AB1311" s="241"/>
      <c r="AC1311" s="241"/>
      <c r="AD1311" s="244">
        <v>0</v>
      </c>
    </row>
    <row r="1312" spans="1:30" ht="15" customHeight="1">
      <c r="A1312" s="237">
        <v>31129</v>
      </c>
      <c r="B1312" s="121">
        <v>1</v>
      </c>
      <c r="C1312" s="238">
        <v>46218</v>
      </c>
      <c r="D1312" s="105">
        <f t="shared" ca="1" si="76"/>
        <v>9</v>
      </c>
      <c r="E1312" s="138" t="str">
        <f t="shared" ca="1" si="77"/>
        <v>ATENÇÃO</v>
      </c>
      <c r="F1312" s="230" t="s">
        <v>28</v>
      </c>
      <c r="G1312" s="147" t="s">
        <v>145</v>
      </c>
      <c r="H1312" s="117" t="s">
        <v>181</v>
      </c>
      <c r="I1312" s="117" t="str">
        <f>IF(X1312="ADMITIDO","ADMITIDO",IF(X1312="CANCELADA","CANCELADA",IF(H1312="","",IFERROR(_xlfn.XLOOKUP(H1312,Listas!I:I,Listas!J:J),"OUTROS"))))</f>
        <v>DOCUMENTAÇÃO</v>
      </c>
      <c r="J1312" s="240" t="s">
        <v>268</v>
      </c>
      <c r="K1312" s="240" t="s">
        <v>699</v>
      </c>
      <c r="L1312" s="240" t="s">
        <v>3236</v>
      </c>
      <c r="M1312" s="240"/>
      <c r="N1312" s="240" t="s">
        <v>3237</v>
      </c>
      <c r="O1312" s="119" t="s">
        <v>34</v>
      </c>
      <c r="P1312" s="119" t="s">
        <v>35</v>
      </c>
      <c r="Q1312" s="119" t="s">
        <v>36</v>
      </c>
      <c r="R1312" s="273"/>
      <c r="S1312" s="273"/>
      <c r="T1312" s="274"/>
      <c r="U1312" s="73" t="s">
        <v>132</v>
      </c>
      <c r="V1312" s="216">
        <v>46213</v>
      </c>
      <c r="W1312" s="118" t="s">
        <v>3245</v>
      </c>
      <c r="X1312" s="119" t="s">
        <v>284</v>
      </c>
      <c r="Y1312" s="120"/>
      <c r="Z1312" s="120"/>
      <c r="AA1312" s="244"/>
      <c r="AB1312" s="241"/>
      <c r="AC1312" s="241"/>
      <c r="AD1312" s="244">
        <v>0</v>
      </c>
    </row>
    <row r="1313" spans="1:30" ht="15" customHeight="1">
      <c r="A1313" s="237">
        <v>31129</v>
      </c>
      <c r="B1313" s="121">
        <v>1</v>
      </c>
      <c r="C1313" s="238">
        <v>46218</v>
      </c>
      <c r="D1313" s="105">
        <f t="shared" ca="1" si="76"/>
        <v>9</v>
      </c>
      <c r="E1313" s="138" t="str">
        <f t="shared" ca="1" si="77"/>
        <v>ATENÇÃO</v>
      </c>
      <c r="F1313" s="230" t="s">
        <v>28</v>
      </c>
      <c r="G1313" s="147" t="s">
        <v>145</v>
      </c>
      <c r="H1313" s="117" t="s">
        <v>181</v>
      </c>
      <c r="I1313" s="117" t="str">
        <f>IF(X1313="ADMITIDO","ADMITIDO",IF(X1313="CANCELADA","CANCELADA",IF(H1313="","",IFERROR(_xlfn.XLOOKUP(H1313,Listas!I:I,Listas!J:J),"OUTROS"))))</f>
        <v>DOCUMENTAÇÃO</v>
      </c>
      <c r="J1313" s="240" t="s">
        <v>268</v>
      </c>
      <c r="K1313" s="240" t="s">
        <v>699</v>
      </c>
      <c r="L1313" s="240" t="s">
        <v>3236</v>
      </c>
      <c r="M1313" s="240"/>
      <c r="N1313" s="240" t="s">
        <v>3237</v>
      </c>
      <c r="O1313" s="119" t="s">
        <v>34</v>
      </c>
      <c r="P1313" s="119" t="s">
        <v>35</v>
      </c>
      <c r="Q1313" s="119" t="s">
        <v>36</v>
      </c>
      <c r="R1313" s="273"/>
      <c r="S1313" s="273"/>
      <c r="T1313" s="274"/>
      <c r="U1313" s="73" t="s">
        <v>132</v>
      </c>
      <c r="V1313" s="216">
        <v>46213</v>
      </c>
      <c r="W1313" s="118" t="s">
        <v>3246</v>
      </c>
      <c r="X1313" s="119" t="s">
        <v>284</v>
      </c>
      <c r="Y1313" s="120"/>
      <c r="Z1313" s="120"/>
      <c r="AA1313" s="244"/>
      <c r="AB1313" s="241"/>
      <c r="AC1313" s="241"/>
      <c r="AD1313" s="244">
        <v>0</v>
      </c>
    </row>
    <row r="1314" spans="1:30" ht="15" customHeight="1">
      <c r="A1314" s="237">
        <v>31130</v>
      </c>
      <c r="B1314" s="121">
        <v>1</v>
      </c>
      <c r="C1314" s="238">
        <v>46218</v>
      </c>
      <c r="D1314" s="105">
        <f t="shared" ca="1" si="76"/>
        <v>9</v>
      </c>
      <c r="E1314" s="138" t="str">
        <f t="shared" ca="1" si="77"/>
        <v>ATENÇÃO</v>
      </c>
      <c r="F1314" s="230" t="s">
        <v>28</v>
      </c>
      <c r="G1314" s="147" t="s">
        <v>145</v>
      </c>
      <c r="H1314" s="117" t="s">
        <v>181</v>
      </c>
      <c r="I1314" s="117" t="str">
        <f>IF(X1314="ADMITIDO","ADMITIDO",IF(X1314="CANCELADA","CANCELADA",IF(H1314="","",IFERROR(_xlfn.XLOOKUP(H1314,Listas!I:I,Listas!J:J),"OUTROS"))))</f>
        <v>DOCUMENTAÇÃO</v>
      </c>
      <c r="J1314" s="240" t="s">
        <v>268</v>
      </c>
      <c r="K1314" s="240" t="s">
        <v>699</v>
      </c>
      <c r="L1314" s="240" t="s">
        <v>3236</v>
      </c>
      <c r="M1314" s="240"/>
      <c r="N1314" s="240" t="s">
        <v>3237</v>
      </c>
      <c r="O1314" s="119" t="s">
        <v>56</v>
      </c>
      <c r="P1314" s="119" t="s">
        <v>35</v>
      </c>
      <c r="Q1314" s="119" t="s">
        <v>176</v>
      </c>
      <c r="R1314" s="273"/>
      <c r="S1314" s="273"/>
      <c r="T1314" s="274"/>
      <c r="U1314" s="73" t="s">
        <v>132</v>
      </c>
      <c r="V1314" s="216">
        <v>46223</v>
      </c>
      <c r="W1314" s="118" t="s">
        <v>3247</v>
      </c>
      <c r="X1314" s="119" t="s">
        <v>284</v>
      </c>
      <c r="Y1314" s="120"/>
      <c r="Z1314" s="120"/>
      <c r="AA1314" s="244"/>
      <c r="AB1314" s="241"/>
      <c r="AC1314" s="241"/>
      <c r="AD1314" s="244">
        <v>0</v>
      </c>
    </row>
    <row r="1315" spans="1:30" ht="15" customHeight="1">
      <c r="A1315" s="237">
        <v>31130</v>
      </c>
      <c r="B1315" s="121">
        <v>1</v>
      </c>
      <c r="C1315" s="238">
        <v>46218</v>
      </c>
      <c r="D1315" s="105">
        <f t="shared" ca="1" si="76"/>
        <v>9</v>
      </c>
      <c r="E1315" s="138" t="str">
        <f t="shared" ca="1" si="77"/>
        <v>ATENÇÃO</v>
      </c>
      <c r="F1315" s="230" t="s">
        <v>28</v>
      </c>
      <c r="G1315" s="147" t="s">
        <v>145</v>
      </c>
      <c r="H1315" s="117" t="s">
        <v>181</v>
      </c>
      <c r="I1315" s="117" t="str">
        <f>IF(X1315="ADMITIDO","ADMITIDO",IF(X1315="CANCELADA","CANCELADA",IF(H1315="","",IFERROR(_xlfn.XLOOKUP(H1315,Listas!I:I,Listas!J:J),"OUTROS"))))</f>
        <v>DOCUMENTAÇÃO</v>
      </c>
      <c r="J1315" s="240" t="s">
        <v>268</v>
      </c>
      <c r="K1315" s="240" t="s">
        <v>699</v>
      </c>
      <c r="L1315" s="240" t="s">
        <v>3236</v>
      </c>
      <c r="M1315" s="240"/>
      <c r="N1315" s="240" t="s">
        <v>3237</v>
      </c>
      <c r="O1315" s="119" t="s">
        <v>56</v>
      </c>
      <c r="P1315" s="119" t="s">
        <v>35</v>
      </c>
      <c r="Q1315" s="119" t="s">
        <v>176</v>
      </c>
      <c r="R1315" s="273"/>
      <c r="S1315" s="273"/>
      <c r="T1315" s="274"/>
      <c r="U1315" s="73" t="s">
        <v>132</v>
      </c>
      <c r="V1315" s="216">
        <v>46217</v>
      </c>
      <c r="W1315" s="118" t="s">
        <v>3248</v>
      </c>
      <c r="X1315" s="119" t="s">
        <v>284</v>
      </c>
      <c r="Y1315" s="120"/>
      <c r="Z1315" s="120"/>
      <c r="AA1315" s="244"/>
      <c r="AB1315" s="241"/>
      <c r="AC1315" s="241"/>
      <c r="AD1315" s="244">
        <v>0</v>
      </c>
    </row>
    <row r="1316" spans="1:30" ht="15" customHeight="1">
      <c r="A1316" s="237">
        <v>31131</v>
      </c>
      <c r="B1316" s="121">
        <v>1</v>
      </c>
      <c r="C1316" s="238">
        <v>46218</v>
      </c>
      <c r="D1316" s="105">
        <f t="shared" ref="D1316:D1363" ca="1" si="78">TODAY()-C1316</f>
        <v>9</v>
      </c>
      <c r="E1316" s="138" t="str">
        <f t="shared" ca="1" si="77"/>
        <v>ATENÇÃO</v>
      </c>
      <c r="F1316" s="230" t="s">
        <v>28</v>
      </c>
      <c r="G1316" s="147" t="s">
        <v>145</v>
      </c>
      <c r="H1316" s="117" t="s">
        <v>181</v>
      </c>
      <c r="I1316" s="117" t="str">
        <f>IF(X1316="ADMITIDO","ADMITIDO",IF(X1316="CANCELADA","CANCELADA",IF(H1316="","",IFERROR(_xlfn.XLOOKUP(H1316,Listas!I:I,Listas!J:J),"OUTROS"))))</f>
        <v>DOCUMENTAÇÃO</v>
      </c>
      <c r="J1316" s="240" t="s">
        <v>616</v>
      </c>
      <c r="K1316" s="240" t="s">
        <v>699</v>
      </c>
      <c r="L1316" s="240" t="s">
        <v>3236</v>
      </c>
      <c r="M1316" s="240"/>
      <c r="N1316" s="240" t="s">
        <v>3237</v>
      </c>
      <c r="O1316" s="119" t="s">
        <v>34</v>
      </c>
      <c r="P1316" s="119" t="s">
        <v>35</v>
      </c>
      <c r="Q1316" s="119" t="s">
        <v>612</v>
      </c>
      <c r="R1316" s="273"/>
      <c r="S1316" s="273"/>
      <c r="T1316" s="274"/>
      <c r="U1316" s="73" t="s">
        <v>132</v>
      </c>
      <c r="V1316" s="216">
        <v>46213</v>
      </c>
      <c r="W1316" s="118" t="s">
        <v>3249</v>
      </c>
      <c r="X1316" s="119" t="s">
        <v>284</v>
      </c>
      <c r="Y1316" s="120"/>
      <c r="Z1316" s="120"/>
      <c r="AA1316" s="244"/>
      <c r="AB1316" s="241"/>
      <c r="AC1316" s="241"/>
      <c r="AD1316" s="244">
        <v>0</v>
      </c>
    </row>
    <row r="1317" spans="1:30" ht="15" customHeight="1">
      <c r="A1317" s="237">
        <v>31131</v>
      </c>
      <c r="B1317" s="121">
        <v>1</v>
      </c>
      <c r="C1317" s="238">
        <v>46218</v>
      </c>
      <c r="D1317" s="105">
        <f t="shared" ca="1" si="78"/>
        <v>9</v>
      </c>
      <c r="E1317" s="138" t="str">
        <f t="shared" ca="1" si="77"/>
        <v>ATENÇÃO</v>
      </c>
      <c r="F1317" s="230" t="s">
        <v>28</v>
      </c>
      <c r="G1317" s="147" t="s">
        <v>145</v>
      </c>
      <c r="H1317" s="117" t="s">
        <v>181</v>
      </c>
      <c r="I1317" s="117" t="str">
        <f>IF(X1317="ADMITIDO","ADMITIDO",IF(X1317="CANCELADA","CANCELADA",IF(H1317="","",IFERROR(_xlfn.XLOOKUP(H1317,Listas!I:I,Listas!J:J),"OUTROS"))))</f>
        <v>DOCUMENTAÇÃO</v>
      </c>
      <c r="J1317" s="240" t="s">
        <v>616</v>
      </c>
      <c r="K1317" s="240" t="s">
        <v>699</v>
      </c>
      <c r="L1317" s="240" t="s">
        <v>3236</v>
      </c>
      <c r="M1317" s="240"/>
      <c r="N1317" s="240" t="s">
        <v>3237</v>
      </c>
      <c r="O1317" s="119" t="s">
        <v>34</v>
      </c>
      <c r="P1317" s="119" t="s">
        <v>35</v>
      </c>
      <c r="Q1317" s="119" t="s">
        <v>612</v>
      </c>
      <c r="R1317" s="273"/>
      <c r="S1317" s="273"/>
      <c r="T1317" s="274"/>
      <c r="U1317" s="73" t="s">
        <v>132</v>
      </c>
      <c r="V1317" s="216">
        <v>46213</v>
      </c>
      <c r="W1317" s="118" t="s">
        <v>3250</v>
      </c>
      <c r="X1317" s="119" t="s">
        <v>284</v>
      </c>
      <c r="Y1317" s="120"/>
      <c r="Z1317" s="120"/>
      <c r="AA1317" s="244"/>
      <c r="AB1317" s="241"/>
      <c r="AC1317" s="241"/>
      <c r="AD1317" s="244">
        <v>0</v>
      </c>
    </row>
    <row r="1318" spans="1:30" ht="15" customHeight="1">
      <c r="A1318" s="237">
        <v>31132</v>
      </c>
      <c r="B1318" s="121">
        <v>1</v>
      </c>
      <c r="C1318" s="238">
        <v>46218</v>
      </c>
      <c r="D1318" s="105">
        <f t="shared" ca="1" si="78"/>
        <v>9</v>
      </c>
      <c r="E1318" s="138" t="str">
        <f t="shared" ca="1" si="77"/>
        <v>ATENÇÃO</v>
      </c>
      <c r="F1318" s="230" t="s">
        <v>28</v>
      </c>
      <c r="G1318" s="147" t="s">
        <v>145</v>
      </c>
      <c r="H1318" s="117" t="s">
        <v>181</v>
      </c>
      <c r="I1318" s="117" t="str">
        <f>IF(X1318="ADMITIDO","ADMITIDO",IF(X1318="CANCELADA","CANCELADA",IF(H1318="","",IFERROR(_xlfn.XLOOKUP(H1318,Listas!I:I,Listas!J:J),"OUTROS"))))</f>
        <v>DOCUMENTAÇÃO</v>
      </c>
      <c r="J1318" s="240" t="s">
        <v>616</v>
      </c>
      <c r="K1318" s="240" t="s">
        <v>699</v>
      </c>
      <c r="L1318" s="240" t="s">
        <v>3236</v>
      </c>
      <c r="M1318" s="240"/>
      <c r="N1318" s="240" t="s">
        <v>3237</v>
      </c>
      <c r="O1318" s="119" t="s">
        <v>56</v>
      </c>
      <c r="P1318" s="119" t="s">
        <v>35</v>
      </c>
      <c r="Q1318" s="119" t="s">
        <v>760</v>
      </c>
      <c r="R1318" s="273"/>
      <c r="S1318" s="273"/>
      <c r="T1318" s="274"/>
      <c r="U1318" s="73" t="s">
        <v>132</v>
      </c>
      <c r="V1318" s="216">
        <v>46213</v>
      </c>
      <c r="W1318" s="118" t="s">
        <v>3251</v>
      </c>
      <c r="X1318" s="119" t="s">
        <v>284</v>
      </c>
      <c r="Y1318" s="120"/>
      <c r="Z1318" s="120"/>
      <c r="AA1318" s="244"/>
      <c r="AB1318" s="241"/>
      <c r="AC1318" s="241"/>
      <c r="AD1318" s="244">
        <v>0</v>
      </c>
    </row>
    <row r="1319" spans="1:30" ht="15" customHeight="1">
      <c r="A1319" s="237">
        <v>31132</v>
      </c>
      <c r="B1319" s="121">
        <v>1</v>
      </c>
      <c r="C1319" s="238">
        <v>46218</v>
      </c>
      <c r="D1319" s="105">
        <f t="shared" ca="1" si="78"/>
        <v>9</v>
      </c>
      <c r="E1319" s="138" t="str">
        <f t="shared" ca="1" si="77"/>
        <v>ATENÇÃO</v>
      </c>
      <c r="F1319" s="230" t="s">
        <v>28</v>
      </c>
      <c r="G1319" s="147" t="s">
        <v>145</v>
      </c>
      <c r="H1319" s="117" t="s">
        <v>181</v>
      </c>
      <c r="I1319" s="117" t="str">
        <f>IF(X1319="ADMITIDO","ADMITIDO",IF(X1319="CANCELADA","CANCELADA",IF(H1319="","",IFERROR(_xlfn.XLOOKUP(H1319,Listas!I:I,Listas!J:J),"OUTROS"))))</f>
        <v>DOCUMENTAÇÃO</v>
      </c>
      <c r="J1319" s="240" t="s">
        <v>616</v>
      </c>
      <c r="K1319" s="240" t="s">
        <v>699</v>
      </c>
      <c r="L1319" s="240" t="s">
        <v>3236</v>
      </c>
      <c r="M1319" s="240"/>
      <c r="N1319" s="240" t="s">
        <v>3237</v>
      </c>
      <c r="O1319" s="119" t="s">
        <v>56</v>
      </c>
      <c r="P1319" s="119" t="s">
        <v>35</v>
      </c>
      <c r="Q1319" s="119" t="s">
        <v>760</v>
      </c>
      <c r="R1319" s="273"/>
      <c r="S1319" s="273"/>
      <c r="T1319" s="274"/>
      <c r="U1319" s="73" t="s">
        <v>132</v>
      </c>
      <c r="V1319" s="216">
        <v>46213</v>
      </c>
      <c r="W1319" s="118" t="s">
        <v>3252</v>
      </c>
      <c r="X1319" s="119" t="s">
        <v>284</v>
      </c>
      <c r="Y1319" s="120"/>
      <c r="Z1319" s="120"/>
      <c r="AA1319" s="244"/>
      <c r="AB1319" s="241"/>
      <c r="AC1319" s="241"/>
      <c r="AD1319" s="244">
        <v>0</v>
      </c>
    </row>
    <row r="1320" spans="1:30" ht="15" customHeight="1">
      <c r="A1320" s="237">
        <v>31197</v>
      </c>
      <c r="B1320" s="121">
        <v>1</v>
      </c>
      <c r="C1320" s="238">
        <v>46218</v>
      </c>
      <c r="D1320" s="105">
        <f t="shared" ca="1" si="78"/>
        <v>9</v>
      </c>
      <c r="E1320" s="138" t="str">
        <f t="shared" ca="1" si="77"/>
        <v>ATENÇÃO</v>
      </c>
      <c r="F1320" s="230" t="s">
        <v>42</v>
      </c>
      <c r="G1320" s="147" t="s">
        <v>145</v>
      </c>
      <c r="H1320" s="117" t="s">
        <v>181</v>
      </c>
      <c r="I1320" s="117" t="str">
        <f>IF(X1320="ADMITIDO","ADMITIDO",IF(X1320="CANCELADA","CANCELADA",IF(H1320="","",IFERROR(_xlfn.XLOOKUP(H1320,Listas!I:I,Listas!J:J),"OUTROS"))))</f>
        <v>DOCUMENTAÇÃO</v>
      </c>
      <c r="J1320" s="240" t="s">
        <v>3253</v>
      </c>
      <c r="K1320" s="240" t="s">
        <v>699</v>
      </c>
      <c r="L1320" s="240" t="s">
        <v>3236</v>
      </c>
      <c r="M1320" s="240"/>
      <c r="N1320" s="240" t="s">
        <v>3237</v>
      </c>
      <c r="O1320" s="119" t="s">
        <v>34</v>
      </c>
      <c r="P1320" s="119" t="s">
        <v>48</v>
      </c>
      <c r="Q1320" s="119" t="s">
        <v>414</v>
      </c>
      <c r="R1320" s="273"/>
      <c r="S1320" s="273"/>
      <c r="T1320" s="274"/>
      <c r="U1320" s="73" t="s">
        <v>132</v>
      </c>
      <c r="V1320" s="216">
        <v>46213</v>
      </c>
      <c r="W1320" s="118" t="s">
        <v>3254</v>
      </c>
      <c r="X1320" s="119" t="s">
        <v>284</v>
      </c>
      <c r="Y1320" s="120"/>
      <c r="Z1320" s="120"/>
      <c r="AA1320" s="244"/>
      <c r="AB1320" s="241"/>
      <c r="AC1320" s="241"/>
      <c r="AD1320" s="244">
        <v>0</v>
      </c>
    </row>
    <row r="1321" spans="1:30" ht="15" customHeight="1">
      <c r="A1321" s="237">
        <v>31172</v>
      </c>
      <c r="B1321" s="121">
        <v>1</v>
      </c>
      <c r="C1321" s="238">
        <v>46218</v>
      </c>
      <c r="D1321" s="105">
        <f t="shared" ca="1" si="78"/>
        <v>9</v>
      </c>
      <c r="E1321" s="138" t="str">
        <f t="shared" ca="1" si="77"/>
        <v>ATENÇÃO</v>
      </c>
      <c r="F1321" s="230" t="s">
        <v>42</v>
      </c>
      <c r="G1321" s="147" t="s">
        <v>102</v>
      </c>
      <c r="H1321" s="117" t="s">
        <v>259</v>
      </c>
      <c r="I1321" s="117" t="str">
        <f>IF(X1321="ADMITIDO","ADMITIDO",IF(X1321="CANCELADA","CANCELADA",IF(H1321="","",IFERROR(_xlfn.XLOOKUP(H1321,Listas!I:I,Listas!J:J),"OUTROS"))))</f>
        <v>TRIAGEM</v>
      </c>
      <c r="J1321" s="240" t="s">
        <v>44</v>
      </c>
      <c r="K1321" s="240" t="s">
        <v>103</v>
      </c>
      <c r="L1321" s="240" t="s">
        <v>2606</v>
      </c>
      <c r="M1321" s="240"/>
      <c r="N1321" s="240" t="s">
        <v>391</v>
      </c>
      <c r="O1321" s="119" t="s">
        <v>34</v>
      </c>
      <c r="P1321" s="119" t="s">
        <v>48</v>
      </c>
      <c r="Q1321" s="119" t="s">
        <v>120</v>
      </c>
      <c r="R1321" s="273" t="s">
        <v>3255</v>
      </c>
      <c r="S1321" s="432" t="s">
        <v>2746</v>
      </c>
      <c r="T1321" s="274"/>
      <c r="U1321" s="73"/>
      <c r="V1321" s="216"/>
      <c r="W1321" s="118"/>
      <c r="X1321" s="119"/>
      <c r="Y1321" s="120"/>
      <c r="Z1321" s="120"/>
      <c r="AA1321" s="244"/>
      <c r="AB1321" s="118" t="s">
        <v>3256</v>
      </c>
      <c r="AC1321" s="241"/>
      <c r="AD1321" s="244">
        <v>1</v>
      </c>
    </row>
    <row r="1322" spans="1:30" ht="15" customHeight="1">
      <c r="A1322" s="237">
        <v>31193</v>
      </c>
      <c r="B1322" s="121">
        <v>1</v>
      </c>
      <c r="C1322" s="238">
        <v>46218</v>
      </c>
      <c r="D1322" s="105">
        <f t="shared" ca="1" si="78"/>
        <v>9</v>
      </c>
      <c r="E1322" s="138" t="str">
        <f t="shared" ca="1" si="77"/>
        <v>ATENÇÃO</v>
      </c>
      <c r="F1322" s="230" t="s">
        <v>42</v>
      </c>
      <c r="G1322" s="147" t="s">
        <v>69</v>
      </c>
      <c r="H1322" s="117" t="s">
        <v>181</v>
      </c>
      <c r="I1322" s="117" t="str">
        <f>IF(X1322="ADMITIDO","ADMITIDO",IF(X1322="CANCELADA","CANCELADA",IF(H1322="","",IFERROR(_xlfn.XLOOKUP(H1322,Listas!I:I,Listas!J:J),"OUTROS"))))</f>
        <v>DOCUMENTAÇÃO</v>
      </c>
      <c r="J1322" s="240" t="s">
        <v>116</v>
      </c>
      <c r="K1322" s="240" t="s">
        <v>158</v>
      </c>
      <c r="L1322" s="240" t="s">
        <v>921</v>
      </c>
      <c r="M1322" s="240"/>
      <c r="N1322" s="240" t="s">
        <v>672</v>
      </c>
      <c r="O1322" s="119" t="s">
        <v>34</v>
      </c>
      <c r="P1322" s="119" t="s">
        <v>57</v>
      </c>
      <c r="Q1322" s="119" t="s">
        <v>3257</v>
      </c>
      <c r="R1322" s="273"/>
      <c r="S1322" s="273"/>
      <c r="T1322" s="274"/>
      <c r="U1322" s="73" t="s">
        <v>67</v>
      </c>
      <c r="V1322" s="216">
        <v>46226</v>
      </c>
      <c r="W1322" s="118" t="s">
        <v>3258</v>
      </c>
      <c r="X1322" s="119" t="s">
        <v>284</v>
      </c>
      <c r="Y1322" s="120"/>
      <c r="Z1322" s="120"/>
      <c r="AA1322" s="244"/>
      <c r="AB1322" s="241"/>
      <c r="AC1322" s="241"/>
      <c r="AD1322" s="244">
        <v>0</v>
      </c>
    </row>
    <row r="1323" spans="1:30" ht="15" customHeight="1">
      <c r="A1323" s="237">
        <v>31201</v>
      </c>
      <c r="B1323" s="121">
        <v>1</v>
      </c>
      <c r="C1323" s="238">
        <v>46218</v>
      </c>
      <c r="D1323" s="105">
        <f t="shared" ca="1" si="78"/>
        <v>9</v>
      </c>
      <c r="E1323" s="138" t="str">
        <f t="shared" ca="1" si="77"/>
        <v>ATENÇÃO</v>
      </c>
      <c r="F1323" s="230" t="s">
        <v>42</v>
      </c>
      <c r="G1323" s="147" t="s">
        <v>60</v>
      </c>
      <c r="H1323" s="117" t="s">
        <v>91</v>
      </c>
      <c r="I1323" s="117" t="str">
        <f>IF(X1323="ADMITIDO","ADMITIDO",IF(X1323="CANCELADA","CANCELADA",IF(H1323="","",IFERROR(_xlfn.XLOOKUP(H1323,Listas!I:I,Listas!J:J),"OUTROS"))))</f>
        <v>TRIAGEM</v>
      </c>
      <c r="J1323" s="240" t="s">
        <v>53</v>
      </c>
      <c r="K1323" s="240" t="s">
        <v>61</v>
      </c>
      <c r="L1323" s="240" t="s">
        <v>590</v>
      </c>
      <c r="M1323" s="240"/>
      <c r="N1323" s="240" t="s">
        <v>63</v>
      </c>
      <c r="O1323" s="119" t="s">
        <v>34</v>
      </c>
      <c r="P1323" s="119" t="s">
        <v>219</v>
      </c>
      <c r="Q1323" s="119" t="s">
        <v>247</v>
      </c>
      <c r="R1323" s="273"/>
      <c r="S1323" s="273"/>
      <c r="T1323" s="274"/>
      <c r="U1323" s="73"/>
      <c r="V1323" s="216"/>
      <c r="W1323" s="118"/>
      <c r="X1323" s="119"/>
      <c r="Y1323" s="120"/>
      <c r="Z1323" s="120"/>
      <c r="AA1323" s="244"/>
      <c r="AB1323" s="241"/>
      <c r="AC1323" s="241"/>
      <c r="AD1323" s="244">
        <v>0</v>
      </c>
    </row>
    <row r="1324" spans="1:30" ht="15" customHeight="1">
      <c r="A1324" s="237">
        <v>31202</v>
      </c>
      <c r="B1324" s="121">
        <v>1</v>
      </c>
      <c r="C1324" s="238">
        <v>46218</v>
      </c>
      <c r="D1324" s="105">
        <f t="shared" ca="1" si="78"/>
        <v>9</v>
      </c>
      <c r="E1324" s="138" t="str">
        <f t="shared" ca="1" si="77"/>
        <v>ATENÇÃO</v>
      </c>
      <c r="F1324" s="230" t="s">
        <v>42</v>
      </c>
      <c r="G1324" s="147" t="s">
        <v>102</v>
      </c>
      <c r="H1324" s="117" t="s">
        <v>181</v>
      </c>
      <c r="I1324" s="117" t="str">
        <f>IF(X1324="ADMITIDO","ADMITIDO",IF(X1324="CANCELADA","CANCELADA",IF(H1324="","",IFERROR(_xlfn.XLOOKUP(H1324,Listas!I:I,Listas!J:J),"OUTROS"))))</f>
        <v>DOCUMENTAÇÃO</v>
      </c>
      <c r="J1324" s="240" t="s">
        <v>53</v>
      </c>
      <c r="K1324" s="240" t="s">
        <v>103</v>
      </c>
      <c r="L1324" s="240" t="s">
        <v>3259</v>
      </c>
      <c r="M1324" s="240"/>
      <c r="N1324" s="240" t="s">
        <v>2997</v>
      </c>
      <c r="O1324" s="119" t="s">
        <v>34</v>
      </c>
      <c r="P1324" s="119" t="s">
        <v>48</v>
      </c>
      <c r="Q1324" s="119" t="s">
        <v>414</v>
      </c>
      <c r="R1324" s="273" t="s">
        <v>3260</v>
      </c>
      <c r="S1324" s="273" t="s">
        <v>1438</v>
      </c>
      <c r="T1324" s="274"/>
      <c r="U1324" s="73" t="s">
        <v>67</v>
      </c>
      <c r="V1324" s="216">
        <v>46224</v>
      </c>
      <c r="W1324" s="118" t="s">
        <v>3261</v>
      </c>
      <c r="X1324" s="119" t="s">
        <v>284</v>
      </c>
      <c r="Y1324" s="120"/>
      <c r="Z1324" s="120"/>
      <c r="AA1324" s="244"/>
      <c r="AB1324" s="241"/>
      <c r="AC1324" s="241"/>
      <c r="AD1324" s="244">
        <v>0</v>
      </c>
    </row>
    <row r="1325" spans="1:30" ht="15" customHeight="1">
      <c r="A1325" s="237">
        <v>31199</v>
      </c>
      <c r="B1325" s="121">
        <v>1</v>
      </c>
      <c r="C1325" s="238">
        <v>46218</v>
      </c>
      <c r="D1325" s="105">
        <f t="shared" ca="1" si="78"/>
        <v>9</v>
      </c>
      <c r="E1325" s="138" t="str">
        <f t="shared" ca="1" si="77"/>
        <v>ATENÇÃO</v>
      </c>
      <c r="F1325" s="230" t="s">
        <v>28</v>
      </c>
      <c r="G1325" s="147" t="s">
        <v>663</v>
      </c>
      <c r="H1325" s="117" t="s">
        <v>91</v>
      </c>
      <c r="I1325" s="117" t="str">
        <f>IF(X1325="ADMITIDO","ADMITIDO",IF(X1325="CANCELADA","CANCELADA",IF(H1325="","",IFERROR(_xlfn.XLOOKUP(H1325,Listas!I:I,Listas!J:J),"OUTROS"))))</f>
        <v>TRIAGEM</v>
      </c>
      <c r="J1325" s="240" t="s">
        <v>586</v>
      </c>
      <c r="K1325" s="240" t="s">
        <v>31</v>
      </c>
      <c r="L1325" s="240" t="s">
        <v>1200</v>
      </c>
      <c r="M1325" s="240"/>
      <c r="N1325" s="240" t="s">
        <v>88</v>
      </c>
      <c r="O1325" s="119" t="s">
        <v>34</v>
      </c>
      <c r="P1325" s="119" t="s">
        <v>48</v>
      </c>
      <c r="Q1325" s="119" t="s">
        <v>2831</v>
      </c>
      <c r="R1325" s="273"/>
      <c r="S1325" s="273"/>
      <c r="T1325" s="274"/>
      <c r="U1325" s="73"/>
      <c r="V1325" s="216"/>
      <c r="W1325" s="118"/>
      <c r="X1325" s="119"/>
      <c r="Y1325" s="120"/>
      <c r="Z1325" s="120"/>
      <c r="AA1325" s="244"/>
      <c r="AB1325" s="241"/>
      <c r="AC1325" s="241"/>
      <c r="AD1325" s="244">
        <v>0</v>
      </c>
    </row>
    <row r="1326" spans="1:30" ht="15" customHeight="1">
      <c r="A1326" s="237">
        <v>31206</v>
      </c>
      <c r="B1326" s="121">
        <v>1</v>
      </c>
      <c r="C1326" s="238">
        <v>46218</v>
      </c>
      <c r="D1326" s="105">
        <f t="shared" ca="1" si="78"/>
        <v>9</v>
      </c>
      <c r="E1326" s="138" t="str">
        <f t="shared" ca="1" si="77"/>
        <v>ATENÇÃO</v>
      </c>
      <c r="F1326" s="230" t="s">
        <v>42</v>
      </c>
      <c r="G1326" s="147" t="s">
        <v>102</v>
      </c>
      <c r="H1326" s="117" t="s">
        <v>181</v>
      </c>
      <c r="I1326" s="117" t="str">
        <f>IF(X1326="ADMITIDO","ADMITIDO",IF(X1326="CANCELADA","CANCELADA",IF(H1326="","",IFERROR(_xlfn.XLOOKUP(H1326,Listas!I:I,Listas!J:J),"OUTROS"))))</f>
        <v>DOCUMENTAÇÃO</v>
      </c>
      <c r="J1326" s="240" t="s">
        <v>346</v>
      </c>
      <c r="K1326" s="240" t="s">
        <v>103</v>
      </c>
      <c r="L1326" s="240" t="s">
        <v>1173</v>
      </c>
      <c r="M1326" s="240"/>
      <c r="N1326" s="240" t="s">
        <v>1174</v>
      </c>
      <c r="O1326" s="119" t="s">
        <v>34</v>
      </c>
      <c r="P1326" s="119" t="s">
        <v>35</v>
      </c>
      <c r="Q1326" s="119" t="s">
        <v>36</v>
      </c>
      <c r="R1326" s="273"/>
      <c r="S1326" s="273"/>
      <c r="T1326" s="274"/>
      <c r="U1326" s="73" t="s">
        <v>109</v>
      </c>
      <c r="V1326" s="216">
        <v>46223</v>
      </c>
      <c r="W1326" s="118" t="s">
        <v>3262</v>
      </c>
      <c r="X1326" s="119" t="s">
        <v>284</v>
      </c>
      <c r="Y1326" s="120"/>
      <c r="Z1326" s="120"/>
      <c r="AA1326" s="244"/>
      <c r="AB1326" s="241"/>
      <c r="AC1326" s="241"/>
      <c r="AD1326" s="244">
        <v>0</v>
      </c>
    </row>
    <row r="1327" spans="1:30" ht="15" customHeight="1">
      <c r="A1327" s="237">
        <v>31209</v>
      </c>
      <c r="B1327" s="121">
        <v>1</v>
      </c>
      <c r="C1327" s="238">
        <v>46218</v>
      </c>
      <c r="D1327" s="105">
        <f t="shared" ca="1" si="78"/>
        <v>9</v>
      </c>
      <c r="E1327" s="138" t="str">
        <f t="shared" ref="E1327:E1363" ca="1" si="79">IF(X1327="ADMITIDO","ADMITIDO",IF(X1327="CANCELADA","CANCELADA",IF(H1327="","",IF(H1327="ADMITIDO","ADMITIDO",IF(H1327="CANCELADA","CANCELADA",IF(OR(H1327="ANALISE CANCELAMENTO",H1327="ANÁLISE CANCELAMENTO"),"EM ANÁLISE",IF(D1327="","",IF(D1327&lt;=7,"NO PRAZO",IF(D1327&lt;=14,"ATENÇÃO","CRÍTICO")))))))))</f>
        <v>ATENÇÃO</v>
      </c>
      <c r="F1327" s="230" t="s">
        <v>42</v>
      </c>
      <c r="G1327" s="147" t="s">
        <v>102</v>
      </c>
      <c r="H1327" s="117" t="s">
        <v>334</v>
      </c>
      <c r="I1327" s="117" t="str">
        <f>IF(X1327="ADMITIDO","ADMITIDO",IF(X1327="CANCELADA","CANCELADA",IF(H1327="","",IFERROR(_xlfn.XLOOKUP(H1327,Listas!I:I,Listas!J:J),"OUTROS"))))</f>
        <v>DOCUMENTAÇÃO</v>
      </c>
      <c r="J1327" s="240" t="s">
        <v>1049</v>
      </c>
      <c r="K1327" s="240" t="s">
        <v>103</v>
      </c>
      <c r="L1327" s="240" t="s">
        <v>1173</v>
      </c>
      <c r="M1327" s="240"/>
      <c r="N1327" s="240" t="s">
        <v>1174</v>
      </c>
      <c r="O1327" s="119" t="s">
        <v>34</v>
      </c>
      <c r="P1327" s="119" t="s">
        <v>48</v>
      </c>
      <c r="Q1327" s="119" t="s">
        <v>79</v>
      </c>
      <c r="R1327" s="273" t="s">
        <v>3263</v>
      </c>
      <c r="S1327" s="273" t="s">
        <v>3264</v>
      </c>
      <c r="T1327" s="274"/>
      <c r="U1327" s="73" t="s">
        <v>109</v>
      </c>
      <c r="V1327" s="216">
        <v>46225</v>
      </c>
      <c r="W1327" s="118" t="s">
        <v>3265</v>
      </c>
      <c r="X1327" s="119" t="s">
        <v>284</v>
      </c>
      <c r="Y1327" s="120"/>
      <c r="Z1327" s="120"/>
      <c r="AA1327" s="244"/>
      <c r="AB1327" s="241" t="s">
        <v>3266</v>
      </c>
      <c r="AC1327" s="241"/>
      <c r="AD1327" s="244">
        <v>1</v>
      </c>
    </row>
    <row r="1328" spans="1:30" ht="15" customHeight="1">
      <c r="A1328" s="237">
        <v>31198</v>
      </c>
      <c r="B1328" s="121">
        <v>1</v>
      </c>
      <c r="C1328" s="238">
        <v>46218</v>
      </c>
      <c r="D1328" s="105">
        <f t="shared" ca="1" si="78"/>
        <v>9</v>
      </c>
      <c r="E1328" s="138" t="str">
        <f t="shared" ca="1" si="79"/>
        <v>ATENÇÃO</v>
      </c>
      <c r="F1328" s="230" t="s">
        <v>28</v>
      </c>
      <c r="G1328" s="147" t="s">
        <v>663</v>
      </c>
      <c r="H1328" s="117" t="s">
        <v>91</v>
      </c>
      <c r="I1328" s="117" t="str">
        <f>IF(X1328="ADMITIDO","ADMITIDO",IF(X1328="CANCELADA","CANCELADA",IF(H1328="","",IFERROR(_xlfn.XLOOKUP(H1328,Listas!I:I,Listas!J:J),"OUTROS"))))</f>
        <v>TRIAGEM</v>
      </c>
      <c r="J1328" s="240" t="s">
        <v>609</v>
      </c>
      <c r="K1328" s="240" t="s">
        <v>2936</v>
      </c>
      <c r="L1328" s="240" t="s">
        <v>92</v>
      </c>
      <c r="M1328" s="240"/>
      <c r="N1328" s="240" t="s">
        <v>93</v>
      </c>
      <c r="O1328" s="119" t="s">
        <v>56</v>
      </c>
      <c r="P1328" s="119" t="s">
        <v>35</v>
      </c>
      <c r="Q1328" s="119" t="s">
        <v>176</v>
      </c>
      <c r="R1328" s="273"/>
      <c r="S1328" s="273"/>
      <c r="T1328" s="274"/>
      <c r="U1328" s="73"/>
      <c r="V1328" s="216"/>
      <c r="W1328" s="118"/>
      <c r="X1328" s="119"/>
      <c r="Y1328" s="120"/>
      <c r="Z1328" s="120"/>
      <c r="AA1328" s="244"/>
      <c r="AB1328" s="241"/>
      <c r="AC1328" s="241"/>
      <c r="AD1328" s="244">
        <v>0</v>
      </c>
    </row>
    <row r="1329" spans="1:30" ht="15" customHeight="1">
      <c r="A1329" s="237">
        <v>31205</v>
      </c>
      <c r="B1329" s="121">
        <v>1</v>
      </c>
      <c r="C1329" s="238">
        <v>46218</v>
      </c>
      <c r="D1329" s="105">
        <f t="shared" ca="1" si="78"/>
        <v>9</v>
      </c>
      <c r="E1329" s="138" t="str">
        <f t="shared" ca="1" si="79"/>
        <v>ATENÇÃO</v>
      </c>
      <c r="F1329" s="230" t="s">
        <v>42</v>
      </c>
      <c r="G1329" s="147" t="s">
        <v>240</v>
      </c>
      <c r="H1329" s="117" t="s">
        <v>91</v>
      </c>
      <c r="I1329" s="117" t="str">
        <f>IF(X1329="ADMITIDO","ADMITIDO",IF(X1329="CANCELADA","CANCELADA",IF(H1329="","",IFERROR(_xlfn.XLOOKUP(H1329,Listas!I:I,Listas!J:J),"OUTROS"))))</f>
        <v>TRIAGEM</v>
      </c>
      <c r="J1329" s="240" t="s">
        <v>53</v>
      </c>
      <c r="K1329" s="240" t="s">
        <v>241</v>
      </c>
      <c r="L1329" s="240" t="s">
        <v>312</v>
      </c>
      <c r="M1329" s="240"/>
      <c r="N1329" s="240" t="s">
        <v>243</v>
      </c>
      <c r="O1329" s="119" t="s">
        <v>34</v>
      </c>
      <c r="P1329" s="119" t="s">
        <v>57</v>
      </c>
      <c r="Q1329" s="119" t="s">
        <v>3267</v>
      </c>
      <c r="R1329" s="273"/>
      <c r="S1329" s="273"/>
      <c r="T1329" s="274"/>
      <c r="U1329" s="73"/>
      <c r="V1329" s="216"/>
      <c r="W1329" s="118"/>
      <c r="X1329" s="119"/>
      <c r="Y1329" s="120"/>
      <c r="Z1329" s="120"/>
      <c r="AA1329" s="244"/>
      <c r="AB1329" s="241"/>
      <c r="AC1329" s="241"/>
      <c r="AD1329" s="244">
        <v>0</v>
      </c>
    </row>
    <row r="1330" spans="1:30" ht="15" customHeight="1">
      <c r="A1330" s="237">
        <v>31213</v>
      </c>
      <c r="B1330" s="121">
        <v>1</v>
      </c>
      <c r="C1330" s="238">
        <v>46218</v>
      </c>
      <c r="D1330" s="105">
        <f t="shared" ca="1" si="78"/>
        <v>9</v>
      </c>
      <c r="E1330" s="138" t="str">
        <f t="shared" si="79"/>
        <v>ADMITIDO</v>
      </c>
      <c r="F1330" s="230" t="s">
        <v>28</v>
      </c>
      <c r="G1330" s="147" t="s">
        <v>240</v>
      </c>
      <c r="H1330" s="117" t="s">
        <v>181</v>
      </c>
      <c r="I1330" s="117" t="str">
        <f>IF(X1330="ADMITIDO","ADMITIDO",IF(X1330="CANCELADA","CANCELADA",IF(H1330="","",IFERROR(_xlfn.XLOOKUP(H1330,Listas!I:I,Listas!J:J),"OUTROS"))))</f>
        <v>ADMITIDO</v>
      </c>
      <c r="J1330" s="240" t="s">
        <v>268</v>
      </c>
      <c r="K1330" s="240" t="s">
        <v>423</v>
      </c>
      <c r="L1330" s="240" t="s">
        <v>449</v>
      </c>
      <c r="M1330" s="240"/>
      <c r="N1330" s="240" t="s">
        <v>63</v>
      </c>
      <c r="O1330" s="119" t="s">
        <v>34</v>
      </c>
      <c r="P1330" s="119" t="s">
        <v>35</v>
      </c>
      <c r="Q1330" s="119" t="s">
        <v>36</v>
      </c>
      <c r="R1330" s="273"/>
      <c r="S1330" s="273" t="s">
        <v>3268</v>
      </c>
      <c r="T1330" s="274"/>
      <c r="U1330" s="73" t="s">
        <v>109</v>
      </c>
      <c r="V1330" s="216">
        <v>46219</v>
      </c>
      <c r="W1330" s="118" t="s">
        <v>3269</v>
      </c>
      <c r="X1330" s="119" t="s">
        <v>40</v>
      </c>
      <c r="Y1330" s="120">
        <v>46225</v>
      </c>
      <c r="Z1330" s="120">
        <v>46230</v>
      </c>
      <c r="AA1330" s="244">
        <v>914665</v>
      </c>
      <c r="AB1330" s="241"/>
      <c r="AC1330" s="241"/>
      <c r="AD1330" s="244">
        <v>0</v>
      </c>
    </row>
    <row r="1331" spans="1:30" ht="15" customHeight="1">
      <c r="A1331" s="237">
        <v>31203</v>
      </c>
      <c r="B1331" s="121">
        <v>1</v>
      </c>
      <c r="C1331" s="238">
        <v>46218</v>
      </c>
      <c r="D1331" s="105">
        <f t="shared" ca="1" si="78"/>
        <v>9</v>
      </c>
      <c r="E1331" s="138" t="str">
        <f t="shared" ca="1" si="79"/>
        <v>ATENÇÃO</v>
      </c>
      <c r="F1331" s="230" t="s">
        <v>28</v>
      </c>
      <c r="G1331" s="147" t="s">
        <v>29</v>
      </c>
      <c r="H1331" s="117" t="s">
        <v>91</v>
      </c>
      <c r="I1331" s="117" t="str">
        <f>IF(X1331="ADMITIDO","ADMITIDO",IF(X1331="CANCELADA","CANCELADA",IF(H1331="","",IFERROR(_xlfn.XLOOKUP(H1331,Listas!I:I,Listas!J:J),"OUTROS"))))</f>
        <v>TRIAGEM</v>
      </c>
      <c r="J1331" s="240" t="s">
        <v>146</v>
      </c>
      <c r="K1331" s="240" t="s">
        <v>614</v>
      </c>
      <c r="L1331" s="240" t="s">
        <v>1738</v>
      </c>
      <c r="M1331" s="240"/>
      <c r="N1331" s="240" t="s">
        <v>1739</v>
      </c>
      <c r="O1331" s="119" t="s">
        <v>56</v>
      </c>
      <c r="P1331" s="119" t="s">
        <v>35</v>
      </c>
      <c r="Q1331" s="119" t="s">
        <v>176</v>
      </c>
      <c r="R1331" s="273"/>
      <c r="S1331" s="273"/>
      <c r="T1331" s="274"/>
      <c r="U1331" s="73"/>
      <c r="V1331" s="216"/>
      <c r="W1331" s="118"/>
      <c r="X1331" s="119"/>
      <c r="Y1331" s="120"/>
      <c r="Z1331" s="120"/>
      <c r="AA1331" s="244"/>
      <c r="AB1331" s="241"/>
      <c r="AC1331" s="241"/>
      <c r="AD1331" s="244">
        <v>0</v>
      </c>
    </row>
    <row r="1332" spans="1:30" ht="15" customHeight="1">
      <c r="A1332" s="237">
        <v>31210</v>
      </c>
      <c r="B1332" s="121">
        <v>1</v>
      </c>
      <c r="C1332" s="238">
        <v>46218</v>
      </c>
      <c r="D1332" s="105">
        <f t="shared" ca="1" si="78"/>
        <v>9</v>
      </c>
      <c r="E1332" s="138" t="str">
        <f t="shared" ca="1" si="79"/>
        <v>ATENÇÃO</v>
      </c>
      <c r="F1332" s="230" t="s">
        <v>42</v>
      </c>
      <c r="G1332" s="147" t="s">
        <v>240</v>
      </c>
      <c r="H1332" s="117" t="s">
        <v>91</v>
      </c>
      <c r="I1332" s="117" t="str">
        <f>IF(X1332="ADMITIDO","ADMITIDO",IF(X1332="CANCELADA","CANCELADA",IF(H1332="","",IFERROR(_xlfn.XLOOKUP(H1332,Listas!I:I,Listas!J:J),"OUTROS"))))</f>
        <v>TRIAGEM</v>
      </c>
      <c r="J1332" s="240" t="s">
        <v>53</v>
      </c>
      <c r="K1332" s="240" t="s">
        <v>241</v>
      </c>
      <c r="L1332" s="240" t="s">
        <v>494</v>
      </c>
      <c r="M1332" s="240"/>
      <c r="N1332" s="240" t="s">
        <v>175</v>
      </c>
      <c r="O1332" s="119" t="s">
        <v>34</v>
      </c>
      <c r="P1332" s="119" t="s">
        <v>35</v>
      </c>
      <c r="Q1332" s="119" t="s">
        <v>36</v>
      </c>
      <c r="R1332" s="273"/>
      <c r="S1332" s="273"/>
      <c r="T1332" s="274"/>
      <c r="U1332" s="73"/>
      <c r="V1332" s="216"/>
      <c r="W1332" s="118"/>
      <c r="X1332" s="119"/>
      <c r="Y1332" s="120"/>
      <c r="Z1332" s="120"/>
      <c r="AA1332" s="244"/>
      <c r="AB1332" s="241"/>
      <c r="AC1332" s="241"/>
      <c r="AD1332" s="244">
        <v>0</v>
      </c>
    </row>
    <row r="1333" spans="1:30" ht="15" customHeight="1">
      <c r="A1333" s="237">
        <v>31208</v>
      </c>
      <c r="B1333" s="121">
        <v>1</v>
      </c>
      <c r="C1333" s="238">
        <v>46218</v>
      </c>
      <c r="D1333" s="105">
        <f t="shared" ca="1" si="78"/>
        <v>9</v>
      </c>
      <c r="E1333" s="138" t="str">
        <f t="shared" ca="1" si="79"/>
        <v>ATENÇÃO</v>
      </c>
      <c r="F1333" s="230" t="s">
        <v>42</v>
      </c>
      <c r="G1333" s="147" t="s">
        <v>60</v>
      </c>
      <c r="H1333" s="117" t="s">
        <v>91</v>
      </c>
      <c r="I1333" s="117" t="str">
        <f>IF(X1333="ADMITIDO","ADMITIDO",IF(X1333="CANCELADA","CANCELADA",IF(H1333="","",IFERROR(_xlfn.XLOOKUP(H1333,Listas!I:I,Listas!J:J),"OUTROS"))))</f>
        <v>TRIAGEM</v>
      </c>
      <c r="J1333" s="240" t="s">
        <v>116</v>
      </c>
      <c r="K1333" s="240" t="s">
        <v>117</v>
      </c>
      <c r="L1333" s="240" t="s">
        <v>118</v>
      </c>
      <c r="M1333" s="240"/>
      <c r="N1333" s="240" t="s">
        <v>119</v>
      </c>
      <c r="O1333" s="119" t="s">
        <v>34</v>
      </c>
      <c r="P1333" s="119" t="s">
        <v>48</v>
      </c>
      <c r="Q1333" s="119" t="s">
        <v>120</v>
      </c>
      <c r="R1333" s="273"/>
      <c r="S1333" s="273"/>
      <c r="T1333" s="274"/>
      <c r="U1333" s="73"/>
      <c r="V1333" s="216"/>
      <c r="W1333" s="118"/>
      <c r="X1333" s="119"/>
      <c r="Y1333" s="120"/>
      <c r="Z1333" s="120"/>
      <c r="AA1333" s="244"/>
      <c r="AB1333" s="241"/>
      <c r="AC1333" s="241"/>
      <c r="AD1333" s="244">
        <v>0</v>
      </c>
    </row>
    <row r="1334" spans="1:30" ht="15" customHeight="1">
      <c r="A1334" s="237">
        <v>31237</v>
      </c>
      <c r="B1334" s="121">
        <v>1</v>
      </c>
      <c r="C1334" s="238">
        <v>46219</v>
      </c>
      <c r="D1334" s="105">
        <f t="shared" ca="1" si="78"/>
        <v>8</v>
      </c>
      <c r="E1334" s="138" t="str">
        <f t="shared" ca="1" si="79"/>
        <v>ATENÇÃO</v>
      </c>
      <c r="F1334" s="230" t="s">
        <v>42</v>
      </c>
      <c r="G1334" s="147" t="s">
        <v>29</v>
      </c>
      <c r="H1334" s="117" t="s">
        <v>91</v>
      </c>
      <c r="I1334" s="117" t="str">
        <f>IF(X1334="ADMITIDO","ADMITIDO",IF(X1334="CANCELADA","CANCELADA",IF(H1334="","",IFERROR(_xlfn.XLOOKUP(H1334,Listas!I:I,Listas!J:J),"OUTROS"))))</f>
        <v>TRIAGEM</v>
      </c>
      <c r="J1334" s="240" t="s">
        <v>53</v>
      </c>
      <c r="K1334" s="240" t="s">
        <v>54</v>
      </c>
      <c r="L1334" s="240" t="s">
        <v>164</v>
      </c>
      <c r="M1334" s="240"/>
      <c r="N1334" s="240" t="s">
        <v>88</v>
      </c>
      <c r="O1334" s="119" t="s">
        <v>34</v>
      </c>
      <c r="P1334" s="119" t="s">
        <v>57</v>
      </c>
      <c r="Q1334" s="119" t="s">
        <v>94</v>
      </c>
      <c r="R1334" s="273"/>
      <c r="S1334" s="273"/>
      <c r="T1334" s="274"/>
      <c r="U1334" s="73"/>
      <c r="V1334" s="216"/>
      <c r="W1334" s="118"/>
      <c r="X1334" s="119"/>
      <c r="Y1334" s="120"/>
      <c r="Z1334" s="120"/>
      <c r="AA1334" s="244"/>
      <c r="AB1334" s="241"/>
      <c r="AC1334" s="241"/>
      <c r="AD1334" s="244">
        <v>0</v>
      </c>
    </row>
    <row r="1335" spans="1:30" ht="15" customHeight="1">
      <c r="A1335" s="568">
        <v>31133</v>
      </c>
      <c r="B1335" s="121">
        <v>1</v>
      </c>
      <c r="C1335" s="238">
        <v>46219</v>
      </c>
      <c r="D1335" s="105">
        <f t="shared" ca="1" si="78"/>
        <v>8</v>
      </c>
      <c r="E1335" s="138" t="str">
        <f t="shared" ca="1" si="79"/>
        <v>ATENÇÃO</v>
      </c>
      <c r="F1335" s="230" t="s">
        <v>28</v>
      </c>
      <c r="G1335" s="147" t="s">
        <v>145</v>
      </c>
      <c r="H1335" s="117" t="s">
        <v>181</v>
      </c>
      <c r="I1335" s="117" t="str">
        <f>IF(X1335="ADMITIDO","ADMITIDO",IF(X1335="CANCELADA","CANCELADA",IF(H1335="","",IFERROR(_xlfn.XLOOKUP(H1335,Listas!I:I,Listas!J:J),"OUTROS"))))</f>
        <v>DOCUMENTAÇÃO</v>
      </c>
      <c r="J1335" s="240" t="s">
        <v>268</v>
      </c>
      <c r="K1335" s="240" t="s">
        <v>3270</v>
      </c>
      <c r="L1335" s="240" t="s">
        <v>3226</v>
      </c>
      <c r="M1335" s="240"/>
      <c r="N1335" s="240" t="s">
        <v>2250</v>
      </c>
      <c r="O1335" s="119" t="s">
        <v>34</v>
      </c>
      <c r="P1335" s="119" t="s">
        <v>1243</v>
      </c>
      <c r="Q1335" s="119" t="s">
        <v>441</v>
      </c>
      <c r="R1335" s="273"/>
      <c r="S1335" s="273"/>
      <c r="T1335" s="274"/>
      <c r="U1335" s="73"/>
      <c r="V1335" s="216"/>
      <c r="W1335" s="118"/>
      <c r="X1335" s="119"/>
      <c r="Y1335" s="120"/>
      <c r="Z1335" s="120"/>
      <c r="AA1335" s="244"/>
      <c r="AB1335" s="241"/>
      <c r="AC1335" s="241"/>
      <c r="AD1335" s="244">
        <v>0</v>
      </c>
    </row>
    <row r="1336" spans="1:30" ht="15" customHeight="1">
      <c r="A1336" s="568">
        <v>31134</v>
      </c>
      <c r="B1336" s="121">
        <v>1</v>
      </c>
      <c r="C1336" s="238">
        <v>46219</v>
      </c>
      <c r="D1336" s="105">
        <f t="shared" ca="1" si="78"/>
        <v>8</v>
      </c>
      <c r="E1336" s="138" t="str">
        <f t="shared" ca="1" si="79"/>
        <v>ATENÇÃO</v>
      </c>
      <c r="F1336" s="230" t="s">
        <v>28</v>
      </c>
      <c r="G1336" s="147" t="s">
        <v>145</v>
      </c>
      <c r="H1336" s="117" t="s">
        <v>181</v>
      </c>
      <c r="I1336" s="117" t="str">
        <f>IF(X1336="ADMITIDO","ADMITIDO",IF(X1336="CANCELADA","CANCELADA",IF(H1336="","",IFERROR(_xlfn.XLOOKUP(H1336,Listas!I:I,Listas!J:J),"OUTROS"))))</f>
        <v>DOCUMENTAÇÃO</v>
      </c>
      <c r="J1336" s="240" t="s">
        <v>268</v>
      </c>
      <c r="K1336" s="240" t="s">
        <v>3270</v>
      </c>
      <c r="L1336" s="240" t="s">
        <v>3226</v>
      </c>
      <c r="M1336" s="240"/>
      <c r="N1336" s="240" t="s">
        <v>2250</v>
      </c>
      <c r="O1336" s="119" t="s">
        <v>34</v>
      </c>
      <c r="P1336" s="119" t="s">
        <v>35</v>
      </c>
      <c r="Q1336" s="119" t="s">
        <v>36</v>
      </c>
      <c r="R1336" s="273"/>
      <c r="S1336" s="273"/>
      <c r="T1336" s="274"/>
      <c r="U1336" s="73" t="s">
        <v>132</v>
      </c>
      <c r="V1336" s="216">
        <v>46219</v>
      </c>
      <c r="W1336" s="118" t="s">
        <v>3271</v>
      </c>
      <c r="X1336" s="119" t="s">
        <v>810</v>
      </c>
      <c r="Y1336" s="120"/>
      <c r="Z1336" s="120"/>
      <c r="AA1336" s="244">
        <v>914683</v>
      </c>
      <c r="AB1336" s="241"/>
      <c r="AC1336" s="241"/>
      <c r="AD1336" s="244">
        <v>0</v>
      </c>
    </row>
    <row r="1337" spans="1:30" ht="15" customHeight="1">
      <c r="A1337" s="568">
        <v>31134</v>
      </c>
      <c r="B1337" s="121">
        <v>1</v>
      </c>
      <c r="C1337" s="238">
        <v>46219</v>
      </c>
      <c r="D1337" s="105">
        <f t="shared" ca="1" si="78"/>
        <v>8</v>
      </c>
      <c r="E1337" s="138" t="str">
        <f t="shared" ca="1" si="79"/>
        <v>ATENÇÃO</v>
      </c>
      <c r="F1337" s="230" t="s">
        <v>28</v>
      </c>
      <c r="G1337" s="147" t="s">
        <v>145</v>
      </c>
      <c r="H1337" s="117" t="s">
        <v>181</v>
      </c>
      <c r="I1337" s="117" t="str">
        <f>IF(X1337="ADMITIDO","ADMITIDO",IF(X1337="CANCELADA","CANCELADA",IF(H1337="","",IFERROR(_xlfn.XLOOKUP(H1337,Listas!I:I,Listas!J:J),"OUTROS"))))</f>
        <v>DOCUMENTAÇÃO</v>
      </c>
      <c r="J1337" s="240" t="s">
        <v>268</v>
      </c>
      <c r="K1337" s="240" t="s">
        <v>3270</v>
      </c>
      <c r="L1337" s="240" t="s">
        <v>3226</v>
      </c>
      <c r="M1337" s="240"/>
      <c r="N1337" s="240" t="s">
        <v>2250</v>
      </c>
      <c r="O1337" s="119" t="s">
        <v>34</v>
      </c>
      <c r="P1337" s="119" t="s">
        <v>35</v>
      </c>
      <c r="Q1337" s="119" t="s">
        <v>36</v>
      </c>
      <c r="R1337" s="273"/>
      <c r="S1337" s="273"/>
      <c r="T1337" s="274"/>
      <c r="U1337" s="73" t="s">
        <v>132</v>
      </c>
      <c r="V1337" s="216">
        <v>46217</v>
      </c>
      <c r="W1337" s="118" t="s">
        <v>3272</v>
      </c>
      <c r="X1337" s="119" t="s">
        <v>810</v>
      </c>
      <c r="Y1337" s="120"/>
      <c r="Z1337" s="120"/>
      <c r="AA1337" s="244">
        <v>914684</v>
      </c>
      <c r="AB1337" s="241"/>
      <c r="AC1337" s="241"/>
      <c r="AD1337" s="244">
        <v>0</v>
      </c>
    </row>
    <row r="1338" spans="1:30" ht="15" customHeight="1">
      <c r="A1338" s="568">
        <v>31135</v>
      </c>
      <c r="B1338" s="121">
        <v>1</v>
      </c>
      <c r="C1338" s="238">
        <v>46219</v>
      </c>
      <c r="D1338" s="105">
        <f t="shared" ca="1" si="78"/>
        <v>8</v>
      </c>
      <c r="E1338" s="138" t="str">
        <f t="shared" ca="1" si="79"/>
        <v>ATENÇÃO</v>
      </c>
      <c r="F1338" s="230" t="s">
        <v>28</v>
      </c>
      <c r="G1338" s="147" t="s">
        <v>145</v>
      </c>
      <c r="H1338" s="117" t="s">
        <v>181</v>
      </c>
      <c r="I1338" s="117" t="str">
        <f>IF(X1338="ADMITIDO","ADMITIDO",IF(X1338="CANCELADA","CANCELADA",IF(H1338="","",IFERROR(_xlfn.XLOOKUP(H1338,Listas!I:I,Listas!J:J),"OUTROS"))))</f>
        <v>DOCUMENTAÇÃO</v>
      </c>
      <c r="J1338" s="240" t="s">
        <v>268</v>
      </c>
      <c r="K1338" s="240" t="s">
        <v>3270</v>
      </c>
      <c r="L1338" s="240" t="s">
        <v>3226</v>
      </c>
      <c r="M1338" s="240"/>
      <c r="N1338" s="240" t="s">
        <v>2250</v>
      </c>
      <c r="O1338" s="119" t="s">
        <v>56</v>
      </c>
      <c r="P1338" s="119" t="s">
        <v>35</v>
      </c>
      <c r="Q1338" s="119" t="s">
        <v>176</v>
      </c>
      <c r="R1338" s="273"/>
      <c r="S1338" s="273"/>
      <c r="T1338" s="274"/>
      <c r="U1338" s="73" t="s">
        <v>132</v>
      </c>
      <c r="V1338" s="216">
        <v>46217</v>
      </c>
      <c r="W1338" s="118" t="s">
        <v>3273</v>
      </c>
      <c r="X1338" s="119" t="s">
        <v>810</v>
      </c>
      <c r="Y1338" s="120"/>
      <c r="Z1338" s="120"/>
      <c r="AA1338" s="244">
        <v>914681</v>
      </c>
      <c r="AB1338" s="241"/>
      <c r="AC1338" s="241"/>
      <c r="AD1338" s="244">
        <v>0</v>
      </c>
    </row>
    <row r="1339" spans="1:30" ht="15" customHeight="1">
      <c r="A1339" s="568">
        <v>31135</v>
      </c>
      <c r="B1339" s="121">
        <v>1</v>
      </c>
      <c r="C1339" s="238">
        <v>46219</v>
      </c>
      <c r="D1339" s="105">
        <f t="shared" ca="1" si="78"/>
        <v>8</v>
      </c>
      <c r="E1339" s="138" t="str">
        <f t="shared" ca="1" si="79"/>
        <v>ATENÇÃO</v>
      </c>
      <c r="F1339" s="230" t="s">
        <v>28</v>
      </c>
      <c r="G1339" s="147" t="s">
        <v>145</v>
      </c>
      <c r="H1339" s="117" t="s">
        <v>181</v>
      </c>
      <c r="I1339" s="117" t="str">
        <f>IF(X1339="ADMITIDO","ADMITIDO",IF(X1339="CANCELADA","CANCELADA",IF(H1339="","",IFERROR(_xlfn.XLOOKUP(H1339,Listas!I:I,Listas!J:J),"OUTROS"))))</f>
        <v>DOCUMENTAÇÃO</v>
      </c>
      <c r="J1339" s="240" t="s">
        <v>268</v>
      </c>
      <c r="K1339" s="240" t="s">
        <v>3270</v>
      </c>
      <c r="L1339" s="240" t="s">
        <v>3226</v>
      </c>
      <c r="M1339" s="240"/>
      <c r="N1339" s="240" t="s">
        <v>2250</v>
      </c>
      <c r="O1339" s="119" t="s">
        <v>56</v>
      </c>
      <c r="P1339" s="119" t="s">
        <v>35</v>
      </c>
      <c r="Q1339" s="119" t="s">
        <v>176</v>
      </c>
      <c r="R1339" s="273"/>
      <c r="S1339" s="273"/>
      <c r="T1339" s="274"/>
      <c r="U1339" s="73" t="s">
        <v>132</v>
      </c>
      <c r="V1339" s="216">
        <v>46217</v>
      </c>
      <c r="W1339" s="118" t="s">
        <v>3274</v>
      </c>
      <c r="X1339" s="119" t="s">
        <v>810</v>
      </c>
      <c r="Y1339" s="120"/>
      <c r="Z1339" s="120"/>
      <c r="AA1339" s="244">
        <v>914680</v>
      </c>
      <c r="AB1339" s="241"/>
      <c r="AC1339" s="241"/>
      <c r="AD1339" s="244">
        <v>0</v>
      </c>
    </row>
    <row r="1340" spans="1:30" ht="15" customHeight="1">
      <c r="A1340" s="237">
        <v>31220</v>
      </c>
      <c r="B1340" s="121">
        <v>1</v>
      </c>
      <c r="C1340" s="238">
        <v>46219</v>
      </c>
      <c r="D1340" s="105">
        <f t="shared" ca="1" si="78"/>
        <v>8</v>
      </c>
      <c r="E1340" s="138" t="str">
        <f t="shared" ca="1" si="79"/>
        <v>ATENÇÃO</v>
      </c>
      <c r="F1340" s="230" t="s">
        <v>119</v>
      </c>
      <c r="G1340" s="147" t="s">
        <v>821</v>
      </c>
      <c r="H1340" s="117" t="s">
        <v>91</v>
      </c>
      <c r="I1340" s="117" t="str">
        <f>IF(X1340="ADMITIDO","ADMITIDO",IF(X1340="CANCELADA","CANCELADA",IF(H1340="","",IFERROR(_xlfn.XLOOKUP(H1340,Listas!I:I,Listas!J:J),"OUTROS"))))</f>
        <v>TRIAGEM</v>
      </c>
      <c r="J1340" s="240" t="s">
        <v>1892</v>
      </c>
      <c r="K1340" s="240" t="s">
        <v>835</v>
      </c>
      <c r="L1340" s="240" t="s">
        <v>836</v>
      </c>
      <c r="M1340" s="240"/>
      <c r="N1340" s="240" t="s">
        <v>119</v>
      </c>
      <c r="O1340" s="119" t="s">
        <v>34</v>
      </c>
      <c r="P1340" s="119" t="s">
        <v>48</v>
      </c>
      <c r="Q1340" s="119" t="s">
        <v>441</v>
      </c>
      <c r="R1340" s="273"/>
      <c r="S1340" s="273"/>
      <c r="T1340" s="274"/>
      <c r="U1340" s="73"/>
      <c r="V1340" s="216"/>
      <c r="W1340" s="118"/>
      <c r="X1340" s="119"/>
      <c r="Y1340" s="120"/>
      <c r="Z1340" s="120"/>
      <c r="AA1340" s="244"/>
      <c r="AB1340" s="241"/>
      <c r="AC1340" s="241"/>
      <c r="AD1340" s="244">
        <v>0</v>
      </c>
    </row>
    <row r="1341" spans="1:30" ht="15" customHeight="1">
      <c r="A1341" s="237">
        <v>31227</v>
      </c>
      <c r="B1341" s="121">
        <v>1</v>
      </c>
      <c r="C1341" s="238">
        <v>46219</v>
      </c>
      <c r="D1341" s="105">
        <f t="shared" ca="1" si="78"/>
        <v>8</v>
      </c>
      <c r="E1341" s="138" t="str">
        <f t="shared" ca="1" si="79"/>
        <v>ATENÇÃO</v>
      </c>
      <c r="F1341" s="230" t="s">
        <v>171</v>
      </c>
      <c r="G1341" s="147" t="s">
        <v>43</v>
      </c>
      <c r="H1341" s="117" t="s">
        <v>181</v>
      </c>
      <c r="I1341" s="117" t="str">
        <f>IF(X1341="ADMITIDO","ADMITIDO",IF(X1341="CANCELADA","CANCELADA",IF(H1341="","",IFERROR(_xlfn.XLOOKUP(H1341,Listas!I:I,Listas!J:J),"OUTROS"))))</f>
        <v>DOCUMENTAÇÃO</v>
      </c>
      <c r="J1341" s="240" t="s">
        <v>514</v>
      </c>
      <c r="K1341" s="240" t="s">
        <v>360</v>
      </c>
      <c r="L1341" s="240" t="s">
        <v>869</v>
      </c>
      <c r="M1341" s="240"/>
      <c r="N1341" s="240" t="s">
        <v>337</v>
      </c>
      <c r="O1341" s="119" t="s">
        <v>34</v>
      </c>
      <c r="P1341" s="119" t="s">
        <v>35</v>
      </c>
      <c r="Q1341" s="119" t="s">
        <v>711</v>
      </c>
      <c r="R1341" s="273"/>
      <c r="S1341" s="273" t="s">
        <v>1746</v>
      </c>
      <c r="T1341" s="274">
        <v>15998318512</v>
      </c>
      <c r="U1341" s="73" t="s">
        <v>67</v>
      </c>
      <c r="V1341" s="216">
        <v>46220</v>
      </c>
      <c r="W1341" s="118" t="s">
        <v>3275</v>
      </c>
      <c r="X1341" s="119" t="s">
        <v>188</v>
      </c>
      <c r="Y1341" s="120">
        <v>46230</v>
      </c>
      <c r="Z1341" s="120">
        <v>46230</v>
      </c>
      <c r="AA1341" s="244">
        <v>83397</v>
      </c>
      <c r="AB1341" s="241"/>
      <c r="AC1341" s="241"/>
      <c r="AD1341" s="244">
        <v>0</v>
      </c>
    </row>
    <row r="1342" spans="1:30" ht="15" customHeight="1">
      <c r="A1342" s="237">
        <v>31219</v>
      </c>
      <c r="B1342" s="121">
        <v>1</v>
      </c>
      <c r="C1342" s="238">
        <v>46219</v>
      </c>
      <c r="D1342" s="105">
        <f t="shared" ca="1" si="78"/>
        <v>8</v>
      </c>
      <c r="E1342" s="138" t="str">
        <f t="shared" ca="1" si="79"/>
        <v>ATENÇÃO</v>
      </c>
      <c r="F1342" s="230" t="s">
        <v>171</v>
      </c>
      <c r="G1342" s="147" t="s">
        <v>663</v>
      </c>
      <c r="H1342" s="117" t="s">
        <v>259</v>
      </c>
      <c r="I1342" s="117" t="str">
        <f>IF(X1342="ADMITIDO","ADMITIDO",IF(X1342="CANCELADA","CANCELADA",IF(H1342="","",IFERROR(_xlfn.XLOOKUP(H1342,Listas!I:I,Listas!J:J),"OUTROS"))))</f>
        <v>TRIAGEM</v>
      </c>
      <c r="J1342" s="240" t="s">
        <v>172</v>
      </c>
      <c r="K1342" s="240" t="s">
        <v>2936</v>
      </c>
      <c r="L1342" s="240" t="s">
        <v>32</v>
      </c>
      <c r="M1342" s="240"/>
      <c r="N1342" s="240" t="s">
        <v>33</v>
      </c>
      <c r="O1342" s="119" t="s">
        <v>56</v>
      </c>
      <c r="P1342" s="119" t="s">
        <v>35</v>
      </c>
      <c r="Q1342" s="119" t="s">
        <v>176</v>
      </c>
      <c r="R1342" s="273"/>
      <c r="S1342" s="273"/>
      <c r="T1342" s="274"/>
      <c r="U1342" s="73"/>
      <c r="V1342" s="216"/>
      <c r="W1342" s="118"/>
      <c r="X1342" s="119"/>
      <c r="Y1342" s="120"/>
      <c r="Z1342" s="120"/>
      <c r="AA1342" s="244"/>
      <c r="AB1342" s="241"/>
      <c r="AC1342" s="241"/>
      <c r="AD1342" s="244">
        <v>0</v>
      </c>
    </row>
    <row r="1343" spans="1:30" ht="15" customHeight="1">
      <c r="A1343" s="237">
        <v>31226</v>
      </c>
      <c r="B1343" s="121">
        <v>1</v>
      </c>
      <c r="C1343" s="238">
        <v>46219</v>
      </c>
      <c r="D1343" s="105">
        <f t="shared" ca="1" si="78"/>
        <v>8</v>
      </c>
      <c r="E1343" s="138" t="str">
        <f t="shared" ca="1" si="79"/>
        <v>ATENÇÃO</v>
      </c>
      <c r="F1343" s="230" t="s">
        <v>42</v>
      </c>
      <c r="G1343" s="147" t="s">
        <v>29</v>
      </c>
      <c r="H1343" s="117" t="s">
        <v>259</v>
      </c>
      <c r="I1343" s="117" t="str">
        <f>IF(X1343="ADMITIDO","ADMITIDO",IF(X1343="CANCELADA","CANCELADA",IF(H1343="","",IFERROR(_xlfn.XLOOKUP(H1343,Listas!I:I,Listas!J:J),"OUTROS"))))</f>
        <v>TRIAGEM</v>
      </c>
      <c r="J1343" s="240" t="s">
        <v>53</v>
      </c>
      <c r="K1343" s="240" t="s">
        <v>228</v>
      </c>
      <c r="L1343" s="240" t="s">
        <v>3276</v>
      </c>
      <c r="M1343" s="240"/>
      <c r="N1343" s="240" t="s">
        <v>88</v>
      </c>
      <c r="O1343" s="119" t="s">
        <v>34</v>
      </c>
      <c r="P1343" s="119" t="s">
        <v>57</v>
      </c>
      <c r="Q1343" s="119" t="s">
        <v>1437</v>
      </c>
      <c r="R1343" s="273" t="s">
        <v>3277</v>
      </c>
      <c r="S1343" s="273"/>
      <c r="T1343" s="274"/>
      <c r="U1343" s="73"/>
      <c r="V1343" s="216"/>
      <c r="W1343" s="118"/>
      <c r="X1343" s="119"/>
      <c r="Y1343" s="120"/>
      <c r="Z1343" s="120"/>
      <c r="AA1343" s="244"/>
      <c r="AB1343" s="241" t="s">
        <v>3278</v>
      </c>
      <c r="AC1343" s="241"/>
      <c r="AD1343" s="244">
        <v>1</v>
      </c>
    </row>
    <row r="1344" spans="1:30" ht="15" customHeight="1">
      <c r="A1344" s="237">
        <v>31236</v>
      </c>
      <c r="B1344" s="121">
        <v>1</v>
      </c>
      <c r="C1344" s="238">
        <v>46219</v>
      </c>
      <c r="D1344" s="105">
        <f t="shared" ca="1" si="78"/>
        <v>8</v>
      </c>
      <c r="E1344" s="138" t="str">
        <f t="shared" ca="1" si="79"/>
        <v>ATENÇÃO</v>
      </c>
      <c r="F1344" s="230" t="s">
        <v>119</v>
      </c>
      <c r="G1344" s="147" t="s">
        <v>821</v>
      </c>
      <c r="H1344" s="117" t="s">
        <v>91</v>
      </c>
      <c r="I1344" s="117" t="str">
        <f>IF(X1344="ADMITIDO","ADMITIDO",IF(X1344="CANCELADA","CANCELADA",IF(H1344="","",IFERROR(_xlfn.XLOOKUP(H1344,Listas!I:I,Listas!J:J),"OUTROS"))))</f>
        <v>TRIAGEM</v>
      </c>
      <c r="J1344" s="240" t="s">
        <v>3279</v>
      </c>
      <c r="K1344" s="240" t="s">
        <v>1253</v>
      </c>
      <c r="L1344" s="240" t="s">
        <v>1254</v>
      </c>
      <c r="M1344" s="240"/>
      <c r="N1344" s="240" t="s">
        <v>119</v>
      </c>
      <c r="O1344" s="119" t="s">
        <v>34</v>
      </c>
      <c r="P1344" s="119" t="s">
        <v>48</v>
      </c>
      <c r="Q1344" s="119" t="s">
        <v>441</v>
      </c>
      <c r="R1344" s="273"/>
      <c r="S1344" s="273"/>
      <c r="T1344" s="274"/>
      <c r="U1344" s="73"/>
      <c r="V1344" s="216"/>
      <c r="W1344" s="118"/>
      <c r="X1344" s="119"/>
      <c r="Y1344" s="120"/>
      <c r="Z1344" s="120"/>
      <c r="AA1344" s="244"/>
      <c r="AB1344" s="241"/>
      <c r="AC1344" s="241"/>
      <c r="AD1344" s="244">
        <v>0</v>
      </c>
    </row>
    <row r="1345" spans="1:30" ht="15" customHeight="1">
      <c r="A1345" s="237">
        <v>31232</v>
      </c>
      <c r="B1345" s="121">
        <v>1</v>
      </c>
      <c r="C1345" s="238">
        <v>46219</v>
      </c>
      <c r="D1345" s="105">
        <f t="shared" ca="1" si="78"/>
        <v>8</v>
      </c>
      <c r="E1345" s="138" t="str">
        <f t="shared" ca="1" si="79"/>
        <v>ATENÇÃO</v>
      </c>
      <c r="F1345" s="230" t="s">
        <v>28</v>
      </c>
      <c r="G1345" s="147" t="s">
        <v>167</v>
      </c>
      <c r="H1345" s="117" t="s">
        <v>181</v>
      </c>
      <c r="I1345" s="117" t="str">
        <f>IF(X1345="ADMITIDO","ADMITIDO",IF(X1345="CANCELADA","CANCELADA",IF(H1345="","",IFERROR(_xlfn.XLOOKUP(H1345,Listas!I:I,Listas!J:J),"OUTROS"))))</f>
        <v>DOCUMENTAÇÃO</v>
      </c>
      <c r="J1345" s="240" t="s">
        <v>268</v>
      </c>
      <c r="K1345" s="240" t="s">
        <v>699</v>
      </c>
      <c r="L1345" s="240" t="s">
        <v>961</v>
      </c>
      <c r="M1345" s="240"/>
      <c r="N1345" s="240" t="s">
        <v>63</v>
      </c>
      <c r="O1345" s="119" t="s">
        <v>34</v>
      </c>
      <c r="P1345" s="119" t="s">
        <v>35</v>
      </c>
      <c r="Q1345" s="119" t="s">
        <v>36</v>
      </c>
      <c r="R1345" s="273"/>
      <c r="S1345" s="273"/>
      <c r="T1345" s="274"/>
      <c r="U1345" s="73"/>
      <c r="V1345" s="216"/>
      <c r="W1345" s="118"/>
      <c r="X1345" s="119"/>
      <c r="Y1345" s="120"/>
      <c r="Z1345" s="120"/>
      <c r="AA1345" s="244"/>
      <c r="AB1345" s="241"/>
      <c r="AC1345" s="241"/>
      <c r="AD1345" s="244">
        <v>0</v>
      </c>
    </row>
    <row r="1346" spans="1:30" ht="15" customHeight="1">
      <c r="A1346" s="237">
        <v>31232</v>
      </c>
      <c r="B1346" s="121">
        <v>1</v>
      </c>
      <c r="C1346" s="238">
        <v>46219</v>
      </c>
      <c r="D1346" s="105">
        <f t="shared" ca="1" si="78"/>
        <v>8</v>
      </c>
      <c r="E1346" s="138" t="str">
        <f t="shared" ca="1" si="79"/>
        <v>ATENÇÃO</v>
      </c>
      <c r="F1346" s="230" t="s">
        <v>28</v>
      </c>
      <c r="G1346" s="147" t="s">
        <v>167</v>
      </c>
      <c r="H1346" s="117" t="s">
        <v>181</v>
      </c>
      <c r="I1346" s="117" t="str">
        <f>IF(X1346="ADMITIDO","ADMITIDO",IF(X1346="CANCELADA","CANCELADA",IF(H1346="","",IFERROR(_xlfn.XLOOKUP(H1346,Listas!I:I,Listas!J:J),"OUTROS"))))</f>
        <v>DOCUMENTAÇÃO</v>
      </c>
      <c r="J1346" s="240" t="s">
        <v>268</v>
      </c>
      <c r="K1346" s="240" t="s">
        <v>699</v>
      </c>
      <c r="L1346" s="240" t="s">
        <v>961</v>
      </c>
      <c r="M1346" s="240"/>
      <c r="N1346" s="240" t="s">
        <v>63</v>
      </c>
      <c r="O1346" s="119" t="s">
        <v>34</v>
      </c>
      <c r="P1346" s="119" t="s">
        <v>35</v>
      </c>
      <c r="Q1346" s="119" t="s">
        <v>36</v>
      </c>
      <c r="R1346" s="273"/>
      <c r="S1346" s="273"/>
      <c r="T1346" s="274"/>
      <c r="U1346" s="73"/>
      <c r="V1346" s="216"/>
      <c r="W1346" s="118"/>
      <c r="X1346" s="119"/>
      <c r="Y1346" s="120"/>
      <c r="Z1346" s="120"/>
      <c r="AA1346" s="244"/>
      <c r="AB1346" s="241"/>
      <c r="AC1346" s="241"/>
      <c r="AD1346" s="244">
        <v>0</v>
      </c>
    </row>
    <row r="1347" spans="1:30" ht="15" customHeight="1">
      <c r="A1347" s="237">
        <v>31232</v>
      </c>
      <c r="B1347" s="121">
        <v>1</v>
      </c>
      <c r="C1347" s="238">
        <v>46219</v>
      </c>
      <c r="D1347" s="105">
        <f t="shared" ca="1" si="78"/>
        <v>8</v>
      </c>
      <c r="E1347" s="138" t="str">
        <f t="shared" ca="1" si="79"/>
        <v>ATENÇÃO</v>
      </c>
      <c r="F1347" s="230" t="s">
        <v>28</v>
      </c>
      <c r="G1347" s="147" t="s">
        <v>167</v>
      </c>
      <c r="H1347" s="117" t="s">
        <v>181</v>
      </c>
      <c r="I1347" s="117" t="str">
        <f>IF(X1347="ADMITIDO","ADMITIDO",IF(X1347="CANCELADA","CANCELADA",IF(H1347="","",IFERROR(_xlfn.XLOOKUP(H1347,Listas!I:I,Listas!J:J),"OUTROS"))))</f>
        <v>DOCUMENTAÇÃO</v>
      </c>
      <c r="J1347" s="240" t="s">
        <v>268</v>
      </c>
      <c r="K1347" s="240" t="s">
        <v>699</v>
      </c>
      <c r="L1347" s="240" t="s">
        <v>961</v>
      </c>
      <c r="M1347" s="240"/>
      <c r="N1347" s="240" t="s">
        <v>63</v>
      </c>
      <c r="O1347" s="119" t="s">
        <v>34</v>
      </c>
      <c r="P1347" s="119" t="s">
        <v>35</v>
      </c>
      <c r="Q1347" s="119" t="s">
        <v>36</v>
      </c>
      <c r="R1347" s="273"/>
      <c r="S1347" s="273"/>
      <c r="T1347" s="274"/>
      <c r="U1347" s="73"/>
      <c r="V1347" s="216"/>
      <c r="W1347" s="118"/>
      <c r="X1347" s="119"/>
      <c r="Y1347" s="120"/>
      <c r="Z1347" s="120"/>
      <c r="AA1347" s="244"/>
      <c r="AB1347" s="241"/>
      <c r="AC1347" s="241"/>
      <c r="AD1347" s="244">
        <v>0</v>
      </c>
    </row>
    <row r="1348" spans="1:30" ht="15" customHeight="1">
      <c r="A1348" s="237">
        <v>31232</v>
      </c>
      <c r="B1348" s="121">
        <v>1</v>
      </c>
      <c r="C1348" s="238">
        <v>46219</v>
      </c>
      <c r="D1348" s="105">
        <f t="shared" ca="1" si="78"/>
        <v>8</v>
      </c>
      <c r="E1348" s="138" t="str">
        <f t="shared" ca="1" si="79"/>
        <v>ATENÇÃO</v>
      </c>
      <c r="F1348" s="230" t="s">
        <v>28</v>
      </c>
      <c r="G1348" s="147" t="s">
        <v>167</v>
      </c>
      <c r="H1348" s="117" t="s">
        <v>181</v>
      </c>
      <c r="I1348" s="117" t="str">
        <f>IF(X1348="ADMITIDO","ADMITIDO",IF(X1348="CANCELADA","CANCELADA",IF(H1348="","",IFERROR(_xlfn.XLOOKUP(H1348,Listas!I:I,Listas!J:J),"OUTROS"))))</f>
        <v>DOCUMENTAÇÃO</v>
      </c>
      <c r="J1348" s="240" t="s">
        <v>268</v>
      </c>
      <c r="K1348" s="240" t="s">
        <v>699</v>
      </c>
      <c r="L1348" s="240" t="s">
        <v>961</v>
      </c>
      <c r="M1348" s="240"/>
      <c r="N1348" s="240" t="s">
        <v>63</v>
      </c>
      <c r="O1348" s="119" t="s">
        <v>34</v>
      </c>
      <c r="P1348" s="119" t="s">
        <v>35</v>
      </c>
      <c r="Q1348" s="119" t="s">
        <v>36</v>
      </c>
      <c r="R1348" s="273"/>
      <c r="S1348" s="273"/>
      <c r="T1348" s="274"/>
      <c r="U1348" s="73"/>
      <c r="V1348" s="216"/>
      <c r="W1348" s="118"/>
      <c r="X1348" s="119"/>
      <c r="Y1348" s="120"/>
      <c r="Z1348" s="120"/>
      <c r="AA1348" s="244"/>
      <c r="AB1348" s="241"/>
      <c r="AC1348" s="241"/>
      <c r="AD1348" s="244">
        <v>0</v>
      </c>
    </row>
    <row r="1349" spans="1:30" ht="15" customHeight="1">
      <c r="A1349" s="237">
        <v>31233</v>
      </c>
      <c r="B1349" s="121">
        <v>1</v>
      </c>
      <c r="C1349" s="238">
        <v>46219</v>
      </c>
      <c r="D1349" s="105">
        <f t="shared" ca="1" si="78"/>
        <v>8</v>
      </c>
      <c r="E1349" s="138" t="str">
        <f t="shared" ca="1" si="79"/>
        <v>ATENÇÃO</v>
      </c>
      <c r="F1349" s="230" t="s">
        <v>28</v>
      </c>
      <c r="G1349" s="147" t="s">
        <v>167</v>
      </c>
      <c r="H1349" s="117" t="s">
        <v>181</v>
      </c>
      <c r="I1349" s="117" t="str">
        <f>IF(X1349="ADMITIDO","ADMITIDO",IF(X1349="CANCELADA","CANCELADA",IF(H1349="","",IFERROR(_xlfn.XLOOKUP(H1349,Listas!I:I,Listas!J:J),"OUTROS"))))</f>
        <v>DOCUMENTAÇÃO</v>
      </c>
      <c r="J1349" s="240" t="s">
        <v>268</v>
      </c>
      <c r="K1349" s="240" t="s">
        <v>699</v>
      </c>
      <c r="L1349" s="240" t="s">
        <v>961</v>
      </c>
      <c r="M1349" s="240"/>
      <c r="N1349" s="240" t="s">
        <v>63</v>
      </c>
      <c r="O1349" s="119" t="s">
        <v>56</v>
      </c>
      <c r="P1349" s="119" t="s">
        <v>35</v>
      </c>
      <c r="Q1349" s="119" t="s">
        <v>176</v>
      </c>
      <c r="R1349" s="273"/>
      <c r="S1349" s="273"/>
      <c r="T1349" s="274"/>
      <c r="U1349" s="73"/>
      <c r="V1349" s="216"/>
      <c r="W1349" s="118"/>
      <c r="X1349" s="119"/>
      <c r="Y1349" s="120"/>
      <c r="Z1349" s="120"/>
      <c r="AA1349" s="244"/>
      <c r="AB1349" s="241"/>
      <c r="AC1349" s="241"/>
      <c r="AD1349" s="244">
        <v>0</v>
      </c>
    </row>
    <row r="1350" spans="1:30" ht="15" customHeight="1">
      <c r="A1350" s="237">
        <v>31233</v>
      </c>
      <c r="B1350" s="121">
        <v>1</v>
      </c>
      <c r="C1350" s="238">
        <v>46219</v>
      </c>
      <c r="D1350" s="105">
        <f t="shared" ca="1" si="78"/>
        <v>8</v>
      </c>
      <c r="E1350" s="138" t="str">
        <f t="shared" ca="1" si="79"/>
        <v>ATENÇÃO</v>
      </c>
      <c r="F1350" s="230" t="s">
        <v>28</v>
      </c>
      <c r="G1350" s="147" t="s">
        <v>167</v>
      </c>
      <c r="H1350" s="117" t="s">
        <v>181</v>
      </c>
      <c r="I1350" s="117" t="str">
        <f>IF(X1350="ADMITIDO","ADMITIDO",IF(X1350="CANCELADA","CANCELADA",IF(H1350="","",IFERROR(_xlfn.XLOOKUP(H1350,Listas!I:I,Listas!J:J),"OUTROS"))))</f>
        <v>DOCUMENTAÇÃO</v>
      </c>
      <c r="J1350" s="240" t="s">
        <v>268</v>
      </c>
      <c r="K1350" s="240" t="s">
        <v>699</v>
      </c>
      <c r="L1350" s="240" t="s">
        <v>961</v>
      </c>
      <c r="M1350" s="240"/>
      <c r="N1350" s="240" t="s">
        <v>63</v>
      </c>
      <c r="O1350" s="119" t="s">
        <v>56</v>
      </c>
      <c r="P1350" s="119" t="s">
        <v>35</v>
      </c>
      <c r="Q1350" s="119" t="s">
        <v>176</v>
      </c>
      <c r="R1350" s="273"/>
      <c r="S1350" s="273"/>
      <c r="T1350" s="274"/>
      <c r="U1350" s="73"/>
      <c r="V1350" s="216"/>
      <c r="W1350" s="118"/>
      <c r="X1350" s="119"/>
      <c r="Y1350" s="120"/>
      <c r="Z1350" s="120"/>
      <c r="AA1350" s="244"/>
      <c r="AB1350" s="241"/>
      <c r="AC1350" s="241"/>
      <c r="AD1350" s="244">
        <v>0</v>
      </c>
    </row>
    <row r="1351" spans="1:30" ht="15" customHeight="1">
      <c r="A1351" s="237">
        <v>31233</v>
      </c>
      <c r="B1351" s="121">
        <v>1</v>
      </c>
      <c r="C1351" s="238">
        <v>46219</v>
      </c>
      <c r="D1351" s="105">
        <f t="shared" ca="1" si="78"/>
        <v>8</v>
      </c>
      <c r="E1351" s="138" t="str">
        <f t="shared" ca="1" si="79"/>
        <v>ATENÇÃO</v>
      </c>
      <c r="F1351" s="230" t="s">
        <v>28</v>
      </c>
      <c r="G1351" s="147" t="s">
        <v>167</v>
      </c>
      <c r="H1351" s="117" t="s">
        <v>181</v>
      </c>
      <c r="I1351" s="117" t="str">
        <f>IF(X1351="ADMITIDO","ADMITIDO",IF(X1351="CANCELADA","CANCELADA",IF(H1351="","",IFERROR(_xlfn.XLOOKUP(H1351,Listas!I:I,Listas!J:J),"OUTROS"))))</f>
        <v>DOCUMENTAÇÃO</v>
      </c>
      <c r="J1351" s="240" t="s">
        <v>268</v>
      </c>
      <c r="K1351" s="240" t="s">
        <v>699</v>
      </c>
      <c r="L1351" s="240" t="s">
        <v>961</v>
      </c>
      <c r="M1351" s="240"/>
      <c r="N1351" s="240" t="s">
        <v>63</v>
      </c>
      <c r="O1351" s="119" t="s">
        <v>56</v>
      </c>
      <c r="P1351" s="119" t="s">
        <v>35</v>
      </c>
      <c r="Q1351" s="119" t="s">
        <v>176</v>
      </c>
      <c r="R1351" s="273"/>
      <c r="S1351" s="273"/>
      <c r="T1351" s="274"/>
      <c r="U1351" s="73"/>
      <c r="V1351" s="216"/>
      <c r="W1351" s="118"/>
      <c r="X1351" s="119"/>
      <c r="Y1351" s="120"/>
      <c r="Z1351" s="120"/>
      <c r="AA1351" s="244"/>
      <c r="AB1351" s="241"/>
      <c r="AC1351" s="241"/>
      <c r="AD1351" s="244">
        <v>0</v>
      </c>
    </row>
    <row r="1352" spans="1:30" ht="15" customHeight="1">
      <c r="A1352" s="237">
        <v>31233</v>
      </c>
      <c r="B1352" s="121">
        <v>1</v>
      </c>
      <c r="C1352" s="238">
        <v>46219</v>
      </c>
      <c r="D1352" s="105">
        <f t="shared" ca="1" si="78"/>
        <v>8</v>
      </c>
      <c r="E1352" s="138" t="str">
        <f t="shared" ca="1" si="79"/>
        <v>ATENÇÃO</v>
      </c>
      <c r="F1352" s="230" t="s">
        <v>28</v>
      </c>
      <c r="G1352" s="147" t="s">
        <v>167</v>
      </c>
      <c r="H1352" s="117" t="s">
        <v>181</v>
      </c>
      <c r="I1352" s="117" t="str">
        <f>IF(X1352="ADMITIDO","ADMITIDO",IF(X1352="CANCELADA","CANCELADA",IF(H1352="","",IFERROR(_xlfn.XLOOKUP(H1352,Listas!I:I,Listas!J:J),"OUTROS"))))</f>
        <v>DOCUMENTAÇÃO</v>
      </c>
      <c r="J1352" s="240" t="s">
        <v>268</v>
      </c>
      <c r="K1352" s="240" t="s">
        <v>699</v>
      </c>
      <c r="L1352" s="240" t="s">
        <v>961</v>
      </c>
      <c r="M1352" s="240"/>
      <c r="N1352" s="240" t="s">
        <v>63</v>
      </c>
      <c r="O1352" s="119" t="s">
        <v>56</v>
      </c>
      <c r="P1352" s="119" t="s">
        <v>35</v>
      </c>
      <c r="Q1352" s="119" t="s">
        <v>176</v>
      </c>
      <c r="R1352" s="273"/>
      <c r="S1352" s="273"/>
      <c r="T1352" s="274"/>
      <c r="U1352" s="73"/>
      <c r="V1352" s="216"/>
      <c r="W1352" s="118"/>
      <c r="X1352" s="119"/>
      <c r="Y1352" s="120"/>
      <c r="Z1352" s="120"/>
      <c r="AA1352" s="244"/>
      <c r="AB1352" s="241"/>
      <c r="AC1352" s="241"/>
      <c r="AD1352" s="244">
        <v>0</v>
      </c>
    </row>
    <row r="1353" spans="1:30" ht="15" customHeight="1">
      <c r="A1353" s="237">
        <v>31234</v>
      </c>
      <c r="B1353" s="121">
        <v>1</v>
      </c>
      <c r="C1353" s="238">
        <v>46219</v>
      </c>
      <c r="D1353" s="105">
        <f t="shared" ca="1" si="78"/>
        <v>8</v>
      </c>
      <c r="E1353" s="138" t="str">
        <f t="shared" ca="1" si="79"/>
        <v>ATENÇÃO</v>
      </c>
      <c r="F1353" s="230" t="s">
        <v>28</v>
      </c>
      <c r="G1353" s="147" t="s">
        <v>167</v>
      </c>
      <c r="H1353" s="117" t="s">
        <v>181</v>
      </c>
      <c r="I1353" s="117" t="str">
        <f>IF(X1353="ADMITIDO","ADMITIDO",IF(X1353="CANCELADA","CANCELADA",IF(H1353="","",IFERROR(_xlfn.XLOOKUP(H1353,Listas!I:I,Listas!J:J),"OUTROS"))))</f>
        <v>DOCUMENTAÇÃO</v>
      </c>
      <c r="J1353" s="240" t="s">
        <v>616</v>
      </c>
      <c r="K1353" s="240" t="s">
        <v>699</v>
      </c>
      <c r="L1353" s="240" t="s">
        <v>961</v>
      </c>
      <c r="M1353" s="240"/>
      <c r="N1353" s="240" t="s">
        <v>63</v>
      </c>
      <c r="O1353" s="119" t="s">
        <v>34</v>
      </c>
      <c r="P1353" s="119" t="s">
        <v>35</v>
      </c>
      <c r="Q1353" s="119" t="s">
        <v>36</v>
      </c>
      <c r="R1353" s="273"/>
      <c r="S1353" s="273"/>
      <c r="T1353" s="274"/>
      <c r="U1353" s="73"/>
      <c r="V1353" s="216"/>
      <c r="W1353" s="118"/>
      <c r="X1353" s="119"/>
      <c r="Y1353" s="120"/>
      <c r="Z1353" s="120"/>
      <c r="AA1353" s="244"/>
      <c r="AB1353" s="241"/>
      <c r="AC1353" s="241"/>
      <c r="AD1353" s="244">
        <v>0</v>
      </c>
    </row>
    <row r="1354" spans="1:30" ht="15" customHeight="1">
      <c r="A1354" s="237">
        <v>31234</v>
      </c>
      <c r="B1354" s="121">
        <v>1</v>
      </c>
      <c r="C1354" s="238">
        <v>46219</v>
      </c>
      <c r="D1354" s="105">
        <f t="shared" ca="1" si="78"/>
        <v>8</v>
      </c>
      <c r="E1354" s="138" t="str">
        <f t="shared" ca="1" si="79"/>
        <v>ATENÇÃO</v>
      </c>
      <c r="F1354" s="230" t="s">
        <v>28</v>
      </c>
      <c r="G1354" s="147" t="s">
        <v>167</v>
      </c>
      <c r="H1354" s="117" t="s">
        <v>181</v>
      </c>
      <c r="I1354" s="117" t="str">
        <f>IF(X1354="ADMITIDO","ADMITIDO",IF(X1354="CANCELADA","CANCELADA",IF(H1354="","",IFERROR(_xlfn.XLOOKUP(H1354,Listas!I:I,Listas!J:J),"OUTROS"))))</f>
        <v>DOCUMENTAÇÃO</v>
      </c>
      <c r="J1354" s="240" t="s">
        <v>616</v>
      </c>
      <c r="K1354" s="240" t="s">
        <v>699</v>
      </c>
      <c r="L1354" s="240" t="s">
        <v>961</v>
      </c>
      <c r="M1354" s="240"/>
      <c r="N1354" s="240" t="s">
        <v>63</v>
      </c>
      <c r="O1354" s="119" t="s">
        <v>34</v>
      </c>
      <c r="P1354" s="119" t="s">
        <v>35</v>
      </c>
      <c r="Q1354" s="119" t="s">
        <v>36</v>
      </c>
      <c r="R1354" s="273"/>
      <c r="S1354" s="273"/>
      <c r="T1354" s="274"/>
      <c r="U1354" s="73"/>
      <c r="V1354" s="216"/>
      <c r="W1354" s="118"/>
      <c r="X1354" s="119"/>
      <c r="Y1354" s="120"/>
      <c r="Z1354" s="120"/>
      <c r="AA1354" s="244"/>
      <c r="AB1354" s="241"/>
      <c r="AC1354" s="241"/>
      <c r="AD1354" s="244">
        <v>0</v>
      </c>
    </row>
    <row r="1355" spans="1:30" ht="15" customHeight="1">
      <c r="A1355" s="237">
        <v>31235</v>
      </c>
      <c r="B1355" s="121">
        <v>1</v>
      </c>
      <c r="C1355" s="238">
        <v>46219</v>
      </c>
      <c r="D1355" s="105">
        <f t="shared" ca="1" si="78"/>
        <v>8</v>
      </c>
      <c r="E1355" s="138" t="str">
        <f t="shared" ca="1" si="79"/>
        <v>ATENÇÃO</v>
      </c>
      <c r="F1355" s="230" t="s">
        <v>28</v>
      </c>
      <c r="G1355" s="147" t="s">
        <v>167</v>
      </c>
      <c r="H1355" s="117" t="s">
        <v>181</v>
      </c>
      <c r="I1355" s="117" t="str">
        <f>IF(X1355="ADMITIDO","ADMITIDO",IF(X1355="CANCELADA","CANCELADA",IF(H1355="","",IFERROR(_xlfn.XLOOKUP(H1355,Listas!I:I,Listas!J:J),"OUTROS"))))</f>
        <v>DOCUMENTAÇÃO</v>
      </c>
      <c r="J1355" s="240" t="s">
        <v>616</v>
      </c>
      <c r="K1355" s="240" t="s">
        <v>699</v>
      </c>
      <c r="L1355" s="240" t="s">
        <v>961</v>
      </c>
      <c r="M1355" s="240"/>
      <c r="N1355" s="240" t="s">
        <v>63</v>
      </c>
      <c r="O1355" s="119" t="s">
        <v>56</v>
      </c>
      <c r="P1355" s="119" t="s">
        <v>35</v>
      </c>
      <c r="Q1355" s="119" t="s">
        <v>176</v>
      </c>
      <c r="R1355" s="273"/>
      <c r="S1355" s="273"/>
      <c r="T1355" s="274"/>
      <c r="U1355" s="73"/>
      <c r="V1355" s="216"/>
      <c r="W1355" s="118"/>
      <c r="X1355" s="119"/>
      <c r="Y1355" s="120"/>
      <c r="Z1355" s="120"/>
      <c r="AA1355" s="244"/>
      <c r="AB1355" s="241"/>
      <c r="AC1355" s="241"/>
      <c r="AD1355" s="244">
        <v>0</v>
      </c>
    </row>
    <row r="1356" spans="1:30" ht="15" customHeight="1">
      <c r="A1356" s="237">
        <v>31235</v>
      </c>
      <c r="B1356" s="121">
        <v>1</v>
      </c>
      <c r="C1356" s="238">
        <v>46219</v>
      </c>
      <c r="D1356" s="105">
        <f t="shared" ca="1" si="78"/>
        <v>8</v>
      </c>
      <c r="E1356" s="138" t="str">
        <f t="shared" ca="1" si="79"/>
        <v>ATENÇÃO</v>
      </c>
      <c r="F1356" s="230" t="s">
        <v>28</v>
      </c>
      <c r="G1356" s="147" t="s">
        <v>167</v>
      </c>
      <c r="H1356" s="117" t="s">
        <v>181</v>
      </c>
      <c r="I1356" s="117" t="str">
        <f>IF(X1356="ADMITIDO","ADMITIDO",IF(X1356="CANCELADA","CANCELADA",IF(H1356="","",IFERROR(_xlfn.XLOOKUP(H1356,Listas!I:I,Listas!J:J),"OUTROS"))))</f>
        <v>DOCUMENTAÇÃO</v>
      </c>
      <c r="J1356" s="240" t="s">
        <v>616</v>
      </c>
      <c r="K1356" s="240" t="s">
        <v>699</v>
      </c>
      <c r="L1356" s="240" t="s">
        <v>961</v>
      </c>
      <c r="M1356" s="240"/>
      <c r="N1356" s="240" t="s">
        <v>63</v>
      </c>
      <c r="O1356" s="119" t="s">
        <v>56</v>
      </c>
      <c r="P1356" s="119" t="s">
        <v>35</v>
      </c>
      <c r="Q1356" s="119" t="s">
        <v>176</v>
      </c>
      <c r="R1356" s="273"/>
      <c r="S1356" s="273"/>
      <c r="T1356" s="274"/>
      <c r="U1356" s="73"/>
      <c r="V1356" s="216"/>
      <c r="W1356" s="118"/>
      <c r="X1356" s="119"/>
      <c r="Y1356" s="120"/>
      <c r="Z1356" s="120"/>
      <c r="AA1356" s="244"/>
      <c r="AB1356" s="241"/>
      <c r="AC1356" s="241"/>
      <c r="AD1356" s="244">
        <v>0</v>
      </c>
    </row>
    <row r="1357" spans="1:30" ht="15" customHeight="1">
      <c r="A1357" s="237">
        <v>31218</v>
      </c>
      <c r="B1357" s="121">
        <v>1</v>
      </c>
      <c r="C1357" s="238">
        <v>46219</v>
      </c>
      <c r="D1357" s="105">
        <f t="shared" ca="1" si="78"/>
        <v>8</v>
      </c>
      <c r="E1357" s="138" t="str">
        <f t="shared" ca="1" si="79"/>
        <v>ATENÇÃO</v>
      </c>
      <c r="F1357" s="230" t="s">
        <v>42</v>
      </c>
      <c r="G1357" s="147" t="s">
        <v>102</v>
      </c>
      <c r="H1357" s="117" t="s">
        <v>91</v>
      </c>
      <c r="I1357" s="117" t="str">
        <f>IF(X1357="ADMITIDO","ADMITIDO",IF(X1357="CANCELADA","CANCELADA",IF(H1357="","",IFERROR(_xlfn.XLOOKUP(H1357,Listas!I:I,Listas!J:J),"OUTROS"))))</f>
        <v>TRIAGEM</v>
      </c>
      <c r="J1357" s="240" t="s">
        <v>53</v>
      </c>
      <c r="K1357" s="240" t="s">
        <v>103</v>
      </c>
      <c r="L1357" s="240" t="s">
        <v>297</v>
      </c>
      <c r="M1357" s="240"/>
      <c r="N1357" s="240" t="s">
        <v>33</v>
      </c>
      <c r="O1357" s="119" t="s">
        <v>56</v>
      </c>
      <c r="P1357" s="119" t="s">
        <v>35</v>
      </c>
      <c r="Q1357" s="119" t="s">
        <v>176</v>
      </c>
      <c r="R1357" s="273"/>
      <c r="S1357" s="273"/>
      <c r="T1357" s="274"/>
      <c r="U1357" s="73"/>
      <c r="V1357" s="216"/>
      <c r="W1357" s="118"/>
      <c r="X1357" s="119"/>
      <c r="Y1357" s="120"/>
      <c r="Z1357" s="120"/>
      <c r="AA1357" s="244"/>
      <c r="AB1357" s="241"/>
      <c r="AC1357" s="241"/>
      <c r="AD1357" s="244">
        <v>0</v>
      </c>
    </row>
    <row r="1358" spans="1:30" ht="15" customHeight="1">
      <c r="A1358" s="237">
        <v>31230</v>
      </c>
      <c r="B1358" s="121">
        <v>1</v>
      </c>
      <c r="C1358" s="238">
        <v>46219</v>
      </c>
      <c r="D1358" s="105">
        <f t="shared" ca="1" si="78"/>
        <v>8</v>
      </c>
      <c r="E1358" s="138" t="str">
        <f t="shared" ca="1" si="79"/>
        <v>ATENÇÃO</v>
      </c>
      <c r="F1358" s="230" t="s">
        <v>42</v>
      </c>
      <c r="G1358" s="147" t="s">
        <v>69</v>
      </c>
      <c r="H1358" s="117" t="s">
        <v>181</v>
      </c>
      <c r="I1358" s="117" t="str">
        <f>IF(X1358="ADMITIDO","ADMITIDO",IF(X1358="CANCELADA","CANCELADA",IF(H1358="","",IFERROR(_xlfn.XLOOKUP(H1358,Listas!I:I,Listas!J:J),"OUTROS"))))</f>
        <v>DOCUMENTAÇÃO</v>
      </c>
      <c r="J1358" s="240" t="s">
        <v>53</v>
      </c>
      <c r="K1358" s="240" t="s">
        <v>158</v>
      </c>
      <c r="L1358" s="240" t="s">
        <v>921</v>
      </c>
      <c r="M1358" s="240"/>
      <c r="N1358" s="240" t="s">
        <v>672</v>
      </c>
      <c r="O1358" s="119" t="s">
        <v>34</v>
      </c>
      <c r="P1358" s="119" t="s">
        <v>48</v>
      </c>
      <c r="Q1358" s="119" t="s">
        <v>414</v>
      </c>
      <c r="R1358" s="273"/>
      <c r="S1358" s="273"/>
      <c r="T1358" s="274"/>
      <c r="U1358" s="73" t="s">
        <v>109</v>
      </c>
      <c r="V1358" s="216">
        <v>46224</v>
      </c>
      <c r="W1358" s="118" t="s">
        <v>3280</v>
      </c>
      <c r="X1358" s="119" t="s">
        <v>188</v>
      </c>
      <c r="Y1358" s="120">
        <v>46227</v>
      </c>
      <c r="Z1358" s="120">
        <v>46231</v>
      </c>
      <c r="AA1358" s="244">
        <v>914701</v>
      </c>
      <c r="AB1358" s="241"/>
      <c r="AC1358" s="241"/>
      <c r="AD1358" s="244">
        <v>0</v>
      </c>
    </row>
    <row r="1359" spans="1:30" ht="15" customHeight="1">
      <c r="A1359" s="237">
        <v>31223</v>
      </c>
      <c r="B1359" s="121">
        <v>1</v>
      </c>
      <c r="C1359" s="238">
        <v>46219</v>
      </c>
      <c r="D1359" s="105">
        <f t="shared" ca="1" si="78"/>
        <v>8</v>
      </c>
      <c r="E1359" s="138" t="str">
        <f t="shared" ca="1" si="79"/>
        <v>ATENÇÃO</v>
      </c>
      <c r="F1359" s="230" t="s">
        <v>42</v>
      </c>
      <c r="G1359" s="147" t="s">
        <v>43</v>
      </c>
      <c r="H1359" s="117" t="s">
        <v>181</v>
      </c>
      <c r="I1359" s="117" t="str">
        <f>IF(X1359="ADMITIDO","ADMITIDO",IF(X1359="CANCELADA","CANCELADA",IF(H1359="","",IFERROR(_xlfn.XLOOKUP(H1359,Listas!I:I,Listas!J:J),"OUTROS"))))</f>
        <v>DOCUMENTAÇÃO</v>
      </c>
      <c r="J1359" s="240" t="s">
        <v>163</v>
      </c>
      <c r="K1359" s="240" t="s">
        <v>189</v>
      </c>
      <c r="L1359" s="240" t="s">
        <v>924</v>
      </c>
      <c r="M1359" s="240"/>
      <c r="N1359" s="240" t="s">
        <v>925</v>
      </c>
      <c r="O1359" s="119" t="s">
        <v>34</v>
      </c>
      <c r="P1359" s="119" t="s">
        <v>57</v>
      </c>
      <c r="Q1359" s="119" t="s">
        <v>2194</v>
      </c>
      <c r="R1359" s="273" t="s">
        <v>3281</v>
      </c>
      <c r="S1359" s="273" t="s">
        <v>1375</v>
      </c>
      <c r="T1359" s="274">
        <v>11970774535</v>
      </c>
      <c r="U1359" s="73" t="s">
        <v>50</v>
      </c>
      <c r="V1359" s="216">
        <v>46226</v>
      </c>
      <c r="W1359" s="118" t="s">
        <v>3282</v>
      </c>
      <c r="X1359" s="119" t="s">
        <v>284</v>
      </c>
      <c r="Y1359" s="120"/>
      <c r="Z1359" s="120"/>
      <c r="AA1359" s="244"/>
      <c r="AB1359" s="241" t="s">
        <v>3283</v>
      </c>
      <c r="AC1359" s="241"/>
      <c r="AD1359" s="244">
        <v>1</v>
      </c>
    </row>
    <row r="1360" spans="1:30" ht="15" customHeight="1">
      <c r="A1360" s="237">
        <v>31222</v>
      </c>
      <c r="B1360" s="121">
        <v>1</v>
      </c>
      <c r="C1360" s="238">
        <v>46219</v>
      </c>
      <c r="D1360" s="105">
        <f t="shared" ca="1" si="78"/>
        <v>8</v>
      </c>
      <c r="E1360" s="138" t="str">
        <f t="shared" si="79"/>
        <v>ADMITIDO</v>
      </c>
      <c r="F1360" s="230" t="s">
        <v>171</v>
      </c>
      <c r="G1360" s="147" t="s">
        <v>145</v>
      </c>
      <c r="H1360" s="117" t="s">
        <v>181</v>
      </c>
      <c r="I1360" s="117" t="str">
        <f>IF(X1360="ADMITIDO","ADMITIDO",IF(X1360="CANCELADA","CANCELADA",IF(H1360="","",IFERROR(_xlfn.XLOOKUP(H1360,Listas!I:I,Listas!J:J),"OUTROS"))))</f>
        <v>ADMITIDO</v>
      </c>
      <c r="J1360" s="240" t="s">
        <v>172</v>
      </c>
      <c r="K1360" s="240" t="s">
        <v>371</v>
      </c>
      <c r="L1360" s="240" t="s">
        <v>2499</v>
      </c>
      <c r="M1360" s="240"/>
      <c r="N1360" s="240" t="s">
        <v>391</v>
      </c>
      <c r="O1360" s="119" t="s">
        <v>34</v>
      </c>
      <c r="P1360" s="119" t="s">
        <v>35</v>
      </c>
      <c r="Q1360" s="119" t="s">
        <v>36</v>
      </c>
      <c r="R1360" s="273"/>
      <c r="S1360" s="273"/>
      <c r="T1360" s="274"/>
      <c r="U1360" s="73" t="s">
        <v>76</v>
      </c>
      <c r="V1360" s="216">
        <v>46220</v>
      </c>
      <c r="W1360" s="118" t="s">
        <v>3284</v>
      </c>
      <c r="X1360" s="119" t="s">
        <v>40</v>
      </c>
      <c r="Y1360" s="120">
        <v>23</v>
      </c>
      <c r="Z1360" s="120">
        <v>46227</v>
      </c>
      <c r="AA1360" s="244">
        <v>83395</v>
      </c>
      <c r="AB1360" s="241"/>
      <c r="AC1360" s="241"/>
      <c r="AD1360" s="244">
        <v>0</v>
      </c>
    </row>
    <row r="1361" spans="1:30" ht="15" customHeight="1">
      <c r="A1361" s="237">
        <v>31221</v>
      </c>
      <c r="B1361" s="121">
        <v>1</v>
      </c>
      <c r="C1361" s="238">
        <v>46219</v>
      </c>
      <c r="D1361" s="105">
        <f t="shared" ca="1" si="78"/>
        <v>8</v>
      </c>
      <c r="E1361" s="138" t="str">
        <f t="shared" ca="1" si="79"/>
        <v>ATENÇÃO</v>
      </c>
      <c r="F1361" s="230" t="s">
        <v>171</v>
      </c>
      <c r="G1361" s="147" t="s">
        <v>145</v>
      </c>
      <c r="H1361" s="117" t="s">
        <v>91</v>
      </c>
      <c r="I1361" s="117" t="str">
        <f>IF(X1361="ADMITIDO","ADMITIDO",IF(X1361="CANCELADA","CANCELADA",IF(H1361="","",IFERROR(_xlfn.XLOOKUP(H1361,Listas!I:I,Listas!J:J),"OUTROS"))))</f>
        <v>TRIAGEM</v>
      </c>
      <c r="J1361" s="240" t="s">
        <v>172</v>
      </c>
      <c r="K1361" s="240" t="s">
        <v>318</v>
      </c>
      <c r="L1361" s="240" t="s">
        <v>2499</v>
      </c>
      <c r="M1361" s="240"/>
      <c r="N1361" s="240" t="s">
        <v>391</v>
      </c>
      <c r="O1361" s="119" t="s">
        <v>56</v>
      </c>
      <c r="P1361" s="119" t="s">
        <v>35</v>
      </c>
      <c r="Q1361" s="119" t="s">
        <v>176</v>
      </c>
      <c r="R1361" s="273"/>
      <c r="S1361" s="273"/>
      <c r="T1361" s="274"/>
      <c r="U1361" s="73"/>
      <c r="V1361" s="216"/>
      <c r="W1361" s="118"/>
      <c r="X1361" s="119"/>
      <c r="Y1361" s="120"/>
      <c r="Z1361" s="120"/>
      <c r="AA1361" s="244"/>
      <c r="AB1361" s="118" t="s">
        <v>3285</v>
      </c>
      <c r="AC1361" s="241"/>
      <c r="AD1361" s="244">
        <v>1</v>
      </c>
    </row>
    <row r="1362" spans="1:30" ht="15" customHeight="1">
      <c r="A1362" s="237">
        <v>31217</v>
      </c>
      <c r="B1362" s="121">
        <v>1</v>
      </c>
      <c r="C1362" s="238">
        <v>46219</v>
      </c>
      <c r="D1362" s="105">
        <f t="shared" ca="1" si="78"/>
        <v>8</v>
      </c>
      <c r="E1362" s="138" t="str">
        <f t="shared" ca="1" si="79"/>
        <v>ATENÇÃO</v>
      </c>
      <c r="F1362" s="230" t="s">
        <v>28</v>
      </c>
      <c r="G1362" s="147" t="s">
        <v>240</v>
      </c>
      <c r="H1362" s="117" t="s">
        <v>259</v>
      </c>
      <c r="I1362" s="117" t="str">
        <f>IF(X1362="ADMITIDO","ADMITIDO",IF(X1362="CANCELADA","CANCELADA",IF(H1362="","",IFERROR(_xlfn.XLOOKUP(H1362,Listas!I:I,Listas!J:J),"OUTROS"))))</f>
        <v>TRIAGEM</v>
      </c>
      <c r="J1362" s="240" t="s">
        <v>268</v>
      </c>
      <c r="K1362" s="240" t="s">
        <v>423</v>
      </c>
      <c r="L1362" s="240" t="s">
        <v>62</v>
      </c>
      <c r="M1362" s="240"/>
      <c r="N1362" s="240" t="s">
        <v>63</v>
      </c>
      <c r="O1362" s="119" t="s">
        <v>34</v>
      </c>
      <c r="P1362" s="119" t="s">
        <v>35</v>
      </c>
      <c r="Q1362" s="119" t="s">
        <v>36</v>
      </c>
      <c r="R1362" s="273"/>
      <c r="S1362" s="273" t="s">
        <v>65</v>
      </c>
      <c r="T1362" s="274"/>
      <c r="U1362" s="73"/>
      <c r="V1362" s="216"/>
      <c r="W1362" s="118"/>
      <c r="X1362" s="119"/>
      <c r="Y1362" s="120"/>
      <c r="Z1362" s="120"/>
      <c r="AA1362" s="244"/>
      <c r="AB1362" s="241" t="s">
        <v>3286</v>
      </c>
      <c r="AC1362" s="241"/>
      <c r="AD1362" s="244">
        <v>1</v>
      </c>
    </row>
    <row r="1363" spans="1:30" ht="15" customHeight="1">
      <c r="A1363" s="237">
        <v>31224</v>
      </c>
      <c r="B1363" s="121">
        <v>1</v>
      </c>
      <c r="C1363" s="238">
        <v>46219</v>
      </c>
      <c r="D1363" s="105">
        <f t="shared" ca="1" si="78"/>
        <v>8</v>
      </c>
      <c r="E1363" s="138" t="str">
        <f t="shared" ca="1" si="79"/>
        <v>ATENÇÃO</v>
      </c>
      <c r="F1363" s="230" t="s">
        <v>171</v>
      </c>
      <c r="G1363" s="147" t="s">
        <v>29</v>
      </c>
      <c r="H1363" s="117" t="s">
        <v>181</v>
      </c>
      <c r="I1363" s="117" t="str">
        <f>IF(X1363="ADMITIDO","ADMITIDO",IF(X1363="CANCELADA","CANCELADA",IF(H1363="","",IFERROR(_xlfn.XLOOKUP(H1363,Listas!I:I,Listas!J:J),"OUTROS"))))</f>
        <v>DOCUMENTAÇÃO</v>
      </c>
      <c r="J1363" s="240" t="s">
        <v>172</v>
      </c>
      <c r="K1363" s="240" t="s">
        <v>2951</v>
      </c>
      <c r="L1363" s="240" t="s">
        <v>741</v>
      </c>
      <c r="M1363" s="240"/>
      <c r="N1363" s="240" t="s">
        <v>88</v>
      </c>
      <c r="O1363" s="119" t="s">
        <v>34</v>
      </c>
      <c r="P1363" s="119" t="s">
        <v>35</v>
      </c>
      <c r="Q1363" s="119" t="s">
        <v>3003</v>
      </c>
      <c r="R1363" s="273"/>
      <c r="S1363" s="273"/>
      <c r="T1363" s="274" t="s">
        <v>3287</v>
      </c>
      <c r="U1363" s="73" t="s">
        <v>38</v>
      </c>
      <c r="V1363" s="216" t="s">
        <v>3196</v>
      </c>
      <c r="W1363" s="58" t="s">
        <v>3288</v>
      </c>
      <c r="X1363" s="119" t="s">
        <v>188</v>
      </c>
      <c r="Y1363" s="120">
        <v>46227</v>
      </c>
      <c r="Z1363" s="120">
        <v>46228</v>
      </c>
      <c r="AA1363" s="244">
        <v>83394</v>
      </c>
      <c r="AB1363" s="241"/>
      <c r="AC1363" s="241"/>
      <c r="AD1363" s="244">
        <v>0</v>
      </c>
    </row>
    <row r="1364" spans="1:30" ht="15" customHeight="1">
      <c r="A1364" s="237">
        <v>31242</v>
      </c>
      <c r="B1364" s="121">
        <v>1</v>
      </c>
      <c r="C1364" s="238">
        <v>46220</v>
      </c>
      <c r="D1364" s="105">
        <f t="shared" ref="D1364:D1374" ca="1" si="80">TODAY()-C1364</f>
        <v>7</v>
      </c>
      <c r="E1364" s="138" t="str">
        <f t="shared" ref="E1364:E1374" ca="1" si="81">IF(X1364="ADMITIDO","ADMITIDO",IF(X1364="CANCELADA","CANCELADA",IF(H1364="","",IF(H1364="ADMITIDO","ADMITIDO",IF(H1364="CANCELADA","CANCELADA",IF(OR(H1364="ANALISE CANCELAMENTO",H1364="ANÁLISE CANCELAMENTO"),"EM ANÁLISE",IF(D1364="","",IF(D1364&lt;=7,"NO PRAZO",IF(D1364&lt;=14,"ATENÇÃO","CRÍTICO")))))))))</f>
        <v>NO PRAZO</v>
      </c>
      <c r="F1364" s="230" t="s">
        <v>28</v>
      </c>
      <c r="G1364" s="147" t="s">
        <v>43</v>
      </c>
      <c r="H1364" s="117" t="s">
        <v>181</v>
      </c>
      <c r="I1364" s="117" t="str">
        <f>IF(X1364="ADMITIDO","ADMITIDO",IF(X1364="CANCELADA","CANCELADA",IF(H1364="","",IFERROR(_xlfn.XLOOKUP(H1364,Listas!I:I,Listas!J:J),"OUTROS"))))</f>
        <v>DOCUMENTAÇÃO</v>
      </c>
      <c r="J1364" s="240" t="s">
        <v>146</v>
      </c>
      <c r="K1364" s="240" t="s">
        <v>335</v>
      </c>
      <c r="L1364" s="240" t="s">
        <v>788</v>
      </c>
      <c r="M1364" s="240"/>
      <c r="N1364" s="240" t="s">
        <v>337</v>
      </c>
      <c r="O1364" s="119" t="s">
        <v>56</v>
      </c>
      <c r="P1364" s="119" t="s">
        <v>35</v>
      </c>
      <c r="Q1364" s="119" t="s">
        <v>176</v>
      </c>
      <c r="R1364" s="273"/>
      <c r="S1364" s="273" t="s">
        <v>3115</v>
      </c>
      <c r="T1364" s="274">
        <v>15996202625</v>
      </c>
      <c r="U1364" s="73" t="s">
        <v>67</v>
      </c>
      <c r="V1364" s="216">
        <v>46223</v>
      </c>
      <c r="W1364" s="118" t="s">
        <v>3289</v>
      </c>
      <c r="X1364" s="119" t="s">
        <v>284</v>
      </c>
      <c r="Y1364" s="120"/>
      <c r="Z1364" s="120"/>
      <c r="AA1364" s="244"/>
      <c r="AB1364" s="241"/>
      <c r="AC1364" s="241"/>
      <c r="AD1364" s="244">
        <v>0</v>
      </c>
    </row>
    <row r="1365" spans="1:30" ht="15" customHeight="1">
      <c r="A1365" s="237">
        <v>31248</v>
      </c>
      <c r="B1365" s="121">
        <v>1</v>
      </c>
      <c r="C1365" s="238">
        <v>46220</v>
      </c>
      <c r="D1365" s="105">
        <f t="shared" ca="1" si="80"/>
        <v>7</v>
      </c>
      <c r="E1365" s="138" t="str">
        <f t="shared" ca="1" si="81"/>
        <v>NO PRAZO</v>
      </c>
      <c r="F1365" s="230" t="s">
        <v>42</v>
      </c>
      <c r="G1365" s="147" t="s">
        <v>240</v>
      </c>
      <c r="H1365" s="117" t="s">
        <v>91</v>
      </c>
      <c r="I1365" s="117" t="str">
        <f>IF(X1365="ADMITIDO","ADMITIDO",IF(X1365="CANCELADA","CANCELADA",IF(H1365="","",IFERROR(_xlfn.XLOOKUP(H1365,Listas!I:I,Listas!J:J),"OUTROS"))))</f>
        <v>TRIAGEM</v>
      </c>
      <c r="J1365" s="240" t="s">
        <v>53</v>
      </c>
      <c r="K1365" s="240" t="s">
        <v>241</v>
      </c>
      <c r="L1365" s="240" t="s">
        <v>1715</v>
      </c>
      <c r="M1365" s="240"/>
      <c r="N1365" s="240" t="s">
        <v>243</v>
      </c>
      <c r="O1365" s="119" t="s">
        <v>34</v>
      </c>
      <c r="P1365" s="119" t="s">
        <v>48</v>
      </c>
      <c r="Q1365" s="119" t="s">
        <v>49</v>
      </c>
      <c r="R1365" s="273"/>
      <c r="S1365" s="273"/>
      <c r="T1365" s="274"/>
      <c r="U1365" s="73"/>
      <c r="V1365" s="216"/>
      <c r="W1365" s="118"/>
      <c r="X1365" s="119"/>
      <c r="Y1365" s="120"/>
      <c r="Z1365" s="120"/>
      <c r="AA1365" s="244"/>
      <c r="AB1365" s="241"/>
      <c r="AC1365" s="241"/>
      <c r="AD1365" s="244">
        <v>0</v>
      </c>
    </row>
    <row r="1366" spans="1:30" ht="15" customHeight="1">
      <c r="A1366" s="237">
        <v>31243</v>
      </c>
      <c r="B1366" s="121">
        <v>1</v>
      </c>
      <c r="C1366" s="238">
        <v>46220</v>
      </c>
      <c r="D1366" s="105">
        <f t="shared" ca="1" si="80"/>
        <v>7</v>
      </c>
      <c r="E1366" s="138" t="str">
        <f t="shared" ca="1" si="81"/>
        <v>NO PRAZO</v>
      </c>
      <c r="F1366" s="230" t="s">
        <v>42</v>
      </c>
      <c r="G1366" s="147" t="s">
        <v>29</v>
      </c>
      <c r="H1366" s="117" t="s">
        <v>181</v>
      </c>
      <c r="I1366" s="117" t="str">
        <f>IF(X1366="ADMITIDO","ADMITIDO",IF(X1366="CANCELADA","CANCELADA",IF(H1366="","",IFERROR(_xlfn.XLOOKUP(H1366,Listas!I:I,Listas!J:J),"OUTROS"))))</f>
        <v>DOCUMENTAÇÃO</v>
      </c>
      <c r="J1366" s="240" t="s">
        <v>53</v>
      </c>
      <c r="K1366" s="240" t="s">
        <v>54</v>
      </c>
      <c r="L1366" s="240" t="s">
        <v>164</v>
      </c>
      <c r="M1366" s="240"/>
      <c r="N1366" s="240" t="s">
        <v>88</v>
      </c>
      <c r="O1366" s="119" t="s">
        <v>34</v>
      </c>
      <c r="P1366" s="119" t="s">
        <v>57</v>
      </c>
      <c r="Q1366" s="119" t="s">
        <v>231</v>
      </c>
      <c r="R1366" s="273"/>
      <c r="S1366" s="273"/>
      <c r="T1366" s="274" t="s">
        <v>3290</v>
      </c>
      <c r="U1366" s="73" t="s">
        <v>38</v>
      </c>
      <c r="V1366" s="216" t="s">
        <v>3291</v>
      </c>
      <c r="W1366" s="118" t="s">
        <v>3292</v>
      </c>
      <c r="X1366" s="119"/>
      <c r="Y1366" s="120"/>
      <c r="Z1366" s="120"/>
      <c r="AA1366" s="244"/>
      <c r="AB1366" s="241"/>
      <c r="AC1366" s="241"/>
      <c r="AD1366" s="244">
        <v>0</v>
      </c>
    </row>
    <row r="1367" spans="1:30" ht="15" customHeight="1">
      <c r="A1367" s="237">
        <v>31244</v>
      </c>
      <c r="B1367" s="121">
        <v>1</v>
      </c>
      <c r="C1367" s="238">
        <v>46220</v>
      </c>
      <c r="D1367" s="105">
        <f t="shared" ca="1" si="80"/>
        <v>7</v>
      </c>
      <c r="E1367" s="138" t="str">
        <f t="shared" ca="1" si="81"/>
        <v>NO PRAZO</v>
      </c>
      <c r="F1367" s="230" t="s">
        <v>42</v>
      </c>
      <c r="G1367" s="147" t="s">
        <v>29</v>
      </c>
      <c r="H1367" s="117" t="s">
        <v>181</v>
      </c>
      <c r="I1367" s="117" t="str">
        <f>IF(X1367="ADMITIDO","ADMITIDO",IF(X1367="CANCELADA","CANCELADA",IF(H1367="","",IFERROR(_xlfn.XLOOKUP(H1367,Listas!I:I,Listas!J:J),"OUTROS"))))</f>
        <v>DOCUMENTAÇÃO</v>
      </c>
      <c r="J1367" s="240" t="s">
        <v>53</v>
      </c>
      <c r="K1367" s="240" t="s">
        <v>54</v>
      </c>
      <c r="L1367" s="240" t="s">
        <v>164</v>
      </c>
      <c r="M1367" s="240"/>
      <c r="N1367" s="240" t="s">
        <v>88</v>
      </c>
      <c r="O1367" s="119" t="s">
        <v>34</v>
      </c>
      <c r="P1367" s="119" t="s">
        <v>57</v>
      </c>
      <c r="Q1367" s="119" t="s">
        <v>231</v>
      </c>
      <c r="R1367" s="273"/>
      <c r="S1367" s="273"/>
      <c r="T1367" s="274" t="s">
        <v>3293</v>
      </c>
      <c r="U1367" s="73" t="s">
        <v>38</v>
      </c>
      <c r="V1367" s="216" t="s">
        <v>3294</v>
      </c>
      <c r="W1367" s="118" t="s">
        <v>3295</v>
      </c>
      <c r="X1367" s="119"/>
      <c r="Y1367" s="120"/>
      <c r="Z1367" s="120"/>
      <c r="AA1367" s="244"/>
      <c r="AB1367" s="241"/>
      <c r="AC1367" s="241"/>
      <c r="AD1367" s="244">
        <v>0</v>
      </c>
    </row>
    <row r="1368" spans="1:30" ht="15" customHeight="1">
      <c r="A1368" s="237">
        <v>31245</v>
      </c>
      <c r="B1368" s="121">
        <v>1</v>
      </c>
      <c r="C1368" s="238">
        <v>46220</v>
      </c>
      <c r="D1368" s="105">
        <f t="shared" ca="1" si="80"/>
        <v>7</v>
      </c>
      <c r="E1368" s="138" t="str">
        <f t="shared" ca="1" si="81"/>
        <v>NO PRAZO</v>
      </c>
      <c r="F1368" s="230" t="s">
        <v>42</v>
      </c>
      <c r="G1368" s="147" t="s">
        <v>29</v>
      </c>
      <c r="H1368" s="117" t="s">
        <v>181</v>
      </c>
      <c r="I1368" s="117" t="str">
        <f>IF(X1368="ADMITIDO","ADMITIDO",IF(X1368="CANCELADA","CANCELADA",IF(H1368="","",IFERROR(_xlfn.XLOOKUP(H1368,Listas!I:I,Listas!J:J),"OUTROS"))))</f>
        <v>DOCUMENTAÇÃO</v>
      </c>
      <c r="J1368" s="240" t="s">
        <v>53</v>
      </c>
      <c r="K1368" s="240" t="s">
        <v>54</v>
      </c>
      <c r="L1368" s="240" t="s">
        <v>164</v>
      </c>
      <c r="M1368" s="240"/>
      <c r="N1368" s="240" t="s">
        <v>88</v>
      </c>
      <c r="O1368" s="119" t="s">
        <v>34</v>
      </c>
      <c r="P1368" s="119" t="s">
        <v>57</v>
      </c>
      <c r="Q1368" s="119" t="s">
        <v>231</v>
      </c>
      <c r="R1368" s="273"/>
      <c r="S1368" s="273"/>
      <c r="T1368" s="274" t="s">
        <v>3296</v>
      </c>
      <c r="U1368" s="73" t="s">
        <v>38</v>
      </c>
      <c r="V1368" s="216" t="s">
        <v>3294</v>
      </c>
      <c r="W1368" s="118" t="s">
        <v>3297</v>
      </c>
      <c r="X1368" s="119"/>
      <c r="Y1368" s="120"/>
      <c r="Z1368" s="120"/>
      <c r="AA1368" s="244"/>
      <c r="AB1368" s="241"/>
      <c r="AC1368" s="241"/>
      <c r="AD1368" s="244">
        <v>0</v>
      </c>
    </row>
    <row r="1369" spans="1:30" ht="15" customHeight="1">
      <c r="A1369" s="237">
        <v>31246</v>
      </c>
      <c r="B1369" s="121">
        <v>1</v>
      </c>
      <c r="C1369" s="238">
        <v>46220</v>
      </c>
      <c r="D1369" s="105">
        <f t="shared" ca="1" si="80"/>
        <v>7</v>
      </c>
      <c r="E1369" s="138" t="str">
        <f t="shared" ca="1" si="81"/>
        <v>NO PRAZO</v>
      </c>
      <c r="F1369" s="230" t="s">
        <v>42</v>
      </c>
      <c r="G1369" s="147" t="s">
        <v>663</v>
      </c>
      <c r="H1369" s="117" t="s">
        <v>181</v>
      </c>
      <c r="I1369" s="117" t="str">
        <f>IF(X1369="ADMITIDO","ADMITIDO",IF(X1369="CANCELADA","CANCELADA",IF(H1369="","",IFERROR(_xlfn.XLOOKUP(H1369,Listas!I:I,Listas!J:J),"OUTROS"))))</f>
        <v>DOCUMENTAÇÃO</v>
      </c>
      <c r="J1369" s="240" t="s">
        <v>53</v>
      </c>
      <c r="K1369" s="240" t="s">
        <v>54</v>
      </c>
      <c r="L1369" s="240" t="s">
        <v>164</v>
      </c>
      <c r="M1369" s="240"/>
      <c r="N1369" s="240" t="s">
        <v>88</v>
      </c>
      <c r="O1369" s="119" t="s">
        <v>34</v>
      </c>
      <c r="P1369" s="119" t="s">
        <v>57</v>
      </c>
      <c r="Q1369" s="119" t="s">
        <v>231</v>
      </c>
      <c r="R1369" s="273"/>
      <c r="S1369" s="273"/>
      <c r="T1369" s="274" t="s">
        <v>3298</v>
      </c>
      <c r="U1369" s="73" t="s">
        <v>38</v>
      </c>
      <c r="V1369" s="216" t="s">
        <v>2220</v>
      </c>
      <c r="W1369" s="118" t="s">
        <v>3299</v>
      </c>
      <c r="X1369" s="119" t="s">
        <v>188</v>
      </c>
      <c r="Y1369" s="120"/>
      <c r="Z1369" s="120"/>
      <c r="AA1369" s="244"/>
      <c r="AB1369" s="241"/>
      <c r="AC1369" s="241"/>
      <c r="AD1369" s="244">
        <v>0</v>
      </c>
    </row>
    <row r="1370" spans="1:30" ht="15" customHeight="1">
      <c r="A1370" s="237">
        <v>31247</v>
      </c>
      <c r="B1370" s="121">
        <v>1</v>
      </c>
      <c r="C1370" s="238">
        <v>46220</v>
      </c>
      <c r="D1370" s="105">
        <f t="shared" ca="1" si="80"/>
        <v>7</v>
      </c>
      <c r="E1370" s="138" t="str">
        <f t="shared" ca="1" si="81"/>
        <v>NO PRAZO</v>
      </c>
      <c r="F1370" s="230" t="s">
        <v>42</v>
      </c>
      <c r="G1370" s="147" t="s">
        <v>29</v>
      </c>
      <c r="H1370" s="117" t="s">
        <v>259</v>
      </c>
      <c r="I1370" s="117" t="str">
        <f>IF(X1370="ADMITIDO","ADMITIDO",IF(X1370="CANCELADA","CANCELADA",IF(H1370="","",IFERROR(_xlfn.XLOOKUP(H1370,Listas!I:I,Listas!J:J),"OUTROS"))))</f>
        <v>TRIAGEM</v>
      </c>
      <c r="J1370" s="240" t="s">
        <v>163</v>
      </c>
      <c r="K1370" s="240" t="s">
        <v>54</v>
      </c>
      <c r="L1370" s="240" t="s">
        <v>164</v>
      </c>
      <c r="M1370" s="240"/>
      <c r="N1370" s="240" t="s">
        <v>88</v>
      </c>
      <c r="O1370" s="119" t="s">
        <v>56</v>
      </c>
      <c r="P1370" s="119" t="s">
        <v>2012</v>
      </c>
      <c r="Q1370" s="119" t="s">
        <v>165</v>
      </c>
      <c r="R1370" s="273"/>
      <c r="S1370" s="273"/>
      <c r="T1370" s="274"/>
      <c r="U1370" s="73"/>
      <c r="V1370" s="216"/>
      <c r="W1370" s="118"/>
      <c r="X1370" s="119"/>
      <c r="Y1370" s="120"/>
      <c r="Z1370" s="120"/>
      <c r="AA1370" s="244"/>
      <c r="AB1370" s="241" t="s">
        <v>3300</v>
      </c>
      <c r="AC1370" s="241"/>
      <c r="AD1370" s="244">
        <v>1</v>
      </c>
    </row>
    <row r="1371" spans="1:30" ht="15" customHeight="1">
      <c r="A1371" s="237">
        <v>31241</v>
      </c>
      <c r="B1371" s="121">
        <v>1</v>
      </c>
      <c r="C1371" s="238">
        <v>46220</v>
      </c>
      <c r="D1371" s="105">
        <f t="shared" ca="1" si="80"/>
        <v>7</v>
      </c>
      <c r="E1371" s="138" t="str">
        <f t="shared" ca="1" si="81"/>
        <v>NO PRAZO</v>
      </c>
      <c r="F1371" s="230" t="s">
        <v>42</v>
      </c>
      <c r="G1371" s="147" t="s">
        <v>240</v>
      </c>
      <c r="H1371" s="117" t="s">
        <v>91</v>
      </c>
      <c r="I1371" s="117" t="str">
        <f>IF(X1371="ADMITIDO","ADMITIDO",IF(X1371="CANCELADA","CANCELADA",IF(H1371="","",IFERROR(_xlfn.XLOOKUP(H1371,Listas!I:I,Listas!J:J),"OUTROS"))))</f>
        <v>TRIAGEM</v>
      </c>
      <c r="J1371" s="240" t="s">
        <v>53</v>
      </c>
      <c r="K1371" s="240" t="s">
        <v>241</v>
      </c>
      <c r="L1371" s="240" t="s">
        <v>312</v>
      </c>
      <c r="M1371" s="240"/>
      <c r="N1371" s="240" t="s">
        <v>243</v>
      </c>
      <c r="O1371" s="119" t="s">
        <v>34</v>
      </c>
      <c r="P1371" s="119" t="s">
        <v>57</v>
      </c>
      <c r="Q1371" s="119" t="s">
        <v>3267</v>
      </c>
      <c r="R1371" s="273"/>
      <c r="S1371" s="273"/>
      <c r="T1371" s="274"/>
      <c r="U1371" s="73"/>
      <c r="V1371" s="216"/>
      <c r="W1371" s="118"/>
      <c r="X1371" s="119"/>
      <c r="Y1371" s="120"/>
      <c r="Z1371" s="120"/>
      <c r="AA1371" s="244"/>
      <c r="AB1371" s="241"/>
      <c r="AC1371" s="241"/>
      <c r="AD1371" s="244">
        <v>0</v>
      </c>
    </row>
    <row r="1372" spans="1:30" ht="15" customHeight="1">
      <c r="A1372" s="237">
        <v>31239</v>
      </c>
      <c r="B1372" s="121">
        <v>1</v>
      </c>
      <c r="C1372" s="238">
        <v>46220</v>
      </c>
      <c r="D1372" s="105">
        <f t="shared" ca="1" si="80"/>
        <v>7</v>
      </c>
      <c r="E1372" s="138" t="str">
        <f t="shared" ca="1" si="81"/>
        <v>NO PRAZO</v>
      </c>
      <c r="F1372" s="230" t="s">
        <v>28</v>
      </c>
      <c r="G1372" s="147" t="s">
        <v>663</v>
      </c>
      <c r="H1372" s="117" t="s">
        <v>181</v>
      </c>
      <c r="I1372" s="117" t="str">
        <f>IF(X1372="ADMITIDO","ADMITIDO",IF(X1372="CANCELADA","CANCELADA",IF(H1372="","",IFERROR(_xlfn.XLOOKUP(H1372,Listas!I:I,Listas!J:J),"OUTROS"))))</f>
        <v>DOCUMENTAÇÃO</v>
      </c>
      <c r="J1372" s="240" t="s">
        <v>268</v>
      </c>
      <c r="K1372" s="240" t="s">
        <v>614</v>
      </c>
      <c r="L1372" s="240" t="s">
        <v>3144</v>
      </c>
      <c r="M1372" s="240"/>
      <c r="N1372" s="240" t="s">
        <v>3145</v>
      </c>
      <c r="O1372" s="119" t="s">
        <v>56</v>
      </c>
      <c r="P1372" s="119" t="s">
        <v>35</v>
      </c>
      <c r="Q1372" s="119" t="s">
        <v>176</v>
      </c>
      <c r="R1372" s="273"/>
      <c r="S1372" s="273"/>
      <c r="T1372" s="274"/>
      <c r="U1372" s="73" t="s">
        <v>38</v>
      </c>
      <c r="V1372" s="216" t="s">
        <v>2620</v>
      </c>
      <c r="W1372" s="598" t="s">
        <v>3301</v>
      </c>
      <c r="X1372" s="119" t="s">
        <v>188</v>
      </c>
      <c r="Y1372" s="120">
        <v>46227</v>
      </c>
      <c r="Z1372" s="120">
        <v>46228</v>
      </c>
      <c r="AA1372" s="244">
        <v>914696</v>
      </c>
      <c r="AB1372" s="241"/>
      <c r="AC1372" s="241"/>
      <c r="AD1372" s="244">
        <v>0</v>
      </c>
    </row>
    <row r="1373" spans="1:30" ht="15" customHeight="1">
      <c r="A1373" s="237">
        <v>31238</v>
      </c>
      <c r="B1373" s="121">
        <v>1</v>
      </c>
      <c r="C1373" s="238">
        <v>46220</v>
      </c>
      <c r="D1373" s="105">
        <f t="shared" ca="1" si="80"/>
        <v>7</v>
      </c>
      <c r="E1373" s="138" t="str">
        <f t="shared" ca="1" si="81"/>
        <v>NO PRAZO</v>
      </c>
      <c r="F1373" s="230" t="s">
        <v>28</v>
      </c>
      <c r="G1373" s="147" t="s">
        <v>102</v>
      </c>
      <c r="H1373" s="117" t="s">
        <v>259</v>
      </c>
      <c r="I1373" s="117" t="str">
        <f>IF(X1373="ADMITIDO","ADMITIDO",IF(X1373="CANCELADA","CANCELADA",IF(H1373="","",IFERROR(_xlfn.XLOOKUP(H1373,Listas!I:I,Listas!J:J),"OUTROS"))))</f>
        <v>TRIAGEM</v>
      </c>
      <c r="J1373" s="240" t="s">
        <v>586</v>
      </c>
      <c r="K1373" s="240" t="s">
        <v>371</v>
      </c>
      <c r="L1373" s="240" t="s">
        <v>2683</v>
      </c>
      <c r="M1373" s="240"/>
      <c r="N1373" s="240" t="s">
        <v>391</v>
      </c>
      <c r="O1373" s="119" t="s">
        <v>34</v>
      </c>
      <c r="P1373" s="119" t="s">
        <v>35</v>
      </c>
      <c r="Q1373" s="119" t="s">
        <v>36</v>
      </c>
      <c r="R1373" s="273"/>
      <c r="S1373" s="273"/>
      <c r="T1373" s="274"/>
      <c r="U1373" s="73"/>
      <c r="V1373" s="216"/>
      <c r="W1373" s="118"/>
      <c r="X1373" s="119"/>
      <c r="Y1373" s="120"/>
      <c r="Z1373" s="120"/>
      <c r="AA1373" s="244"/>
      <c r="AB1373" s="241" t="s">
        <v>3302</v>
      </c>
      <c r="AC1373" s="241"/>
      <c r="AD1373" s="244">
        <v>1</v>
      </c>
    </row>
    <row r="1374" spans="1:30" ht="15" customHeight="1">
      <c r="A1374" s="237">
        <v>31231</v>
      </c>
      <c r="B1374" s="121">
        <v>1</v>
      </c>
      <c r="C1374" s="238">
        <v>46220</v>
      </c>
      <c r="D1374" s="105">
        <f t="shared" ca="1" si="80"/>
        <v>7</v>
      </c>
      <c r="E1374" s="138" t="str">
        <f t="shared" si="81"/>
        <v>ADMITIDO</v>
      </c>
      <c r="F1374" s="230" t="s">
        <v>28</v>
      </c>
      <c r="G1374" s="147" t="s">
        <v>102</v>
      </c>
      <c r="H1374" s="117" t="s">
        <v>181</v>
      </c>
      <c r="I1374" s="117" t="str">
        <f>IF(X1374="ADMITIDO","ADMITIDO",IF(X1374="CANCELADA","CANCELADA",IF(H1374="","",IFERROR(_xlfn.XLOOKUP(H1374,Listas!I:I,Listas!J:J),"OUTROS"))))</f>
        <v>ADMITIDO</v>
      </c>
      <c r="J1374" s="240" t="s">
        <v>268</v>
      </c>
      <c r="K1374" s="240" t="s">
        <v>371</v>
      </c>
      <c r="L1374" s="240" t="s">
        <v>3303</v>
      </c>
      <c r="M1374" s="240"/>
      <c r="N1374" s="240" t="s">
        <v>391</v>
      </c>
      <c r="O1374" s="119" t="s">
        <v>34</v>
      </c>
      <c r="P1374" s="119" t="s">
        <v>35</v>
      </c>
      <c r="Q1374" s="119" t="s">
        <v>36</v>
      </c>
      <c r="R1374" s="273"/>
      <c r="S1374" s="273"/>
      <c r="T1374" s="274"/>
      <c r="U1374" s="73" t="s">
        <v>76</v>
      </c>
      <c r="V1374" s="216">
        <v>46223</v>
      </c>
      <c r="W1374" s="118" t="s">
        <v>3304</v>
      </c>
      <c r="X1374" s="119" t="s">
        <v>40</v>
      </c>
      <c r="Y1374" s="120">
        <v>46225</v>
      </c>
      <c r="Z1374" s="120">
        <v>46226</v>
      </c>
      <c r="AA1374" s="244">
        <v>914667</v>
      </c>
      <c r="AB1374" s="241"/>
      <c r="AC1374" s="241"/>
      <c r="AD1374" s="244">
        <v>0</v>
      </c>
    </row>
    <row r="1375" spans="1:30" ht="15" customHeight="1">
      <c r="A1375" s="237">
        <v>31249</v>
      </c>
      <c r="B1375" s="121">
        <v>1</v>
      </c>
      <c r="C1375" s="238">
        <v>46223</v>
      </c>
      <c r="D1375" s="105">
        <f t="shared" ref="D1375:D1385" ca="1" si="82">TODAY()-C1375</f>
        <v>4</v>
      </c>
      <c r="E1375" s="138" t="str">
        <f t="shared" ref="E1375:E1385" ca="1" si="83">IF(X1375="ADMITIDO","ADMITIDO",IF(X1375="CANCELADA","CANCELADA",IF(H1375="","",IF(H1375="ADMITIDO","ADMITIDO",IF(H1375="CANCELADA","CANCELADA",IF(OR(H1375="ANALISE CANCELAMENTO",H1375="ANÁLISE CANCELAMENTO"),"EM ANÁLISE",IF(D1375="","",IF(D1375&lt;=7,"NO PRAZO",IF(D1375&lt;=14,"ATENÇÃO","CRÍTICO")))))))))</f>
        <v>NO PRAZO</v>
      </c>
      <c r="F1375" s="230" t="s">
        <v>28</v>
      </c>
      <c r="G1375" s="147" t="s">
        <v>60</v>
      </c>
      <c r="H1375" s="117" t="s">
        <v>259</v>
      </c>
      <c r="I1375" s="117" t="str">
        <f>IF(X1375="ADMITIDO","ADMITIDO",IF(X1375="CANCELADA","CANCELADA",IF(H1375="","",IFERROR(_xlfn.XLOOKUP(H1375,Listas!I:I,Listas!J:J),"OUTROS"))))</f>
        <v>TRIAGEM</v>
      </c>
      <c r="J1375" s="240" t="s">
        <v>616</v>
      </c>
      <c r="K1375" s="240" t="s">
        <v>330</v>
      </c>
      <c r="L1375" s="240" t="s">
        <v>996</v>
      </c>
      <c r="M1375" s="240"/>
      <c r="N1375" s="240" t="s">
        <v>63</v>
      </c>
      <c r="O1375" s="119" t="s">
        <v>34</v>
      </c>
      <c r="P1375" s="119" t="s">
        <v>35</v>
      </c>
      <c r="Q1375" s="119" t="s">
        <v>36</v>
      </c>
      <c r="R1375" s="273"/>
      <c r="S1375" s="273"/>
      <c r="T1375" s="274" t="s">
        <v>3305</v>
      </c>
      <c r="U1375" s="73"/>
      <c r="V1375" s="216"/>
      <c r="W1375" s="118"/>
      <c r="X1375" s="119"/>
      <c r="Y1375" s="120"/>
      <c r="Z1375" s="120"/>
      <c r="AA1375" s="244"/>
      <c r="AB1375" s="241" t="s">
        <v>3306</v>
      </c>
      <c r="AC1375" s="241"/>
      <c r="AD1375" s="244">
        <v>1</v>
      </c>
    </row>
    <row r="1376" spans="1:30" ht="15" customHeight="1">
      <c r="A1376" s="237">
        <v>31250</v>
      </c>
      <c r="B1376" s="121">
        <v>1</v>
      </c>
      <c r="C1376" s="238">
        <v>46223</v>
      </c>
      <c r="D1376" s="105">
        <f t="shared" ca="1" si="82"/>
        <v>4</v>
      </c>
      <c r="E1376" s="138" t="str">
        <f t="shared" ca="1" si="83"/>
        <v>NO PRAZO</v>
      </c>
      <c r="F1376" s="230" t="s">
        <v>28</v>
      </c>
      <c r="G1376" s="147" t="s">
        <v>60</v>
      </c>
      <c r="H1376" s="117" t="s">
        <v>91</v>
      </c>
      <c r="I1376" s="117" t="str">
        <f>IF(X1376="ADMITIDO","ADMITIDO",IF(X1376="CANCELADA","CANCELADA",IF(H1376="","",IFERROR(_xlfn.XLOOKUP(H1376,Listas!I:I,Listas!J:J),"OUTROS"))))</f>
        <v>TRIAGEM</v>
      </c>
      <c r="J1376" s="240" t="s">
        <v>616</v>
      </c>
      <c r="K1376" s="240" t="s">
        <v>330</v>
      </c>
      <c r="L1376" s="240" t="s">
        <v>996</v>
      </c>
      <c r="M1376" s="240"/>
      <c r="N1376" s="240" t="s">
        <v>63</v>
      </c>
      <c r="O1376" s="119" t="s">
        <v>34</v>
      </c>
      <c r="P1376" s="119" t="s">
        <v>35</v>
      </c>
      <c r="Q1376" s="119" t="s">
        <v>36</v>
      </c>
      <c r="R1376" s="273"/>
      <c r="S1376" s="273"/>
      <c r="T1376" s="274"/>
      <c r="U1376" s="73"/>
      <c r="V1376" s="216"/>
      <c r="W1376" s="118"/>
      <c r="X1376" s="119"/>
      <c r="Y1376" s="120"/>
      <c r="Z1376" s="120"/>
      <c r="AA1376" s="244"/>
      <c r="AB1376" s="241"/>
      <c r="AC1376" s="241"/>
      <c r="AD1376" s="244">
        <v>0</v>
      </c>
    </row>
    <row r="1377" spans="1:30" ht="15" customHeight="1">
      <c r="A1377" s="237">
        <v>31261</v>
      </c>
      <c r="B1377" s="121">
        <v>1</v>
      </c>
      <c r="C1377" s="238">
        <v>46223</v>
      </c>
      <c r="D1377" s="105">
        <f t="shared" ca="1" si="82"/>
        <v>4</v>
      </c>
      <c r="E1377" s="138" t="str">
        <f t="shared" ca="1" si="83"/>
        <v>NO PRAZO</v>
      </c>
      <c r="F1377" s="230" t="s">
        <v>42</v>
      </c>
      <c r="G1377" s="147" t="s">
        <v>240</v>
      </c>
      <c r="H1377" s="117" t="s">
        <v>181</v>
      </c>
      <c r="I1377" s="117" t="str">
        <f>IF(X1377="ADMITIDO","ADMITIDO",IF(X1377="CANCELADA","CANCELADA",IF(H1377="","",IFERROR(_xlfn.XLOOKUP(H1377,Listas!I:I,Listas!J:J),"OUTROS"))))</f>
        <v>DOCUMENTAÇÃO</v>
      </c>
      <c r="J1377" s="240" t="s">
        <v>53</v>
      </c>
      <c r="K1377" s="240" t="s">
        <v>241</v>
      </c>
      <c r="L1377" s="240" t="s">
        <v>958</v>
      </c>
      <c r="M1377" s="240"/>
      <c r="N1377" s="240" t="s">
        <v>243</v>
      </c>
      <c r="O1377" s="119" t="s">
        <v>34</v>
      </c>
      <c r="P1377" s="119" t="s">
        <v>48</v>
      </c>
      <c r="Q1377" s="119" t="s">
        <v>959</v>
      </c>
      <c r="R1377" s="273"/>
      <c r="S1377" s="273" t="s">
        <v>1438</v>
      </c>
      <c r="T1377" s="274"/>
      <c r="U1377" s="73" t="s">
        <v>109</v>
      </c>
      <c r="V1377" s="216">
        <v>46225</v>
      </c>
      <c r="W1377" s="118" t="s">
        <v>3307</v>
      </c>
      <c r="X1377" s="119" t="s">
        <v>188</v>
      </c>
      <c r="Y1377" s="120">
        <v>46227</v>
      </c>
      <c r="Z1377" s="120">
        <v>46231</v>
      </c>
      <c r="AA1377" s="244">
        <v>914711</v>
      </c>
      <c r="AB1377" s="241"/>
      <c r="AC1377" s="241"/>
      <c r="AD1377" s="244">
        <v>0</v>
      </c>
    </row>
    <row r="1378" spans="1:30" ht="15" customHeight="1">
      <c r="A1378" s="237">
        <v>31251</v>
      </c>
      <c r="B1378" s="121">
        <v>1</v>
      </c>
      <c r="C1378" s="238">
        <v>46223</v>
      </c>
      <c r="D1378" s="105">
        <f t="shared" ca="1" si="82"/>
        <v>4</v>
      </c>
      <c r="E1378" s="138" t="str">
        <f t="shared" ca="1" si="83"/>
        <v>NO PRAZO</v>
      </c>
      <c r="F1378" s="230" t="s">
        <v>42</v>
      </c>
      <c r="G1378" s="147" t="s">
        <v>240</v>
      </c>
      <c r="H1378" s="117" t="s">
        <v>91</v>
      </c>
      <c r="I1378" s="117" t="str">
        <f>IF(X1378="ADMITIDO","ADMITIDO",IF(X1378="CANCELADA","CANCELADA",IF(H1378="","",IFERROR(_xlfn.XLOOKUP(H1378,Listas!I:I,Listas!J:J),"OUTROS"))))</f>
        <v>TRIAGEM</v>
      </c>
      <c r="J1378" s="240" t="s">
        <v>53</v>
      </c>
      <c r="K1378" s="240" t="s">
        <v>241</v>
      </c>
      <c r="L1378" s="240" t="s">
        <v>1715</v>
      </c>
      <c r="M1378" s="240"/>
      <c r="N1378" s="240" t="s">
        <v>243</v>
      </c>
      <c r="O1378" s="119" t="s">
        <v>34</v>
      </c>
      <c r="P1378" s="119" t="s">
        <v>48</v>
      </c>
      <c r="Q1378" s="119" t="s">
        <v>49</v>
      </c>
      <c r="R1378" s="273"/>
      <c r="S1378" s="273"/>
      <c r="T1378" s="274"/>
      <c r="U1378" s="73"/>
      <c r="V1378" s="216"/>
      <c r="W1378" s="118"/>
      <c r="X1378" s="119"/>
      <c r="Y1378" s="120"/>
      <c r="Z1378" s="120"/>
      <c r="AA1378" s="244"/>
      <c r="AB1378" s="241"/>
      <c r="AC1378" s="241"/>
      <c r="AD1378" s="244">
        <v>0</v>
      </c>
    </row>
    <row r="1379" spans="1:30" ht="15" customHeight="1">
      <c r="A1379" s="237">
        <v>31253</v>
      </c>
      <c r="B1379" s="121">
        <v>1</v>
      </c>
      <c r="C1379" s="238">
        <v>46223</v>
      </c>
      <c r="D1379" s="105">
        <f t="shared" ca="1" si="82"/>
        <v>4</v>
      </c>
      <c r="E1379" s="138" t="str">
        <f t="shared" ca="1" si="83"/>
        <v>NO PRAZO</v>
      </c>
      <c r="F1379" s="230" t="s">
        <v>42</v>
      </c>
      <c r="G1379" s="147" t="s">
        <v>663</v>
      </c>
      <c r="H1379" s="117" t="s">
        <v>91</v>
      </c>
      <c r="I1379" s="117" t="str">
        <f>IF(X1379="ADMITIDO","ADMITIDO",IF(X1379="CANCELADA","CANCELADA",IF(H1379="","",IFERROR(_xlfn.XLOOKUP(H1379,Listas!I:I,Listas!J:J),"OUTROS"))))</f>
        <v>TRIAGEM</v>
      </c>
      <c r="J1379" s="240" t="s">
        <v>53</v>
      </c>
      <c r="K1379" s="240" t="s">
        <v>54</v>
      </c>
      <c r="L1379" s="240" t="s">
        <v>164</v>
      </c>
      <c r="M1379" s="240"/>
      <c r="N1379" s="240" t="s">
        <v>88</v>
      </c>
      <c r="O1379" s="119" t="s">
        <v>34</v>
      </c>
      <c r="P1379" s="119" t="s">
        <v>57</v>
      </c>
      <c r="Q1379" s="119" t="s">
        <v>94</v>
      </c>
      <c r="R1379" s="273"/>
      <c r="S1379" s="273"/>
      <c r="T1379" s="274"/>
      <c r="U1379" s="73"/>
      <c r="V1379" s="216"/>
      <c r="W1379" s="118"/>
      <c r="X1379" s="119"/>
      <c r="Y1379" s="120"/>
      <c r="Z1379" s="120"/>
      <c r="AA1379" s="244"/>
      <c r="AB1379" s="241"/>
      <c r="AC1379" s="241"/>
      <c r="AD1379" s="244">
        <v>0</v>
      </c>
    </row>
    <row r="1380" spans="1:30" ht="15" customHeight="1">
      <c r="A1380" s="237">
        <v>31258</v>
      </c>
      <c r="B1380" s="121">
        <v>1</v>
      </c>
      <c r="C1380" s="238">
        <v>46223</v>
      </c>
      <c r="D1380" s="105">
        <f t="shared" ca="1" si="82"/>
        <v>4</v>
      </c>
      <c r="E1380" s="138" t="str">
        <f t="shared" ca="1" si="83"/>
        <v>NO PRAZO</v>
      </c>
      <c r="F1380" s="230" t="s">
        <v>42</v>
      </c>
      <c r="G1380" s="147" t="s">
        <v>29</v>
      </c>
      <c r="H1380" s="117" t="s">
        <v>181</v>
      </c>
      <c r="I1380" s="117" t="str">
        <f>IF(X1380="ADMITIDO","ADMITIDO",IF(X1380="CANCELADA","CANCELADA",IF(H1380="","",IFERROR(_xlfn.XLOOKUP(H1380,Listas!I:I,Listas!J:J),"OUTROS"))))</f>
        <v>DOCUMENTAÇÃO</v>
      </c>
      <c r="J1380" s="240" t="s">
        <v>116</v>
      </c>
      <c r="K1380" s="240" t="s">
        <v>54</v>
      </c>
      <c r="L1380" s="240" t="s">
        <v>164</v>
      </c>
      <c r="M1380" s="240"/>
      <c r="N1380" s="240" t="s">
        <v>88</v>
      </c>
      <c r="O1380" s="119" t="s">
        <v>34</v>
      </c>
      <c r="P1380" s="119" t="s">
        <v>57</v>
      </c>
      <c r="Q1380" s="119" t="s">
        <v>231</v>
      </c>
      <c r="R1380" s="273"/>
      <c r="S1380" s="273"/>
      <c r="T1380" s="274" t="s">
        <v>3308</v>
      </c>
      <c r="U1380" s="73" t="s">
        <v>38</v>
      </c>
      <c r="V1380" s="216" t="s">
        <v>3291</v>
      </c>
      <c r="W1380" s="118" t="s">
        <v>3309</v>
      </c>
      <c r="X1380" s="119"/>
      <c r="Y1380" s="120"/>
      <c r="Z1380" s="120"/>
      <c r="AA1380" s="244"/>
      <c r="AB1380" s="241"/>
      <c r="AC1380" s="241"/>
      <c r="AD1380" s="244">
        <v>0</v>
      </c>
    </row>
    <row r="1381" spans="1:30" ht="15" customHeight="1">
      <c r="A1381" s="237">
        <v>31256</v>
      </c>
      <c r="B1381" s="121">
        <v>1</v>
      </c>
      <c r="C1381" s="238">
        <v>46223</v>
      </c>
      <c r="D1381" s="105">
        <f t="shared" ca="1" si="82"/>
        <v>4</v>
      </c>
      <c r="E1381" s="138" t="str">
        <f t="shared" ca="1" si="83"/>
        <v>NO PRAZO</v>
      </c>
      <c r="F1381" s="230" t="s">
        <v>42</v>
      </c>
      <c r="G1381" s="147" t="s">
        <v>240</v>
      </c>
      <c r="H1381" s="117" t="s">
        <v>181</v>
      </c>
      <c r="I1381" s="117" t="str">
        <f>IF(X1381="ADMITIDO","ADMITIDO",IF(X1381="CANCELADA","CANCELADA",IF(H1381="","",IFERROR(_xlfn.XLOOKUP(H1381,Listas!I:I,Listas!J:J),"OUTROS"))))</f>
        <v>DOCUMENTAÇÃO</v>
      </c>
      <c r="J1381" s="240" t="s">
        <v>44</v>
      </c>
      <c r="K1381" s="240" t="s">
        <v>241</v>
      </c>
      <c r="L1381" s="240" t="s">
        <v>1970</v>
      </c>
      <c r="M1381" s="240"/>
      <c r="N1381" s="240" t="s">
        <v>63</v>
      </c>
      <c r="O1381" s="119" t="s">
        <v>34</v>
      </c>
      <c r="P1381" s="119" t="s">
        <v>35</v>
      </c>
      <c r="Q1381" s="119" t="s">
        <v>36</v>
      </c>
      <c r="R1381" s="273"/>
      <c r="S1381" s="273" t="s">
        <v>65</v>
      </c>
      <c r="T1381" s="274"/>
      <c r="U1381" s="73" t="s">
        <v>76</v>
      </c>
      <c r="V1381" s="216">
        <v>46224</v>
      </c>
      <c r="W1381" s="118" t="s">
        <v>3310</v>
      </c>
      <c r="X1381" s="119" t="s">
        <v>284</v>
      </c>
      <c r="Y1381" s="120"/>
      <c r="Z1381" s="120"/>
      <c r="AA1381" s="244"/>
      <c r="AB1381" s="241"/>
      <c r="AC1381" s="241"/>
      <c r="AD1381" s="244">
        <v>0</v>
      </c>
    </row>
    <row r="1382" spans="1:30" ht="15" customHeight="1">
      <c r="A1382" s="237">
        <v>31252</v>
      </c>
      <c r="B1382" s="121">
        <v>1</v>
      </c>
      <c r="C1382" s="238">
        <v>46223</v>
      </c>
      <c r="D1382" s="105">
        <f t="shared" ca="1" si="82"/>
        <v>4</v>
      </c>
      <c r="E1382" s="138" t="str">
        <f t="shared" ca="1" si="83"/>
        <v>NO PRAZO</v>
      </c>
      <c r="F1382" s="230" t="s">
        <v>28</v>
      </c>
      <c r="G1382" s="147" t="s">
        <v>60</v>
      </c>
      <c r="H1382" s="117" t="s">
        <v>181</v>
      </c>
      <c r="I1382" s="117" t="str">
        <f>IF(X1382="ADMITIDO","ADMITIDO",IF(X1382="CANCELADA","CANCELADA",IF(H1382="","",IFERROR(_xlfn.XLOOKUP(H1382,Listas!I:I,Listas!J:J),"OUTROS"))))</f>
        <v>DOCUMENTAÇÃO</v>
      </c>
      <c r="J1382" s="240" t="s">
        <v>268</v>
      </c>
      <c r="K1382" s="240" t="s">
        <v>952</v>
      </c>
      <c r="L1382" s="240" t="s">
        <v>618</v>
      </c>
      <c r="M1382" s="240"/>
      <c r="N1382" s="240" t="s">
        <v>63</v>
      </c>
      <c r="O1382" s="119" t="s">
        <v>56</v>
      </c>
      <c r="P1382" s="119" t="s">
        <v>35</v>
      </c>
      <c r="Q1382" s="119" t="s">
        <v>176</v>
      </c>
      <c r="R1382" s="273"/>
      <c r="S1382" s="273" t="s">
        <v>141</v>
      </c>
      <c r="T1382" s="274" t="s">
        <v>3311</v>
      </c>
      <c r="U1382" s="73" t="s">
        <v>109</v>
      </c>
      <c r="V1382" s="216">
        <v>46225</v>
      </c>
      <c r="W1382" s="118" t="s">
        <v>3312</v>
      </c>
      <c r="X1382" s="119" t="s">
        <v>284</v>
      </c>
      <c r="Y1382" s="120"/>
      <c r="Z1382" s="120"/>
      <c r="AA1382" s="244"/>
      <c r="AB1382" s="241"/>
      <c r="AC1382" s="241"/>
      <c r="AD1382" s="244">
        <v>0</v>
      </c>
    </row>
    <row r="1383" spans="1:30" ht="15" customHeight="1">
      <c r="A1383" s="237">
        <v>31255</v>
      </c>
      <c r="B1383" s="121">
        <v>1</v>
      </c>
      <c r="C1383" s="238">
        <v>46223</v>
      </c>
      <c r="D1383" s="105">
        <f t="shared" ca="1" si="82"/>
        <v>4</v>
      </c>
      <c r="E1383" s="138" t="str">
        <f t="shared" ca="1" si="83"/>
        <v>NO PRAZO</v>
      </c>
      <c r="F1383" s="230" t="s">
        <v>42</v>
      </c>
      <c r="G1383" s="147" t="s">
        <v>102</v>
      </c>
      <c r="H1383" s="117" t="s">
        <v>91</v>
      </c>
      <c r="I1383" s="117" t="str">
        <f>IF(X1383="ADMITIDO","ADMITIDO",IF(X1383="CANCELADA","CANCELADA",IF(H1383="","",IFERROR(_xlfn.XLOOKUP(H1383,Listas!I:I,Listas!J:J),"OUTROS"))))</f>
        <v>TRIAGEM</v>
      </c>
      <c r="J1383" s="240" t="s">
        <v>53</v>
      </c>
      <c r="K1383" s="240" t="s">
        <v>103</v>
      </c>
      <c r="L1383" s="240" t="s">
        <v>2996</v>
      </c>
      <c r="M1383" s="240"/>
      <c r="N1383" s="240" t="s">
        <v>2997</v>
      </c>
      <c r="O1383" s="119" t="s">
        <v>34</v>
      </c>
      <c r="P1383" s="119" t="s">
        <v>57</v>
      </c>
      <c r="Q1383" s="119" t="s">
        <v>94</v>
      </c>
      <c r="R1383" s="273"/>
      <c r="S1383" s="273"/>
      <c r="T1383" s="274"/>
      <c r="U1383" s="73"/>
      <c r="V1383" s="216"/>
      <c r="W1383" s="118"/>
      <c r="X1383" s="119"/>
      <c r="Y1383" s="120"/>
      <c r="Z1383" s="120"/>
      <c r="AA1383" s="244"/>
      <c r="AB1383" s="241"/>
      <c r="AC1383" s="241"/>
      <c r="AD1383" s="244">
        <v>0</v>
      </c>
    </row>
    <row r="1384" spans="1:30" ht="15" customHeight="1">
      <c r="A1384" s="237">
        <v>31254</v>
      </c>
      <c r="B1384" s="121">
        <v>1</v>
      </c>
      <c r="C1384" s="238">
        <v>46223</v>
      </c>
      <c r="D1384" s="105">
        <f t="shared" ca="1" si="82"/>
        <v>4</v>
      </c>
      <c r="E1384" s="138" t="str">
        <f t="shared" ca="1" si="83"/>
        <v>NO PRAZO</v>
      </c>
      <c r="F1384" s="230" t="s">
        <v>42</v>
      </c>
      <c r="G1384" s="147" t="s">
        <v>102</v>
      </c>
      <c r="H1384" s="117" t="s">
        <v>91</v>
      </c>
      <c r="I1384" s="117" t="str">
        <f>IF(X1384="ADMITIDO","ADMITIDO",IF(X1384="CANCELADA","CANCELADA",IF(H1384="","",IFERROR(_xlfn.XLOOKUP(H1384,Listas!I:I,Listas!J:J),"OUTROS"))))</f>
        <v>TRIAGEM</v>
      </c>
      <c r="J1384" s="240" t="s">
        <v>44</v>
      </c>
      <c r="K1384" s="240" t="s">
        <v>103</v>
      </c>
      <c r="L1384" s="240" t="s">
        <v>2996</v>
      </c>
      <c r="M1384" s="240"/>
      <c r="N1384" s="240" t="s">
        <v>2997</v>
      </c>
      <c r="O1384" s="119" t="s">
        <v>34</v>
      </c>
      <c r="P1384" s="119" t="s">
        <v>48</v>
      </c>
      <c r="Q1384" s="119" t="s">
        <v>120</v>
      </c>
      <c r="R1384" s="273"/>
      <c r="S1384" s="273"/>
      <c r="T1384" s="274"/>
      <c r="U1384" s="73"/>
      <c r="V1384" s="216"/>
      <c r="W1384" s="118"/>
      <c r="X1384" s="119"/>
      <c r="Y1384" s="120"/>
      <c r="Z1384" s="120"/>
      <c r="AA1384" s="244"/>
      <c r="AB1384" s="241"/>
      <c r="AC1384" s="241"/>
      <c r="AD1384" s="244">
        <v>0</v>
      </c>
    </row>
    <row r="1385" spans="1:30" ht="15" customHeight="1">
      <c r="A1385" s="237">
        <v>31260</v>
      </c>
      <c r="B1385" s="121">
        <v>1</v>
      </c>
      <c r="C1385" s="238">
        <v>46223</v>
      </c>
      <c r="D1385" s="105">
        <f t="shared" ca="1" si="82"/>
        <v>4</v>
      </c>
      <c r="E1385" s="138" t="str">
        <f t="shared" ca="1" si="83"/>
        <v>NO PRAZO</v>
      </c>
      <c r="F1385" s="230" t="s">
        <v>42</v>
      </c>
      <c r="G1385" s="147" t="s">
        <v>663</v>
      </c>
      <c r="H1385" s="117" t="s">
        <v>91</v>
      </c>
      <c r="I1385" s="117" t="str">
        <f>IF(X1385="ADMITIDO","ADMITIDO",IF(X1385="CANCELADA","CANCELADA",IF(H1385="","",IFERROR(_xlfn.XLOOKUP(H1385,Listas!I:I,Listas!J:J),"OUTROS"))))</f>
        <v>TRIAGEM</v>
      </c>
      <c r="J1385" s="240" t="s">
        <v>53</v>
      </c>
      <c r="K1385" s="240" t="s">
        <v>2889</v>
      </c>
      <c r="L1385" s="240" t="s">
        <v>3313</v>
      </c>
      <c r="M1385" s="240"/>
      <c r="N1385" s="240" t="s">
        <v>611</v>
      </c>
      <c r="O1385" s="119" t="s">
        <v>34</v>
      </c>
      <c r="P1385" s="119" t="s">
        <v>48</v>
      </c>
      <c r="Q1385" s="119" t="s">
        <v>49</v>
      </c>
      <c r="R1385" s="273"/>
      <c r="S1385" s="273"/>
      <c r="T1385" s="274"/>
      <c r="U1385" s="73"/>
      <c r="V1385" s="216"/>
      <c r="W1385" s="118"/>
      <c r="X1385" s="119"/>
      <c r="Y1385" s="120"/>
      <c r="Z1385" s="120"/>
      <c r="AA1385" s="244"/>
      <c r="AB1385" s="241"/>
      <c r="AC1385" s="241"/>
      <c r="AD1385" s="244">
        <v>0</v>
      </c>
    </row>
    <row r="1386" spans="1:30" ht="15" customHeight="1">
      <c r="A1386" s="237">
        <v>31288</v>
      </c>
      <c r="B1386" s="121">
        <v>1</v>
      </c>
      <c r="C1386" s="238">
        <v>46224</v>
      </c>
      <c r="D1386" s="105">
        <f t="shared" ref="D1386:D1406" ca="1" si="84">TODAY()-C1386</f>
        <v>3</v>
      </c>
      <c r="E1386" s="138" t="str">
        <f t="shared" ref="E1386:E1406" ca="1" si="85">IF(X1386="ADMITIDO","ADMITIDO",IF(X1386="CANCELADA","CANCELADA",IF(H1386="","",IF(H1386="ADMITIDO","ADMITIDO",IF(H1386="CANCELADA","CANCELADA",IF(OR(H1386="ANALISE CANCELAMENTO",H1386="ANÁLISE CANCELAMENTO"),"EM ANÁLISE",IF(D1386="","",IF(D1386&lt;=7,"NO PRAZO",IF(D1386&lt;=14,"ATENÇÃO","CRÍTICO")))))))))</f>
        <v>NO PRAZO</v>
      </c>
      <c r="F1386" s="230" t="s">
        <v>28</v>
      </c>
      <c r="G1386" s="147" t="s">
        <v>43</v>
      </c>
      <c r="H1386" s="117" t="s">
        <v>181</v>
      </c>
      <c r="I1386" s="117" t="str">
        <f>IF(X1386="ADMITIDO","ADMITIDO",IF(X1386="CANCELADA","CANCELADA",IF(H1386="","",IFERROR(_xlfn.XLOOKUP(H1386,Listas!I:I,Listas!J:J),"OUTROS"))))</f>
        <v>DOCUMENTAÇÃO</v>
      </c>
      <c r="J1386" s="240" t="s">
        <v>448</v>
      </c>
      <c r="K1386" s="240" t="s">
        <v>1808</v>
      </c>
      <c r="L1386" s="240" t="s">
        <v>156</v>
      </c>
      <c r="M1386" s="240"/>
      <c r="N1386" s="240" t="s">
        <v>97</v>
      </c>
      <c r="O1386" s="119" t="s">
        <v>34</v>
      </c>
      <c r="P1386" s="119" t="s">
        <v>48</v>
      </c>
      <c r="Q1386" s="119" t="s">
        <v>131</v>
      </c>
      <c r="R1386" s="273"/>
      <c r="S1386" s="273" t="s">
        <v>1375</v>
      </c>
      <c r="T1386" s="274">
        <v>11983219867</v>
      </c>
      <c r="U1386" s="73" t="s">
        <v>50</v>
      </c>
      <c r="V1386" s="216">
        <v>46225</v>
      </c>
      <c r="W1386" s="118" t="s">
        <v>3314</v>
      </c>
      <c r="X1386" s="119" t="s">
        <v>188</v>
      </c>
      <c r="Y1386" s="120">
        <v>46230</v>
      </c>
      <c r="Z1386" s="120">
        <v>46231</v>
      </c>
      <c r="AA1386" s="520">
        <v>914705</v>
      </c>
      <c r="AB1386" s="241" t="s">
        <v>3315</v>
      </c>
      <c r="AC1386" s="241"/>
      <c r="AD1386" s="244">
        <v>0</v>
      </c>
    </row>
    <row r="1387" spans="1:30" ht="15" customHeight="1">
      <c r="A1387" s="237">
        <v>31285</v>
      </c>
      <c r="B1387" s="121">
        <v>1</v>
      </c>
      <c r="C1387" s="238">
        <v>46224</v>
      </c>
      <c r="D1387" s="105">
        <f t="shared" ca="1" si="84"/>
        <v>3</v>
      </c>
      <c r="E1387" s="138" t="str">
        <f t="shared" ca="1" si="85"/>
        <v>NO PRAZO</v>
      </c>
      <c r="F1387" s="230" t="s">
        <v>42</v>
      </c>
      <c r="G1387" s="147" t="s">
        <v>60</v>
      </c>
      <c r="H1387" s="117" t="s">
        <v>91</v>
      </c>
      <c r="I1387" s="117" t="str">
        <f>IF(X1387="ADMITIDO","ADMITIDO",IF(X1387="CANCELADA","CANCELADA",IF(H1387="","",IFERROR(_xlfn.XLOOKUP(H1387,Listas!I:I,Listas!J:J),"OUTROS"))))</f>
        <v>TRIAGEM</v>
      </c>
      <c r="J1387" s="240" t="s">
        <v>53</v>
      </c>
      <c r="K1387" s="240" t="s">
        <v>61</v>
      </c>
      <c r="L1387" s="240" t="s">
        <v>556</v>
      </c>
      <c r="M1387" s="240"/>
      <c r="N1387" s="240" t="s">
        <v>63</v>
      </c>
      <c r="O1387" s="119" t="s">
        <v>34</v>
      </c>
      <c r="P1387" s="119" t="s">
        <v>72</v>
      </c>
      <c r="Q1387" s="119" t="s">
        <v>238</v>
      </c>
      <c r="R1387" s="273"/>
      <c r="S1387" s="273"/>
      <c r="T1387" s="274"/>
      <c r="U1387" s="73"/>
      <c r="V1387" s="216"/>
      <c r="W1387" s="118"/>
      <c r="X1387" s="119"/>
      <c r="Y1387" s="120"/>
      <c r="Z1387" s="120"/>
      <c r="AA1387" s="244"/>
      <c r="AB1387" s="241"/>
      <c r="AC1387" s="241"/>
      <c r="AD1387" s="244">
        <v>0</v>
      </c>
    </row>
    <row r="1388" spans="1:30" ht="15" customHeight="1">
      <c r="A1388" s="237">
        <v>31271</v>
      </c>
      <c r="B1388" s="121">
        <v>1</v>
      </c>
      <c r="C1388" s="238">
        <v>46224</v>
      </c>
      <c r="D1388" s="105">
        <f t="shared" ca="1" si="84"/>
        <v>3</v>
      </c>
      <c r="E1388" s="138" t="str">
        <f t="shared" ca="1" si="85"/>
        <v>NO PRAZO</v>
      </c>
      <c r="F1388" s="230" t="s">
        <v>42</v>
      </c>
      <c r="G1388" s="147" t="s">
        <v>43</v>
      </c>
      <c r="H1388" s="117" t="s">
        <v>334</v>
      </c>
      <c r="I1388" s="117" t="str">
        <f>IF(X1388="ADMITIDO","ADMITIDO",IF(X1388="CANCELADA","CANCELADA",IF(H1388="","",IFERROR(_xlfn.XLOOKUP(H1388,Listas!I:I,Listas!J:J),"OUTROS"))))</f>
        <v>DOCUMENTAÇÃO</v>
      </c>
      <c r="J1388" s="240" t="s">
        <v>53</v>
      </c>
      <c r="K1388" s="240" t="s">
        <v>45</v>
      </c>
      <c r="L1388" s="240" t="s">
        <v>377</v>
      </c>
      <c r="M1388" s="240"/>
      <c r="N1388" s="240" t="s">
        <v>378</v>
      </c>
      <c r="O1388" s="119" t="s">
        <v>34</v>
      </c>
      <c r="P1388" s="119" t="s">
        <v>35</v>
      </c>
      <c r="Q1388" s="119" t="s">
        <v>36</v>
      </c>
      <c r="R1388" s="273" t="s">
        <v>3316</v>
      </c>
      <c r="S1388" s="273" t="s">
        <v>1375</v>
      </c>
      <c r="T1388" s="274">
        <v>11978893613</v>
      </c>
      <c r="U1388" s="73" t="s">
        <v>50</v>
      </c>
      <c r="V1388" s="216">
        <v>46225</v>
      </c>
      <c r="W1388" s="118" t="s">
        <v>3317</v>
      </c>
      <c r="X1388" s="119" t="s">
        <v>188</v>
      </c>
      <c r="Y1388" s="120">
        <v>46230</v>
      </c>
      <c r="Z1388" s="120">
        <v>46232</v>
      </c>
      <c r="AA1388" s="520">
        <v>146284</v>
      </c>
      <c r="AB1388" s="241" t="s">
        <v>3318</v>
      </c>
      <c r="AC1388" s="241"/>
      <c r="AD1388" s="244">
        <v>1</v>
      </c>
    </row>
    <row r="1389" spans="1:30" ht="15" customHeight="1">
      <c r="A1389" s="237">
        <v>31268</v>
      </c>
      <c r="B1389" s="121">
        <v>1</v>
      </c>
      <c r="C1389" s="238">
        <v>46224</v>
      </c>
      <c r="D1389" s="105">
        <f t="shared" ca="1" si="84"/>
        <v>3</v>
      </c>
      <c r="E1389" s="138" t="str">
        <f t="shared" ca="1" si="85"/>
        <v>NO PRAZO</v>
      </c>
      <c r="F1389" s="230" t="s">
        <v>42</v>
      </c>
      <c r="G1389" s="147" t="s">
        <v>43</v>
      </c>
      <c r="H1389" s="117" t="s">
        <v>181</v>
      </c>
      <c r="I1389" s="117" t="str">
        <f>IF(X1389="ADMITIDO","ADMITIDO",IF(X1389="CANCELADA","CANCELADA",IF(H1389="","",IFERROR(_xlfn.XLOOKUP(H1389,Listas!I:I,Listas!J:J),"OUTROS"))))</f>
        <v>DOCUMENTAÇÃO</v>
      </c>
      <c r="J1389" s="240" t="s">
        <v>53</v>
      </c>
      <c r="K1389" s="240" t="s">
        <v>45</v>
      </c>
      <c r="L1389" s="240" t="s">
        <v>377</v>
      </c>
      <c r="M1389" s="240"/>
      <c r="N1389" s="240" t="s">
        <v>378</v>
      </c>
      <c r="O1389" s="119" t="s">
        <v>56</v>
      </c>
      <c r="P1389" s="119" t="s">
        <v>35</v>
      </c>
      <c r="Q1389" s="119" t="s">
        <v>176</v>
      </c>
      <c r="R1389" s="273"/>
      <c r="S1389" s="273" t="s">
        <v>1375</v>
      </c>
      <c r="T1389" s="274">
        <v>11913148266</v>
      </c>
      <c r="U1389" s="73" t="s">
        <v>50</v>
      </c>
      <c r="V1389" s="216">
        <v>46226</v>
      </c>
      <c r="W1389" s="118" t="s">
        <v>3319</v>
      </c>
      <c r="X1389" s="119" t="s">
        <v>284</v>
      </c>
      <c r="Y1389" s="120"/>
      <c r="Z1389" s="120"/>
      <c r="AA1389" s="244"/>
      <c r="AB1389" s="241" t="s">
        <v>3320</v>
      </c>
      <c r="AC1389" s="241"/>
      <c r="AD1389" s="244">
        <v>0</v>
      </c>
    </row>
    <row r="1390" spans="1:30" ht="15" customHeight="1">
      <c r="A1390" s="237">
        <v>31269</v>
      </c>
      <c r="B1390" s="121">
        <v>1</v>
      </c>
      <c r="C1390" s="238">
        <v>46224</v>
      </c>
      <c r="D1390" s="105">
        <f t="shared" ca="1" si="84"/>
        <v>3</v>
      </c>
      <c r="E1390" s="138" t="str">
        <f t="shared" ca="1" si="85"/>
        <v>NO PRAZO</v>
      </c>
      <c r="F1390" s="230" t="s">
        <v>42</v>
      </c>
      <c r="G1390" s="147" t="s">
        <v>43</v>
      </c>
      <c r="H1390" s="117" t="s">
        <v>181</v>
      </c>
      <c r="I1390" s="117" t="str">
        <f>IF(X1390="ADMITIDO","ADMITIDO",IF(X1390="CANCELADA","CANCELADA",IF(H1390="","",IFERROR(_xlfn.XLOOKUP(H1390,Listas!I:I,Listas!J:J),"OUTROS"))))</f>
        <v>DOCUMENTAÇÃO</v>
      </c>
      <c r="J1390" s="240" t="s">
        <v>53</v>
      </c>
      <c r="K1390" s="240" t="s">
        <v>45</v>
      </c>
      <c r="L1390" s="240" t="s">
        <v>377</v>
      </c>
      <c r="M1390" s="240"/>
      <c r="N1390" s="240" t="s">
        <v>378</v>
      </c>
      <c r="O1390" s="119" t="s">
        <v>56</v>
      </c>
      <c r="P1390" s="119" t="s">
        <v>35</v>
      </c>
      <c r="Q1390" s="119" t="s">
        <v>176</v>
      </c>
      <c r="R1390" s="273"/>
      <c r="S1390" s="273" t="s">
        <v>1375</v>
      </c>
      <c r="T1390" s="274">
        <v>11949369504</v>
      </c>
      <c r="U1390" s="73" t="s">
        <v>50</v>
      </c>
      <c r="V1390" s="216">
        <v>46225</v>
      </c>
      <c r="W1390" s="118" t="s">
        <v>3321</v>
      </c>
      <c r="X1390" s="119" t="s">
        <v>188</v>
      </c>
      <c r="Y1390" s="120">
        <v>46230</v>
      </c>
      <c r="Z1390" s="120">
        <v>46231</v>
      </c>
      <c r="AA1390" s="520">
        <v>146281</v>
      </c>
      <c r="AB1390" s="241" t="s">
        <v>2291</v>
      </c>
      <c r="AC1390" s="241"/>
      <c r="AD1390" s="244">
        <v>0</v>
      </c>
    </row>
    <row r="1391" spans="1:30" ht="15" customHeight="1">
      <c r="A1391" s="237">
        <v>31272</v>
      </c>
      <c r="B1391" s="121">
        <v>1</v>
      </c>
      <c r="C1391" s="238">
        <v>46224</v>
      </c>
      <c r="D1391" s="105">
        <f t="shared" ca="1" si="84"/>
        <v>3</v>
      </c>
      <c r="E1391" s="138" t="str">
        <f t="shared" ca="1" si="85"/>
        <v>NO PRAZO</v>
      </c>
      <c r="F1391" s="230" t="s">
        <v>42</v>
      </c>
      <c r="G1391" s="147" t="s">
        <v>43</v>
      </c>
      <c r="H1391" s="117" t="s">
        <v>181</v>
      </c>
      <c r="I1391" s="117" t="str">
        <f>IF(X1391="ADMITIDO","ADMITIDO",IF(X1391="CANCELADA","CANCELADA",IF(H1391="","",IFERROR(_xlfn.XLOOKUP(H1391,Listas!I:I,Listas!J:J),"OUTROS"))))</f>
        <v>DOCUMENTAÇÃO</v>
      </c>
      <c r="J1391" s="240" t="s">
        <v>53</v>
      </c>
      <c r="K1391" s="240" t="s">
        <v>45</v>
      </c>
      <c r="L1391" s="240" t="s">
        <v>377</v>
      </c>
      <c r="M1391" s="240"/>
      <c r="N1391" s="240" t="s">
        <v>378</v>
      </c>
      <c r="O1391" s="119" t="s">
        <v>56</v>
      </c>
      <c r="P1391" s="119" t="s">
        <v>35</v>
      </c>
      <c r="Q1391" s="119" t="s">
        <v>176</v>
      </c>
      <c r="R1391" s="273"/>
      <c r="S1391" s="273" t="s">
        <v>3223</v>
      </c>
      <c r="T1391" s="274">
        <v>31984512390</v>
      </c>
      <c r="U1391" s="73" t="s">
        <v>50</v>
      </c>
      <c r="V1391" s="216">
        <v>46226</v>
      </c>
      <c r="W1391" s="118" t="s">
        <v>3322</v>
      </c>
      <c r="X1391" s="119" t="s">
        <v>284</v>
      </c>
      <c r="Y1391" s="120"/>
      <c r="Z1391" s="120"/>
      <c r="AA1391" s="244"/>
      <c r="AB1391" s="241" t="s">
        <v>3320</v>
      </c>
      <c r="AC1391" s="241"/>
      <c r="AD1391" s="244">
        <v>0</v>
      </c>
    </row>
    <row r="1392" spans="1:30" ht="15" customHeight="1">
      <c r="A1392" s="237">
        <v>31287</v>
      </c>
      <c r="B1392" s="121">
        <v>1</v>
      </c>
      <c r="C1392" s="238">
        <v>46224</v>
      </c>
      <c r="D1392" s="105">
        <f t="shared" ca="1" si="84"/>
        <v>3</v>
      </c>
      <c r="E1392" s="138" t="str">
        <f t="shared" ca="1" si="85"/>
        <v>NO PRAZO</v>
      </c>
      <c r="F1392" s="230" t="s">
        <v>171</v>
      </c>
      <c r="G1392" s="147" t="s">
        <v>43</v>
      </c>
      <c r="H1392" s="117" t="s">
        <v>181</v>
      </c>
      <c r="I1392" s="117" t="str">
        <f>IF(X1392="ADMITIDO","ADMITIDO",IF(X1392="CANCELADA","CANCELADA",IF(H1392="","",IFERROR(_xlfn.XLOOKUP(H1392,Listas!I:I,Listas!J:J),"OUTROS"))))</f>
        <v>DOCUMENTAÇÃO</v>
      </c>
      <c r="J1392" s="240" t="s">
        <v>894</v>
      </c>
      <c r="K1392" s="240" t="s">
        <v>360</v>
      </c>
      <c r="L1392" s="240" t="s">
        <v>788</v>
      </c>
      <c r="M1392" s="240"/>
      <c r="N1392" s="240" t="s">
        <v>337</v>
      </c>
      <c r="O1392" s="119" t="s">
        <v>34</v>
      </c>
      <c r="P1392" s="119" t="s">
        <v>35</v>
      </c>
      <c r="Q1392" s="119" t="s">
        <v>36</v>
      </c>
      <c r="R1392" s="273"/>
      <c r="S1392" s="273" t="s">
        <v>2451</v>
      </c>
      <c r="T1392" s="274">
        <v>15981230527</v>
      </c>
      <c r="U1392" s="73" t="s">
        <v>67</v>
      </c>
      <c r="V1392" s="216">
        <v>46225</v>
      </c>
      <c r="W1392" s="118" t="s">
        <v>3323</v>
      </c>
      <c r="X1392" s="119"/>
      <c r="Y1392" s="120"/>
      <c r="Z1392" s="120"/>
      <c r="AA1392" s="244"/>
      <c r="AB1392" s="241"/>
      <c r="AC1392" s="241"/>
      <c r="AD1392" s="244">
        <v>0</v>
      </c>
    </row>
    <row r="1393" spans="1:30" ht="15" customHeight="1">
      <c r="A1393" s="237">
        <v>31290</v>
      </c>
      <c r="B1393" s="121">
        <v>1</v>
      </c>
      <c r="C1393" s="238">
        <v>46224</v>
      </c>
      <c r="D1393" s="105">
        <f t="shared" ca="1" si="84"/>
        <v>3</v>
      </c>
      <c r="E1393" s="138" t="str">
        <f t="shared" ca="1" si="85"/>
        <v>NO PRAZO</v>
      </c>
      <c r="F1393" s="230" t="s">
        <v>119</v>
      </c>
      <c r="G1393" s="147" t="s">
        <v>3324</v>
      </c>
      <c r="H1393" s="117" t="s">
        <v>91</v>
      </c>
      <c r="I1393" s="117" t="str">
        <f>IF(X1393="ADMITIDO","ADMITIDO",IF(X1393="CANCELADA","CANCELADA",IF(H1393="","",IFERROR(_xlfn.XLOOKUP(H1393,Listas!I:I,Listas!J:J),"OUTROS"))))</f>
        <v>TRIAGEM</v>
      </c>
      <c r="J1393" s="240" t="s">
        <v>649</v>
      </c>
      <c r="K1393" s="240" t="s">
        <v>650</v>
      </c>
      <c r="L1393" s="240" t="s">
        <v>651</v>
      </c>
      <c r="M1393" s="240"/>
      <c r="N1393" s="240" t="s">
        <v>119</v>
      </c>
      <c r="O1393" s="119" t="s">
        <v>34</v>
      </c>
      <c r="P1393" s="119" t="s">
        <v>48</v>
      </c>
      <c r="Q1393" s="119" t="s">
        <v>441</v>
      </c>
      <c r="R1393" s="273"/>
      <c r="S1393" s="273"/>
      <c r="T1393" s="274"/>
      <c r="U1393" s="73"/>
      <c r="V1393" s="216"/>
      <c r="W1393" s="118"/>
      <c r="X1393" s="119"/>
      <c r="Y1393" s="120"/>
      <c r="Z1393" s="120"/>
      <c r="AA1393" s="244"/>
      <c r="AB1393" s="241"/>
      <c r="AC1393" s="241"/>
      <c r="AD1393" s="244">
        <v>0</v>
      </c>
    </row>
    <row r="1394" spans="1:30" ht="15" customHeight="1">
      <c r="A1394" s="237">
        <v>31273</v>
      </c>
      <c r="B1394" s="121">
        <v>1</v>
      </c>
      <c r="C1394" s="238">
        <v>46224</v>
      </c>
      <c r="D1394" s="105">
        <f t="shared" ca="1" si="84"/>
        <v>3</v>
      </c>
      <c r="E1394" s="138" t="str">
        <f t="shared" ca="1" si="85"/>
        <v>NO PRAZO</v>
      </c>
      <c r="F1394" s="230" t="s">
        <v>28</v>
      </c>
      <c r="G1394" s="147" t="s">
        <v>43</v>
      </c>
      <c r="H1394" s="117" t="s">
        <v>181</v>
      </c>
      <c r="I1394" s="117" t="str">
        <f>IF(X1394="ADMITIDO","ADMITIDO",IF(X1394="CANCELADA","CANCELADA",IF(H1394="","",IFERROR(_xlfn.XLOOKUP(H1394,Listas!I:I,Listas!J:J),"OUTROS"))))</f>
        <v>DOCUMENTAÇÃO</v>
      </c>
      <c r="J1394" s="240" t="s">
        <v>3325</v>
      </c>
      <c r="K1394" s="240" t="s">
        <v>383</v>
      </c>
      <c r="L1394" s="240" t="s">
        <v>3326</v>
      </c>
      <c r="M1394" s="240"/>
      <c r="N1394" s="240" t="s">
        <v>3327</v>
      </c>
      <c r="O1394" s="119" t="s">
        <v>56</v>
      </c>
      <c r="P1394" s="119" t="s">
        <v>35</v>
      </c>
      <c r="Q1394" s="119" t="s">
        <v>760</v>
      </c>
      <c r="R1394" s="273"/>
      <c r="S1394" s="273" t="s">
        <v>1276</v>
      </c>
      <c r="T1394" s="274">
        <v>11989686912</v>
      </c>
      <c r="U1394" s="73" t="s">
        <v>50</v>
      </c>
      <c r="V1394" s="216">
        <v>46225</v>
      </c>
      <c r="W1394" s="118" t="s">
        <v>3328</v>
      </c>
      <c r="X1394" s="119" t="s">
        <v>188</v>
      </c>
      <c r="Y1394" s="120">
        <v>46230</v>
      </c>
      <c r="Z1394" s="120">
        <v>46232</v>
      </c>
      <c r="AA1394" s="520">
        <v>914709</v>
      </c>
      <c r="AB1394" s="241" t="s">
        <v>3318</v>
      </c>
      <c r="AC1394" s="241"/>
      <c r="AD1394" s="244">
        <v>0</v>
      </c>
    </row>
    <row r="1395" spans="1:30" ht="15" customHeight="1">
      <c r="A1395" s="237">
        <v>31274</v>
      </c>
      <c r="B1395" s="121">
        <v>1</v>
      </c>
      <c r="C1395" s="238">
        <v>46224</v>
      </c>
      <c r="D1395" s="105">
        <f t="shared" ca="1" si="84"/>
        <v>3</v>
      </c>
      <c r="E1395" s="138" t="str">
        <f t="shared" ca="1" si="85"/>
        <v>NO PRAZO</v>
      </c>
      <c r="F1395" s="230" t="s">
        <v>28</v>
      </c>
      <c r="G1395" s="147" t="s">
        <v>43</v>
      </c>
      <c r="H1395" s="117" t="s">
        <v>181</v>
      </c>
      <c r="I1395" s="117" t="str">
        <f>IF(X1395="ADMITIDO","ADMITIDO",IF(X1395="CANCELADA","CANCELADA",IF(H1395="","",IFERROR(_xlfn.XLOOKUP(H1395,Listas!I:I,Listas!J:J),"OUTROS"))))</f>
        <v>DOCUMENTAÇÃO</v>
      </c>
      <c r="J1395" s="240" t="s">
        <v>3325</v>
      </c>
      <c r="K1395" s="240" t="s">
        <v>383</v>
      </c>
      <c r="L1395" s="240" t="s">
        <v>3326</v>
      </c>
      <c r="M1395" s="240"/>
      <c r="N1395" s="240" t="s">
        <v>3327</v>
      </c>
      <c r="O1395" s="119" t="s">
        <v>56</v>
      </c>
      <c r="P1395" s="119" t="s">
        <v>35</v>
      </c>
      <c r="Q1395" s="119" t="s">
        <v>760</v>
      </c>
      <c r="R1395" s="273"/>
      <c r="S1395" s="273" t="s">
        <v>3329</v>
      </c>
      <c r="T1395" s="274">
        <v>11987161061</v>
      </c>
      <c r="U1395" s="73" t="s">
        <v>50</v>
      </c>
      <c r="V1395" s="216">
        <v>46225</v>
      </c>
      <c r="W1395" s="118" t="s">
        <v>3330</v>
      </c>
      <c r="X1395" s="119" t="s">
        <v>188</v>
      </c>
      <c r="Y1395" s="120">
        <v>46230</v>
      </c>
      <c r="Z1395" s="120">
        <v>46231</v>
      </c>
      <c r="AA1395" s="520">
        <v>914708</v>
      </c>
      <c r="AB1395" s="241" t="s">
        <v>3318</v>
      </c>
      <c r="AC1395" s="241"/>
      <c r="AD1395" s="244">
        <v>0</v>
      </c>
    </row>
    <row r="1396" spans="1:30" ht="15" customHeight="1">
      <c r="A1396" s="237">
        <v>31259</v>
      </c>
      <c r="B1396" s="121">
        <v>1</v>
      </c>
      <c r="C1396" s="238">
        <v>46224</v>
      </c>
      <c r="D1396" s="105">
        <f t="shared" ca="1" si="84"/>
        <v>3</v>
      </c>
      <c r="E1396" s="138" t="str">
        <f t="shared" ca="1" si="85"/>
        <v>NO PRAZO</v>
      </c>
      <c r="F1396" s="230" t="s">
        <v>42</v>
      </c>
      <c r="G1396" s="147" t="s">
        <v>167</v>
      </c>
      <c r="H1396" s="117" t="s">
        <v>181</v>
      </c>
      <c r="I1396" s="117" t="str">
        <f>IF(X1396="ADMITIDO","ADMITIDO",IF(X1396="CANCELADA","CANCELADA",IF(H1396="","",IFERROR(_xlfn.XLOOKUP(H1396,Listas!I:I,Listas!J:J),"OUTROS"))))</f>
        <v>DOCUMENTAÇÃO</v>
      </c>
      <c r="J1396" s="240" t="s">
        <v>53</v>
      </c>
      <c r="K1396" s="240" t="s">
        <v>103</v>
      </c>
      <c r="L1396" s="240" t="s">
        <v>961</v>
      </c>
      <c r="M1396" s="240"/>
      <c r="N1396" s="240" t="s">
        <v>63</v>
      </c>
      <c r="O1396" s="119" t="s">
        <v>34</v>
      </c>
      <c r="P1396" s="119" t="s">
        <v>219</v>
      </c>
      <c r="Q1396" s="119" t="s">
        <v>962</v>
      </c>
      <c r="R1396" s="273"/>
      <c r="S1396" s="273"/>
      <c r="T1396" s="274"/>
      <c r="U1396" s="73"/>
      <c r="V1396" s="216"/>
      <c r="W1396" s="118"/>
      <c r="X1396" s="119"/>
      <c r="Y1396" s="120"/>
      <c r="Z1396" s="120"/>
      <c r="AA1396" s="244"/>
      <c r="AB1396" s="241"/>
      <c r="AC1396" s="241"/>
      <c r="AD1396" s="244">
        <v>0</v>
      </c>
    </row>
    <row r="1397" spans="1:30" ht="15" customHeight="1">
      <c r="A1397" s="237">
        <v>31240</v>
      </c>
      <c r="B1397" s="121">
        <v>1</v>
      </c>
      <c r="C1397" s="238">
        <v>46224</v>
      </c>
      <c r="D1397" s="105">
        <f t="shared" ca="1" si="84"/>
        <v>3</v>
      </c>
      <c r="E1397" s="138" t="str">
        <f t="shared" ca="1" si="85"/>
        <v>NO PRAZO</v>
      </c>
      <c r="F1397" s="230" t="s">
        <v>42</v>
      </c>
      <c r="G1397" s="147" t="s">
        <v>167</v>
      </c>
      <c r="H1397" s="117" t="s">
        <v>181</v>
      </c>
      <c r="I1397" s="117" t="str">
        <f>IF(X1397="ADMITIDO","ADMITIDO",IF(X1397="CANCELADA","CANCELADA",IF(H1397="","",IFERROR(_xlfn.XLOOKUP(H1397,Listas!I:I,Listas!J:J),"OUTROS"))))</f>
        <v>DOCUMENTAÇÃO</v>
      </c>
      <c r="J1397" s="240" t="s">
        <v>44</v>
      </c>
      <c r="K1397" s="240" t="s">
        <v>103</v>
      </c>
      <c r="L1397" s="240" t="s">
        <v>104</v>
      </c>
      <c r="M1397" s="240"/>
      <c r="N1397" s="240" t="s">
        <v>33</v>
      </c>
      <c r="O1397" s="119" t="s">
        <v>34</v>
      </c>
      <c r="P1397" s="119" t="s">
        <v>57</v>
      </c>
      <c r="Q1397" s="119" t="s">
        <v>98</v>
      </c>
      <c r="R1397" s="273"/>
      <c r="S1397" s="273"/>
      <c r="T1397" s="274"/>
      <c r="U1397" s="73"/>
      <c r="V1397" s="216"/>
      <c r="W1397" s="118"/>
      <c r="X1397" s="119"/>
      <c r="Y1397" s="120"/>
      <c r="Z1397" s="120"/>
      <c r="AA1397" s="244"/>
      <c r="AB1397" s="241"/>
      <c r="AC1397" s="241"/>
      <c r="AD1397" s="244">
        <v>0</v>
      </c>
    </row>
    <row r="1398" spans="1:30" ht="15" customHeight="1">
      <c r="A1398" s="237">
        <v>31282</v>
      </c>
      <c r="B1398" s="121">
        <v>1</v>
      </c>
      <c r="C1398" s="238">
        <v>46224</v>
      </c>
      <c r="D1398" s="105">
        <f t="shared" ca="1" si="84"/>
        <v>3</v>
      </c>
      <c r="E1398" s="138" t="str">
        <f t="shared" ca="1" si="85"/>
        <v>NO PRAZO</v>
      </c>
      <c r="F1398" s="230" t="s">
        <v>42</v>
      </c>
      <c r="G1398" s="147" t="s">
        <v>663</v>
      </c>
      <c r="H1398" s="117" t="s">
        <v>91</v>
      </c>
      <c r="I1398" s="117" t="str">
        <f>IF(X1398="ADMITIDO","ADMITIDO",IF(X1398="CANCELADA","CANCELADA",IF(H1398="","",IFERROR(_xlfn.XLOOKUP(H1398,Listas!I:I,Listas!J:J),"OUTROS"))))</f>
        <v>TRIAGEM</v>
      </c>
      <c r="J1398" s="240" t="s">
        <v>53</v>
      </c>
      <c r="K1398" s="240" t="s">
        <v>54</v>
      </c>
      <c r="L1398" s="240" t="s">
        <v>164</v>
      </c>
      <c r="M1398" s="240"/>
      <c r="N1398" s="240" t="s">
        <v>88</v>
      </c>
      <c r="O1398" s="119" t="s">
        <v>34</v>
      </c>
      <c r="P1398" s="119" t="s">
        <v>57</v>
      </c>
      <c r="Q1398" s="119" t="s">
        <v>94</v>
      </c>
      <c r="R1398" s="273"/>
      <c r="S1398" s="273"/>
      <c r="T1398" s="274"/>
      <c r="U1398" s="73"/>
      <c r="V1398" s="216"/>
      <c r="W1398" s="118"/>
      <c r="X1398" s="119"/>
      <c r="Y1398" s="120"/>
      <c r="Z1398" s="120"/>
      <c r="AA1398" s="244"/>
      <c r="AB1398" s="241"/>
      <c r="AC1398" s="241"/>
      <c r="AD1398" s="244">
        <v>0</v>
      </c>
    </row>
    <row r="1399" spans="1:30" ht="15" customHeight="1">
      <c r="A1399" s="237">
        <v>31281</v>
      </c>
      <c r="B1399" s="121">
        <v>1</v>
      </c>
      <c r="C1399" s="238">
        <v>46224</v>
      </c>
      <c r="D1399" s="105">
        <f t="shared" ca="1" si="84"/>
        <v>3</v>
      </c>
      <c r="E1399" s="138" t="str">
        <f t="shared" ca="1" si="85"/>
        <v>NO PRAZO</v>
      </c>
      <c r="F1399" s="230" t="s">
        <v>42</v>
      </c>
      <c r="G1399" s="147" t="s">
        <v>663</v>
      </c>
      <c r="H1399" s="117" t="s">
        <v>181</v>
      </c>
      <c r="I1399" s="117" t="str">
        <f>IF(X1399="ADMITIDO","ADMITIDO",IF(X1399="CANCELADA","CANCELADA",IF(H1399="","",IFERROR(_xlfn.XLOOKUP(H1399,Listas!I:I,Listas!J:J),"OUTROS"))))</f>
        <v>DOCUMENTAÇÃO</v>
      </c>
      <c r="J1399" s="240" t="s">
        <v>53</v>
      </c>
      <c r="K1399" s="240" t="s">
        <v>54</v>
      </c>
      <c r="L1399" s="240" t="s">
        <v>164</v>
      </c>
      <c r="M1399" s="240"/>
      <c r="N1399" s="240" t="s">
        <v>88</v>
      </c>
      <c r="O1399" s="119" t="s">
        <v>56</v>
      </c>
      <c r="P1399" s="119" t="s">
        <v>2012</v>
      </c>
      <c r="Q1399" s="119" t="s">
        <v>165</v>
      </c>
      <c r="R1399" s="273"/>
      <c r="S1399" s="273"/>
      <c r="T1399" s="274" t="s">
        <v>3331</v>
      </c>
      <c r="U1399" s="73" t="s">
        <v>38</v>
      </c>
      <c r="V1399" s="216" t="s">
        <v>2620</v>
      </c>
      <c r="W1399" s="598" t="s">
        <v>3332</v>
      </c>
      <c r="X1399" s="119" t="s">
        <v>188</v>
      </c>
      <c r="Y1399" s="120"/>
      <c r="Z1399" s="120"/>
      <c r="AA1399" s="244"/>
      <c r="AB1399" s="241"/>
      <c r="AC1399" s="241"/>
      <c r="AD1399" s="244">
        <v>0</v>
      </c>
    </row>
    <row r="1400" spans="1:30" ht="15" customHeight="1">
      <c r="A1400" s="237">
        <v>31267</v>
      </c>
      <c r="B1400" s="121">
        <v>1</v>
      </c>
      <c r="C1400" s="238">
        <v>46224</v>
      </c>
      <c r="D1400" s="105">
        <f t="shared" ca="1" si="84"/>
        <v>3</v>
      </c>
      <c r="E1400" s="138" t="str">
        <f t="shared" ca="1" si="85"/>
        <v>NO PRAZO</v>
      </c>
      <c r="F1400" s="230" t="s">
        <v>42</v>
      </c>
      <c r="G1400" s="147" t="s">
        <v>240</v>
      </c>
      <c r="H1400" s="117" t="s">
        <v>91</v>
      </c>
      <c r="I1400" s="117" t="str">
        <f>IF(X1400="ADMITIDO","ADMITIDO",IF(X1400="CANCELADA","CANCELADA",IF(H1400="","",IFERROR(_xlfn.XLOOKUP(H1400,Listas!I:I,Listas!J:J),"OUTROS"))))</f>
        <v>TRIAGEM</v>
      </c>
      <c r="J1400" s="240" t="s">
        <v>53</v>
      </c>
      <c r="K1400" s="240" t="s">
        <v>241</v>
      </c>
      <c r="L1400" s="240" t="s">
        <v>518</v>
      </c>
      <c r="M1400" s="240"/>
      <c r="N1400" s="240" t="s">
        <v>63</v>
      </c>
      <c r="O1400" s="119" t="s">
        <v>34</v>
      </c>
      <c r="P1400" s="119" t="s">
        <v>48</v>
      </c>
      <c r="Q1400" s="119" t="s">
        <v>120</v>
      </c>
      <c r="R1400" s="273"/>
      <c r="S1400" s="273"/>
      <c r="T1400" s="274"/>
      <c r="U1400" s="73"/>
      <c r="V1400" s="216"/>
      <c r="W1400" s="118"/>
      <c r="X1400" s="119"/>
      <c r="Y1400" s="120"/>
      <c r="Z1400" s="120"/>
      <c r="AA1400" s="244"/>
      <c r="AB1400" s="241"/>
      <c r="AC1400" s="241"/>
      <c r="AD1400" s="244">
        <v>0</v>
      </c>
    </row>
    <row r="1401" spans="1:30" ht="15" customHeight="1">
      <c r="A1401" s="237">
        <v>31284</v>
      </c>
      <c r="B1401" s="121">
        <v>1</v>
      </c>
      <c r="C1401" s="238">
        <v>46224</v>
      </c>
      <c r="D1401" s="105">
        <f t="shared" ca="1" si="84"/>
        <v>3</v>
      </c>
      <c r="E1401" s="138" t="str">
        <f t="shared" ca="1" si="85"/>
        <v>NO PRAZO</v>
      </c>
      <c r="F1401" s="230" t="s">
        <v>28</v>
      </c>
      <c r="G1401" s="147" t="s">
        <v>102</v>
      </c>
      <c r="H1401" s="117" t="s">
        <v>91</v>
      </c>
      <c r="I1401" s="117" t="str">
        <f>IF(X1401="ADMITIDO","ADMITIDO",IF(X1401="CANCELADA","CANCELADA",IF(H1401="","",IFERROR(_xlfn.XLOOKUP(H1401,Listas!I:I,Listas!J:J),"OUTROS"))))</f>
        <v>TRIAGEM</v>
      </c>
      <c r="J1401" s="240" t="s">
        <v>2339</v>
      </c>
      <c r="K1401" s="240" t="s">
        <v>563</v>
      </c>
      <c r="L1401" s="240" t="s">
        <v>590</v>
      </c>
      <c r="M1401" s="240"/>
      <c r="N1401" s="240" t="s">
        <v>63</v>
      </c>
      <c r="O1401" s="119" t="s">
        <v>34</v>
      </c>
      <c r="P1401" s="119" t="s">
        <v>35</v>
      </c>
      <c r="Q1401" s="119" t="s">
        <v>1805</v>
      </c>
      <c r="R1401" s="273"/>
      <c r="S1401" s="273"/>
      <c r="T1401" s="274"/>
      <c r="U1401" s="73"/>
      <c r="V1401" s="216"/>
      <c r="W1401" s="118"/>
      <c r="X1401" s="119"/>
      <c r="Y1401" s="120"/>
      <c r="Z1401" s="120"/>
      <c r="AA1401" s="244"/>
      <c r="AB1401" s="241"/>
      <c r="AC1401" s="241"/>
      <c r="AD1401" s="244">
        <v>0</v>
      </c>
    </row>
    <row r="1402" spans="1:30" ht="15" customHeight="1">
      <c r="A1402" s="237">
        <v>31280</v>
      </c>
      <c r="B1402" s="121">
        <v>1</v>
      </c>
      <c r="C1402" s="238">
        <v>46224</v>
      </c>
      <c r="D1402" s="105">
        <f t="shared" ca="1" si="84"/>
        <v>3</v>
      </c>
      <c r="E1402" s="138" t="str">
        <f t="shared" ca="1" si="85"/>
        <v>NO PRAZO</v>
      </c>
      <c r="F1402" s="230" t="s">
        <v>42</v>
      </c>
      <c r="G1402" s="147" t="s">
        <v>167</v>
      </c>
      <c r="H1402" s="117" t="s">
        <v>181</v>
      </c>
      <c r="I1402" s="117" t="str">
        <f>IF(X1402="ADMITIDO","ADMITIDO",IF(X1402="CANCELADA","CANCELADA",IF(H1402="","",IFERROR(_xlfn.XLOOKUP(H1402,Listas!I:I,Listas!J:J),"OUTROS"))))</f>
        <v>DOCUMENTAÇÃO</v>
      </c>
      <c r="J1402" s="240" t="s">
        <v>53</v>
      </c>
      <c r="K1402" s="240" t="s">
        <v>103</v>
      </c>
      <c r="L1402" s="240" t="s">
        <v>1836</v>
      </c>
      <c r="M1402" s="240"/>
      <c r="N1402" s="240" t="s">
        <v>63</v>
      </c>
      <c r="O1402" s="119" t="s">
        <v>34</v>
      </c>
      <c r="P1402" s="119" t="s">
        <v>57</v>
      </c>
      <c r="Q1402" s="119" t="s">
        <v>98</v>
      </c>
      <c r="R1402" s="273"/>
      <c r="S1402" s="273"/>
      <c r="T1402" s="274"/>
      <c r="U1402" s="73"/>
      <c r="V1402" s="216"/>
      <c r="W1402" s="118"/>
      <c r="X1402" s="119"/>
      <c r="Y1402" s="120"/>
      <c r="Z1402" s="120"/>
      <c r="AA1402" s="244"/>
      <c r="AB1402" s="241"/>
      <c r="AC1402" s="241"/>
      <c r="AD1402" s="244">
        <v>0</v>
      </c>
    </row>
    <row r="1403" spans="1:30" ht="15" customHeight="1">
      <c r="A1403" s="237">
        <v>31278</v>
      </c>
      <c r="B1403" s="121">
        <v>1</v>
      </c>
      <c r="C1403" s="238">
        <v>46224</v>
      </c>
      <c r="D1403" s="105">
        <f t="shared" ca="1" si="84"/>
        <v>3</v>
      </c>
      <c r="E1403" s="138" t="str">
        <f t="shared" si="85"/>
        <v>ADMITIDO</v>
      </c>
      <c r="F1403" s="230" t="s">
        <v>28</v>
      </c>
      <c r="G1403" s="147" t="s">
        <v>167</v>
      </c>
      <c r="H1403" s="117" t="s">
        <v>181</v>
      </c>
      <c r="I1403" s="65" t="s">
        <v>3333</v>
      </c>
      <c r="J1403" s="240" t="s">
        <v>268</v>
      </c>
      <c r="K1403" s="240" t="s">
        <v>1820</v>
      </c>
      <c r="L1403" s="240" t="s">
        <v>2499</v>
      </c>
      <c r="M1403" s="240"/>
      <c r="N1403" s="240" t="s">
        <v>391</v>
      </c>
      <c r="O1403" s="119" t="s">
        <v>34</v>
      </c>
      <c r="P1403" s="119" t="s">
        <v>1243</v>
      </c>
      <c r="Q1403" s="119" t="s">
        <v>120</v>
      </c>
      <c r="R1403" s="273"/>
      <c r="S1403" s="273"/>
      <c r="T1403" s="274"/>
      <c r="U1403" s="73" t="s">
        <v>109</v>
      </c>
      <c r="V1403" s="216">
        <v>46224</v>
      </c>
      <c r="W1403" s="118" t="s">
        <v>3334</v>
      </c>
      <c r="X1403" s="119" t="s">
        <v>40</v>
      </c>
      <c r="Y1403" s="120">
        <v>46226</v>
      </c>
      <c r="Z1403" s="120">
        <v>46230</v>
      </c>
      <c r="AA1403" s="244">
        <v>914688</v>
      </c>
      <c r="AB1403" s="241"/>
      <c r="AC1403" s="241"/>
      <c r="AD1403" s="244">
        <v>0</v>
      </c>
    </row>
    <row r="1404" spans="1:30" ht="15" customHeight="1">
      <c r="A1404" s="237">
        <v>31266</v>
      </c>
      <c r="B1404" s="121">
        <v>1</v>
      </c>
      <c r="C1404" s="238">
        <v>46224</v>
      </c>
      <c r="D1404" s="105">
        <f t="shared" ca="1" si="84"/>
        <v>3</v>
      </c>
      <c r="E1404" s="138" t="str">
        <f t="shared" si="85"/>
        <v>ADMITIDO</v>
      </c>
      <c r="F1404" s="230" t="s">
        <v>171</v>
      </c>
      <c r="G1404" s="147" t="s">
        <v>167</v>
      </c>
      <c r="H1404" s="117" t="s">
        <v>181</v>
      </c>
      <c r="I1404" s="117" t="str">
        <f>IF(X1404="ADMITIDO","ADMITIDO",IF(X1404="CANCELADA","CANCELADA",IF(H1404="","",IFERROR(_xlfn.XLOOKUP(H1404,Listas!I:I,Listas!J:J),"OUTROS"))))</f>
        <v>ADMITIDO</v>
      </c>
      <c r="J1404" s="240" t="s">
        <v>172</v>
      </c>
      <c r="K1404" s="240" t="s">
        <v>371</v>
      </c>
      <c r="L1404" s="240" t="s">
        <v>2499</v>
      </c>
      <c r="M1404" s="240"/>
      <c r="N1404" s="240" t="s">
        <v>391</v>
      </c>
      <c r="O1404" s="119" t="s">
        <v>34</v>
      </c>
      <c r="P1404" s="119" t="s">
        <v>35</v>
      </c>
      <c r="Q1404" s="119" t="s">
        <v>36</v>
      </c>
      <c r="R1404" s="273"/>
      <c r="S1404" s="273"/>
      <c r="T1404" s="274"/>
      <c r="U1404" s="73" t="s">
        <v>109</v>
      </c>
      <c r="V1404" s="216">
        <v>46224</v>
      </c>
      <c r="W1404" s="118" t="s">
        <v>3335</v>
      </c>
      <c r="X1404" s="119" t="s">
        <v>40</v>
      </c>
      <c r="Y1404" s="120">
        <v>46226</v>
      </c>
      <c r="Z1404" s="120">
        <v>46230</v>
      </c>
      <c r="AA1404" s="244">
        <v>83396</v>
      </c>
      <c r="AB1404" s="241"/>
      <c r="AC1404" s="241"/>
      <c r="AD1404" s="244">
        <v>0</v>
      </c>
    </row>
    <row r="1405" spans="1:30" ht="15" customHeight="1">
      <c r="A1405" s="237">
        <v>31265</v>
      </c>
      <c r="B1405" s="121">
        <v>1</v>
      </c>
      <c r="C1405" s="238">
        <v>46224</v>
      </c>
      <c r="D1405" s="105">
        <f t="shared" ca="1" si="84"/>
        <v>3</v>
      </c>
      <c r="E1405" s="138" t="str">
        <f t="shared" ca="1" si="85"/>
        <v>NO PRAZO</v>
      </c>
      <c r="F1405" s="230" t="s">
        <v>171</v>
      </c>
      <c r="G1405" s="147" t="s">
        <v>145</v>
      </c>
      <c r="H1405" s="117" t="s">
        <v>91</v>
      </c>
      <c r="I1405" s="117" t="str">
        <f>IF(X1405="ADMITIDO","ADMITIDO",IF(X1405="CANCELADA","CANCELADA",IF(H1405="","",IFERROR(_xlfn.XLOOKUP(H1405,Listas!I:I,Listas!J:J),"OUTROS"))))</f>
        <v>TRIAGEM</v>
      </c>
      <c r="J1405" s="240" t="s">
        <v>172</v>
      </c>
      <c r="K1405" s="240" t="s">
        <v>318</v>
      </c>
      <c r="L1405" s="240" t="s">
        <v>2499</v>
      </c>
      <c r="M1405" s="240"/>
      <c r="N1405" s="240" t="s">
        <v>391</v>
      </c>
      <c r="O1405" s="119" t="s">
        <v>56</v>
      </c>
      <c r="P1405" s="119" t="s">
        <v>35</v>
      </c>
      <c r="Q1405" s="119" t="s">
        <v>176</v>
      </c>
      <c r="R1405" s="273"/>
      <c r="S1405" s="273"/>
      <c r="T1405" s="274"/>
      <c r="U1405" s="73" t="s">
        <v>109</v>
      </c>
      <c r="V1405" s="216">
        <v>46224</v>
      </c>
      <c r="W1405" s="118" t="s">
        <v>3336</v>
      </c>
      <c r="X1405" s="119" t="s">
        <v>188</v>
      </c>
      <c r="Y1405" s="120">
        <v>46227</v>
      </c>
      <c r="Z1405" s="120">
        <v>46231</v>
      </c>
      <c r="AA1405" s="244">
        <v>83400</v>
      </c>
      <c r="AB1405" s="241"/>
      <c r="AC1405" s="241"/>
      <c r="AD1405" s="244">
        <v>0</v>
      </c>
    </row>
    <row r="1406" spans="1:30" ht="15" customHeight="1">
      <c r="A1406" s="237">
        <v>31275</v>
      </c>
      <c r="B1406" s="121">
        <v>1</v>
      </c>
      <c r="C1406" s="238">
        <v>46224</v>
      </c>
      <c r="D1406" s="105">
        <f t="shared" ca="1" si="84"/>
        <v>3</v>
      </c>
      <c r="E1406" s="138" t="str">
        <f t="shared" ca="1" si="85"/>
        <v>NO PRAZO</v>
      </c>
      <c r="F1406" s="230" t="s">
        <v>171</v>
      </c>
      <c r="G1406" s="147" t="s">
        <v>552</v>
      </c>
      <c r="H1406" s="117" t="s">
        <v>91</v>
      </c>
      <c r="I1406" s="117" t="str">
        <f>IF(X1406="ADMITIDO","ADMITIDO",IF(X1406="CANCELADA","CANCELADA",IF(H1406="","",IFERROR(_xlfn.XLOOKUP(H1406,Listas!I:I,Listas!J:J),"OUTROS"))))</f>
        <v>TRIAGEM</v>
      </c>
      <c r="J1406" s="240" t="s">
        <v>172</v>
      </c>
      <c r="K1406" s="240" t="s">
        <v>553</v>
      </c>
      <c r="L1406" s="240" t="s">
        <v>2510</v>
      </c>
      <c r="M1406" s="240"/>
      <c r="N1406" s="240" t="s">
        <v>3337</v>
      </c>
      <c r="O1406" s="119" t="s">
        <v>56</v>
      </c>
      <c r="P1406" s="119" t="s">
        <v>35</v>
      </c>
      <c r="Q1406" s="119" t="s">
        <v>176</v>
      </c>
      <c r="R1406" s="273"/>
      <c r="S1406" s="273"/>
      <c r="T1406" s="274"/>
      <c r="U1406" s="73"/>
      <c r="V1406" s="216"/>
      <c r="W1406" s="118"/>
      <c r="X1406" s="119"/>
      <c r="Y1406" s="120"/>
      <c r="Z1406" s="120"/>
      <c r="AA1406" s="244"/>
      <c r="AB1406" s="241"/>
      <c r="AC1406" s="241"/>
      <c r="AD1406" s="244">
        <v>0</v>
      </c>
    </row>
    <row r="1407" spans="1:30" ht="15" customHeight="1">
      <c r="A1407" s="237">
        <v>31289</v>
      </c>
      <c r="B1407" s="121">
        <v>1</v>
      </c>
      <c r="C1407" s="238">
        <v>46224</v>
      </c>
      <c r="D1407" s="105">
        <v>1</v>
      </c>
      <c r="E1407" s="138" t="s">
        <v>3338</v>
      </c>
      <c r="F1407" s="230" t="s">
        <v>42</v>
      </c>
      <c r="G1407" s="147" t="s">
        <v>102</v>
      </c>
      <c r="H1407" s="117" t="s">
        <v>91</v>
      </c>
      <c r="I1407" s="117" t="s">
        <v>1977</v>
      </c>
      <c r="J1407" s="240" t="s">
        <v>44</v>
      </c>
      <c r="K1407" s="240" t="s">
        <v>103</v>
      </c>
      <c r="L1407" s="240" t="s">
        <v>1173</v>
      </c>
      <c r="M1407" s="240"/>
      <c r="N1407" s="240" t="s">
        <v>1174</v>
      </c>
      <c r="O1407" s="119" t="s">
        <v>34</v>
      </c>
      <c r="P1407" s="119" t="s">
        <v>48</v>
      </c>
      <c r="Q1407" s="119" t="s">
        <v>131</v>
      </c>
      <c r="R1407" s="273"/>
      <c r="S1407" s="273"/>
      <c r="T1407" s="274"/>
      <c r="U1407" s="73" t="s">
        <v>67</v>
      </c>
      <c r="V1407" s="216">
        <v>46226</v>
      </c>
      <c r="W1407" s="118" t="s">
        <v>3339</v>
      </c>
      <c r="X1407" s="119" t="s">
        <v>284</v>
      </c>
      <c r="Y1407" s="120"/>
      <c r="Z1407" s="120"/>
      <c r="AA1407" s="244"/>
      <c r="AB1407" s="241"/>
      <c r="AC1407" s="241"/>
      <c r="AD1407" s="244">
        <v>0</v>
      </c>
    </row>
    <row r="1408" spans="1:30" ht="15" customHeight="1">
      <c r="A1408" s="237">
        <v>31289</v>
      </c>
      <c r="B1408" s="121">
        <v>1</v>
      </c>
      <c r="C1408" s="238">
        <v>46224</v>
      </c>
      <c r="D1408" s="105">
        <f t="shared" ref="D1408:D1446" ca="1" si="86">TODAY()-C1408</f>
        <v>3</v>
      </c>
      <c r="E1408" s="138" t="str">
        <f t="shared" ref="E1408:E1446" ca="1" si="87">IF(X1408="ADMITIDO","ADMITIDO",IF(X1408="CANCELADA","CANCELADA",IF(H1408="","",IF(H1408="ADMITIDO","ADMITIDO",IF(H1408="CANCELADA","CANCELADA",IF(OR(H1408="ANALISE CANCELAMENTO",H1408="ANÁLISE CANCELAMENTO"),"EM ANÁLISE",IF(D1408="","",IF(D1408&lt;=7,"NO PRAZO",IF(D1408&lt;=14,"ATENÇÃO","CRÍTICO")))))))))</f>
        <v>NO PRAZO</v>
      </c>
      <c r="F1408" s="230" t="s">
        <v>42</v>
      </c>
      <c r="G1408" s="147" t="s">
        <v>102</v>
      </c>
      <c r="H1408" s="117" t="s">
        <v>91</v>
      </c>
      <c r="I1408" s="117" t="str">
        <f>IF(X1408="ADMITIDO","ADMITIDO",IF(X1408="CANCELADA","CANCELADA",IF(H1408="","",IFERROR(_xlfn.XLOOKUP(H1408,Listas!I:I,Listas!J:J),"OUTROS"))))</f>
        <v>TRIAGEM</v>
      </c>
      <c r="J1408" s="240" t="s">
        <v>44</v>
      </c>
      <c r="K1408" s="240" t="s">
        <v>103</v>
      </c>
      <c r="L1408" s="240" t="s">
        <v>1173</v>
      </c>
      <c r="M1408" s="240"/>
      <c r="N1408" s="240" t="s">
        <v>1174</v>
      </c>
      <c r="O1408" s="119" t="s">
        <v>34</v>
      </c>
      <c r="P1408" s="119" t="s">
        <v>48</v>
      </c>
      <c r="Q1408" s="119" t="s">
        <v>131</v>
      </c>
      <c r="R1408" s="273"/>
      <c r="S1408" s="273"/>
      <c r="T1408" s="274"/>
      <c r="U1408" s="73"/>
      <c r="V1408" s="216"/>
      <c r="W1408" s="118"/>
      <c r="X1408" s="119"/>
      <c r="Y1408" s="120"/>
      <c r="Z1408" s="120"/>
      <c r="AA1408" s="244"/>
      <c r="AB1408" s="241"/>
      <c r="AC1408" s="241"/>
      <c r="AD1408" s="244">
        <v>0</v>
      </c>
    </row>
    <row r="1409" spans="1:30" ht="15" customHeight="1">
      <c r="A1409" s="237">
        <v>31276</v>
      </c>
      <c r="B1409" s="121">
        <v>1</v>
      </c>
      <c r="C1409" s="238">
        <v>46224</v>
      </c>
      <c r="D1409" s="105">
        <f t="shared" ca="1" si="86"/>
        <v>3</v>
      </c>
      <c r="E1409" s="138" t="str">
        <f t="shared" ca="1" si="87"/>
        <v>NO PRAZO</v>
      </c>
      <c r="F1409" s="230" t="s">
        <v>28</v>
      </c>
      <c r="G1409" s="147" t="s">
        <v>43</v>
      </c>
      <c r="H1409" s="117" t="s">
        <v>833</v>
      </c>
      <c r="I1409" s="117" t="str">
        <f>IF(X1409="ADMITIDO","ADMITIDO",IF(X1409="CANCELADA","CANCELADA",IF(H1409="","",IFERROR(_xlfn.XLOOKUP(H1409,Listas!I:I,Listas!J:J),"OUTROS"))))</f>
        <v>ENTREVISTA OPS</v>
      </c>
      <c r="J1409" s="240" t="s">
        <v>737</v>
      </c>
      <c r="K1409" s="240" t="s">
        <v>1808</v>
      </c>
      <c r="L1409" s="240" t="s">
        <v>96</v>
      </c>
      <c r="M1409" s="240"/>
      <c r="N1409" s="240" t="s">
        <v>97</v>
      </c>
      <c r="O1409" s="119" t="s">
        <v>34</v>
      </c>
      <c r="P1409" s="119" t="s">
        <v>35</v>
      </c>
      <c r="Q1409" s="119" t="s">
        <v>36</v>
      </c>
      <c r="R1409" s="273" t="s">
        <v>3340</v>
      </c>
      <c r="S1409" s="273"/>
      <c r="T1409" s="274"/>
      <c r="U1409" s="73"/>
      <c r="V1409" s="216"/>
      <c r="W1409" s="118"/>
      <c r="X1409" s="119"/>
      <c r="Y1409" s="120"/>
      <c r="Z1409" s="120"/>
      <c r="AA1409" s="244"/>
      <c r="AB1409" s="241"/>
      <c r="AC1409" s="241"/>
      <c r="AD1409" s="244">
        <v>0</v>
      </c>
    </row>
    <row r="1410" spans="1:30" ht="15" customHeight="1">
      <c r="A1410" s="237">
        <v>31318</v>
      </c>
      <c r="B1410" s="121">
        <v>1</v>
      </c>
      <c r="C1410" s="238">
        <v>46225</v>
      </c>
      <c r="D1410" s="105">
        <f t="shared" ca="1" si="86"/>
        <v>2</v>
      </c>
      <c r="E1410" s="138" t="str">
        <f t="shared" ca="1" si="87"/>
        <v>NO PRAZO</v>
      </c>
      <c r="F1410" s="230" t="s">
        <v>28</v>
      </c>
      <c r="G1410" s="147" t="s">
        <v>145</v>
      </c>
      <c r="H1410" s="117" t="s">
        <v>91</v>
      </c>
      <c r="I1410" s="117" t="str">
        <f>IF(X1410="ADMITIDO","ADMITIDO",IF(X1410="CANCELADA","CANCELADA",IF(H1410="","",IFERROR(_xlfn.XLOOKUP(H1410,Listas!I:I,Listas!J:J),"OUTROS"))))</f>
        <v>TRIAGEM</v>
      </c>
      <c r="J1410" s="240" t="s">
        <v>268</v>
      </c>
      <c r="K1410" s="240" t="s">
        <v>330</v>
      </c>
      <c r="L1410" s="240" t="s">
        <v>3226</v>
      </c>
      <c r="M1410" s="240"/>
      <c r="N1410" s="240" t="s">
        <v>63</v>
      </c>
      <c r="O1410" s="119" t="s">
        <v>34</v>
      </c>
      <c r="P1410" s="119" t="s">
        <v>35</v>
      </c>
      <c r="Q1410" s="119" t="s">
        <v>36</v>
      </c>
      <c r="R1410" s="273"/>
      <c r="S1410" s="273"/>
      <c r="T1410" s="274"/>
      <c r="U1410" s="73"/>
      <c r="V1410" s="216"/>
      <c r="W1410" s="118"/>
      <c r="X1410" s="119"/>
      <c r="Y1410" s="120"/>
      <c r="Z1410" s="120"/>
      <c r="AA1410" s="244"/>
      <c r="AB1410" s="241"/>
      <c r="AC1410" s="241"/>
      <c r="AD1410" s="244">
        <v>0</v>
      </c>
    </row>
    <row r="1411" spans="1:30" ht="15" customHeight="1">
      <c r="A1411" s="237">
        <v>31317</v>
      </c>
      <c r="B1411" s="121">
        <v>1</v>
      </c>
      <c r="C1411" s="238">
        <v>46225</v>
      </c>
      <c r="D1411" s="105">
        <f t="shared" ca="1" si="86"/>
        <v>2</v>
      </c>
      <c r="E1411" s="138" t="str">
        <f t="shared" ca="1" si="87"/>
        <v>NO PRAZO</v>
      </c>
      <c r="F1411" s="230" t="s">
        <v>28</v>
      </c>
      <c r="G1411" s="147" t="s">
        <v>69</v>
      </c>
      <c r="H1411" s="117" t="s">
        <v>91</v>
      </c>
      <c r="I1411" s="117" t="str">
        <f>IF(X1411="ADMITIDO","ADMITIDO",IF(X1411="CANCELADA","CANCELADA",IF(H1411="","",IFERROR(_xlfn.XLOOKUP(H1411,Listas!I:I,Listas!J:J),"OUTROS"))))</f>
        <v>TRIAGEM</v>
      </c>
      <c r="J1411" s="240" t="s">
        <v>268</v>
      </c>
      <c r="K1411" s="240" t="s">
        <v>173</v>
      </c>
      <c r="L1411" s="240" t="s">
        <v>3226</v>
      </c>
      <c r="M1411" s="240"/>
      <c r="N1411" s="240" t="s">
        <v>63</v>
      </c>
      <c r="O1411" s="119" t="s">
        <v>56</v>
      </c>
      <c r="P1411" s="119" t="s">
        <v>35</v>
      </c>
      <c r="Q1411" s="119" t="s">
        <v>176</v>
      </c>
      <c r="R1411" s="273"/>
      <c r="S1411" s="273"/>
      <c r="T1411" s="274"/>
      <c r="U1411" s="73"/>
      <c r="V1411" s="216"/>
      <c r="W1411" s="118"/>
      <c r="X1411" s="119"/>
      <c r="Y1411" s="120"/>
      <c r="Z1411" s="120"/>
      <c r="AA1411" s="244"/>
      <c r="AB1411" s="241"/>
      <c r="AC1411" s="241"/>
      <c r="AD1411" s="244">
        <v>0</v>
      </c>
    </row>
    <row r="1412" spans="1:30" ht="15" customHeight="1">
      <c r="A1412" s="237">
        <v>31300</v>
      </c>
      <c r="B1412" s="121">
        <v>1</v>
      </c>
      <c r="C1412" s="238">
        <v>46225</v>
      </c>
      <c r="D1412" s="105">
        <f t="shared" ca="1" si="86"/>
        <v>2</v>
      </c>
      <c r="E1412" s="138" t="str">
        <f t="shared" ca="1" si="87"/>
        <v>NO PRAZO</v>
      </c>
      <c r="F1412" s="230" t="s">
        <v>28</v>
      </c>
      <c r="G1412" s="147" t="s">
        <v>145</v>
      </c>
      <c r="H1412" s="117" t="s">
        <v>91</v>
      </c>
      <c r="I1412" s="117" t="str">
        <f>IF(X1412="ADMITIDO","ADMITIDO",IF(X1412="CANCELADA","CANCELADA",IF(H1412="","",IFERROR(_xlfn.XLOOKUP(H1412,Listas!I:I,Listas!J:J),"OUTROS"))))</f>
        <v>TRIAGEM</v>
      </c>
      <c r="J1412" s="240" t="s">
        <v>268</v>
      </c>
      <c r="K1412" s="240" t="s">
        <v>423</v>
      </c>
      <c r="L1412" s="240" t="s">
        <v>3236</v>
      </c>
      <c r="M1412" s="240"/>
      <c r="N1412" s="240" t="s">
        <v>63</v>
      </c>
      <c r="O1412" s="119" t="s">
        <v>34</v>
      </c>
      <c r="P1412" s="119" t="s">
        <v>35</v>
      </c>
      <c r="Q1412" s="119" t="s">
        <v>36</v>
      </c>
      <c r="R1412" s="273"/>
      <c r="S1412" s="273"/>
      <c r="T1412" s="274"/>
      <c r="U1412" s="73"/>
      <c r="V1412" s="216"/>
      <c r="W1412" s="118"/>
      <c r="X1412" s="119"/>
      <c r="Y1412" s="120"/>
      <c r="Z1412" s="120"/>
      <c r="AA1412" s="244"/>
      <c r="AB1412" s="241"/>
      <c r="AC1412" s="241"/>
      <c r="AD1412" s="244">
        <v>0</v>
      </c>
    </row>
    <row r="1413" spans="1:30" ht="15" customHeight="1">
      <c r="A1413" s="237">
        <v>31299</v>
      </c>
      <c r="B1413" s="121">
        <v>1</v>
      </c>
      <c r="C1413" s="238">
        <v>46225</v>
      </c>
      <c r="D1413" s="105">
        <f t="shared" ca="1" si="86"/>
        <v>2</v>
      </c>
      <c r="E1413" s="138" t="str">
        <f t="shared" ca="1" si="87"/>
        <v>NO PRAZO</v>
      </c>
      <c r="F1413" s="230" t="s">
        <v>28</v>
      </c>
      <c r="G1413" s="147" t="s">
        <v>145</v>
      </c>
      <c r="H1413" s="117" t="s">
        <v>91</v>
      </c>
      <c r="I1413" s="117" t="str">
        <f>IF(X1413="ADMITIDO","ADMITIDO",IF(X1413="CANCELADA","CANCELADA",IF(H1413="","",IFERROR(_xlfn.XLOOKUP(H1413,Listas!I:I,Listas!J:J),"OUTROS"))))</f>
        <v>TRIAGEM</v>
      </c>
      <c r="J1413" s="240" t="s">
        <v>268</v>
      </c>
      <c r="K1413" s="240" t="s">
        <v>173</v>
      </c>
      <c r="L1413" s="240" t="s">
        <v>3236</v>
      </c>
      <c r="M1413" s="240"/>
      <c r="N1413" s="240" t="s">
        <v>63</v>
      </c>
      <c r="O1413" s="119" t="s">
        <v>56</v>
      </c>
      <c r="P1413" s="119" t="s">
        <v>35</v>
      </c>
      <c r="Q1413" s="119" t="s">
        <v>176</v>
      </c>
      <c r="R1413" s="273"/>
      <c r="S1413" s="273"/>
      <c r="T1413" s="274"/>
      <c r="U1413" s="73"/>
      <c r="V1413" s="216"/>
      <c r="W1413" s="118"/>
      <c r="X1413" s="119"/>
      <c r="Y1413" s="120"/>
      <c r="Z1413" s="120"/>
      <c r="AA1413" s="244"/>
      <c r="AB1413" s="241"/>
      <c r="AC1413" s="241"/>
      <c r="AD1413" s="244">
        <v>0</v>
      </c>
    </row>
    <row r="1414" spans="1:30" ht="15" customHeight="1">
      <c r="A1414" s="237">
        <v>31295</v>
      </c>
      <c r="B1414" s="121">
        <v>1</v>
      </c>
      <c r="C1414" s="238">
        <v>46225</v>
      </c>
      <c r="D1414" s="105">
        <f t="shared" ca="1" si="86"/>
        <v>2</v>
      </c>
      <c r="E1414" s="138" t="str">
        <f t="shared" ca="1" si="87"/>
        <v>NO PRAZO</v>
      </c>
      <c r="F1414" s="230" t="s">
        <v>171</v>
      </c>
      <c r="G1414" s="147" t="s">
        <v>29</v>
      </c>
      <c r="H1414" s="117" t="s">
        <v>91</v>
      </c>
      <c r="I1414" s="117" t="str">
        <f>IF(X1414="ADMITIDO","ADMITIDO",IF(X1414="CANCELADA","CANCELADA",IF(H1414="","",IFERROR(_xlfn.XLOOKUP(H1414,Listas!I:I,Listas!J:J),"OUTROS"))))</f>
        <v>TRIAGEM</v>
      </c>
      <c r="J1414" s="240" t="s">
        <v>172</v>
      </c>
      <c r="K1414" s="240" t="s">
        <v>2936</v>
      </c>
      <c r="L1414" s="240" t="s">
        <v>32</v>
      </c>
      <c r="M1414" s="240"/>
      <c r="N1414" s="240" t="s">
        <v>33</v>
      </c>
      <c r="O1414" s="119" t="s">
        <v>56</v>
      </c>
      <c r="P1414" s="119" t="s">
        <v>35</v>
      </c>
      <c r="Q1414" s="119" t="s">
        <v>176</v>
      </c>
      <c r="R1414" s="273"/>
      <c r="S1414" s="273"/>
      <c r="T1414" s="274"/>
      <c r="U1414" s="73"/>
      <c r="V1414" s="216"/>
      <c r="W1414" s="118"/>
      <c r="X1414" s="119"/>
      <c r="Y1414" s="120"/>
      <c r="Z1414" s="120"/>
      <c r="AA1414" s="244"/>
      <c r="AB1414" s="241"/>
      <c r="AC1414" s="241"/>
      <c r="AD1414" s="244">
        <v>0</v>
      </c>
    </row>
    <row r="1415" spans="1:30" ht="15" customHeight="1">
      <c r="A1415" s="237">
        <v>31311</v>
      </c>
      <c r="B1415" s="121">
        <v>1</v>
      </c>
      <c r="C1415" s="238">
        <v>46225</v>
      </c>
      <c r="D1415" s="105">
        <f t="shared" ca="1" si="86"/>
        <v>2</v>
      </c>
      <c r="E1415" s="138" t="str">
        <f t="shared" ca="1" si="87"/>
        <v>NO PRAZO</v>
      </c>
      <c r="F1415" s="230" t="s">
        <v>42</v>
      </c>
      <c r="G1415" s="147" t="s">
        <v>145</v>
      </c>
      <c r="H1415" s="117" t="s">
        <v>91</v>
      </c>
      <c r="I1415" s="117" t="str">
        <f>IF(X1415="ADMITIDO","ADMITIDO",IF(X1415="CANCELADA","CANCELADA",IF(H1415="","",IFERROR(_xlfn.XLOOKUP(H1415,Listas!I:I,Listas!J:J),"OUTROS"))))</f>
        <v>TRIAGEM</v>
      </c>
      <c r="J1415" s="240" t="s">
        <v>53</v>
      </c>
      <c r="K1415" s="240" t="s">
        <v>241</v>
      </c>
      <c r="L1415" s="240" t="s">
        <v>300</v>
      </c>
      <c r="M1415" s="240"/>
      <c r="N1415" s="240" t="s">
        <v>33</v>
      </c>
      <c r="O1415" s="119" t="s">
        <v>34</v>
      </c>
      <c r="P1415" s="119" t="s">
        <v>35</v>
      </c>
      <c r="Q1415" s="119" t="s">
        <v>36</v>
      </c>
      <c r="R1415" s="273"/>
      <c r="S1415" s="273"/>
      <c r="T1415" s="274"/>
      <c r="U1415" s="73"/>
      <c r="V1415" s="216"/>
      <c r="W1415" s="118"/>
      <c r="X1415" s="119"/>
      <c r="Y1415" s="120"/>
      <c r="Z1415" s="120"/>
      <c r="AA1415" s="244"/>
      <c r="AB1415" s="241"/>
      <c r="AC1415" s="241"/>
      <c r="AD1415" s="244">
        <v>0</v>
      </c>
    </row>
    <row r="1416" spans="1:30" ht="15" customHeight="1">
      <c r="A1416" s="237">
        <v>31312</v>
      </c>
      <c r="B1416" s="121">
        <v>1</v>
      </c>
      <c r="C1416" s="238">
        <v>46225</v>
      </c>
      <c r="D1416" s="105">
        <f t="shared" ca="1" si="86"/>
        <v>2</v>
      </c>
      <c r="E1416" s="138" t="str">
        <f t="shared" ca="1" si="87"/>
        <v>NO PRAZO</v>
      </c>
      <c r="F1416" s="230" t="s">
        <v>42</v>
      </c>
      <c r="G1416" s="147" t="s">
        <v>145</v>
      </c>
      <c r="H1416" s="117" t="s">
        <v>91</v>
      </c>
      <c r="I1416" s="117" t="str">
        <f>IF(X1416="ADMITIDO","ADMITIDO",IF(X1416="CANCELADA","CANCELADA",IF(H1416="","",IFERROR(_xlfn.XLOOKUP(H1416,Listas!I:I,Listas!J:J),"OUTROS"))))</f>
        <v>TRIAGEM</v>
      </c>
      <c r="J1416" s="240" t="s">
        <v>53</v>
      </c>
      <c r="K1416" s="240" t="s">
        <v>241</v>
      </c>
      <c r="L1416" s="240" t="s">
        <v>300</v>
      </c>
      <c r="M1416" s="240"/>
      <c r="N1416" s="240" t="s">
        <v>33</v>
      </c>
      <c r="O1416" s="119" t="s">
        <v>34</v>
      </c>
      <c r="P1416" s="119" t="s">
        <v>35</v>
      </c>
      <c r="Q1416" s="119" t="s">
        <v>36</v>
      </c>
      <c r="R1416" s="273"/>
      <c r="S1416" s="273"/>
      <c r="T1416" s="274"/>
      <c r="U1416" s="73"/>
      <c r="V1416" s="216"/>
      <c r="W1416" s="118"/>
      <c r="X1416" s="119"/>
      <c r="Y1416" s="120"/>
      <c r="Z1416" s="120"/>
      <c r="AA1416" s="244"/>
      <c r="AB1416" s="241"/>
      <c r="AC1416" s="241"/>
      <c r="AD1416" s="244">
        <v>0</v>
      </c>
    </row>
    <row r="1417" spans="1:30" ht="15" customHeight="1">
      <c r="A1417" s="237">
        <v>31308</v>
      </c>
      <c r="B1417" s="121">
        <v>1</v>
      </c>
      <c r="C1417" s="238">
        <v>46225</v>
      </c>
      <c r="D1417" s="105">
        <f t="shared" ca="1" si="86"/>
        <v>2</v>
      </c>
      <c r="E1417" s="138" t="str">
        <f t="shared" ca="1" si="87"/>
        <v>NO PRAZO</v>
      </c>
      <c r="F1417" s="230" t="s">
        <v>42</v>
      </c>
      <c r="G1417" s="147" t="s">
        <v>145</v>
      </c>
      <c r="H1417" s="117" t="s">
        <v>91</v>
      </c>
      <c r="I1417" s="117" t="str">
        <f>IF(X1417="ADMITIDO","ADMITIDO",IF(X1417="CANCELADA","CANCELADA",IF(H1417="","",IFERROR(_xlfn.XLOOKUP(H1417,Listas!I:I,Listas!J:J),"OUTROS"))))</f>
        <v>TRIAGEM</v>
      </c>
      <c r="J1417" s="240" t="s">
        <v>53</v>
      </c>
      <c r="K1417" s="240" t="s">
        <v>241</v>
      </c>
      <c r="L1417" s="240" t="s">
        <v>300</v>
      </c>
      <c r="M1417" s="240"/>
      <c r="N1417" s="240" t="s">
        <v>33</v>
      </c>
      <c r="O1417" s="119" t="s">
        <v>56</v>
      </c>
      <c r="P1417" s="119" t="s">
        <v>35</v>
      </c>
      <c r="Q1417" s="119" t="s">
        <v>176</v>
      </c>
      <c r="R1417" s="273"/>
      <c r="S1417" s="273"/>
      <c r="T1417" s="274"/>
      <c r="U1417" s="73"/>
      <c r="V1417" s="216"/>
      <c r="W1417" s="118"/>
      <c r="X1417" s="119"/>
      <c r="Y1417" s="120"/>
      <c r="Z1417" s="120"/>
      <c r="AA1417" s="244"/>
      <c r="AB1417" s="241"/>
      <c r="AC1417" s="241"/>
      <c r="AD1417" s="244">
        <v>0</v>
      </c>
    </row>
    <row r="1418" spans="1:30" ht="15" customHeight="1">
      <c r="A1418" s="237">
        <v>31309</v>
      </c>
      <c r="B1418" s="121">
        <v>1</v>
      </c>
      <c r="C1418" s="238">
        <v>46225</v>
      </c>
      <c r="D1418" s="105">
        <f t="shared" ca="1" si="86"/>
        <v>2</v>
      </c>
      <c r="E1418" s="138" t="str">
        <f t="shared" ca="1" si="87"/>
        <v>NO PRAZO</v>
      </c>
      <c r="F1418" s="230" t="s">
        <v>42</v>
      </c>
      <c r="G1418" s="147" t="s">
        <v>145</v>
      </c>
      <c r="H1418" s="117" t="s">
        <v>91</v>
      </c>
      <c r="I1418" s="117" t="str">
        <f>IF(X1418="ADMITIDO","ADMITIDO",IF(X1418="CANCELADA","CANCELADA",IF(H1418="","",IFERROR(_xlfn.XLOOKUP(H1418,Listas!I:I,Listas!J:J),"OUTROS"))))</f>
        <v>TRIAGEM</v>
      </c>
      <c r="J1418" s="240" t="s">
        <v>53</v>
      </c>
      <c r="K1418" s="240" t="s">
        <v>241</v>
      </c>
      <c r="L1418" s="240" t="s">
        <v>300</v>
      </c>
      <c r="M1418" s="240"/>
      <c r="N1418" s="240" t="s">
        <v>33</v>
      </c>
      <c r="O1418" s="119" t="s">
        <v>56</v>
      </c>
      <c r="P1418" s="119" t="s">
        <v>35</v>
      </c>
      <c r="Q1418" s="119" t="s">
        <v>176</v>
      </c>
      <c r="R1418" s="273"/>
      <c r="S1418" s="273"/>
      <c r="T1418" s="274"/>
      <c r="U1418" s="73"/>
      <c r="V1418" s="216"/>
      <c r="W1418" s="118"/>
      <c r="X1418" s="119"/>
      <c r="Y1418" s="120"/>
      <c r="Z1418" s="120"/>
      <c r="AA1418" s="244"/>
      <c r="AB1418" s="241"/>
      <c r="AC1418" s="241"/>
      <c r="AD1418" s="244">
        <v>0</v>
      </c>
    </row>
    <row r="1419" spans="1:30" ht="15" customHeight="1">
      <c r="A1419" s="237">
        <v>31286</v>
      </c>
      <c r="B1419" s="121">
        <v>1</v>
      </c>
      <c r="C1419" s="238">
        <v>46225</v>
      </c>
      <c r="D1419" s="105">
        <f t="shared" ca="1" si="86"/>
        <v>2</v>
      </c>
      <c r="E1419" s="138" t="str">
        <f t="shared" ca="1" si="87"/>
        <v>NO PRAZO</v>
      </c>
      <c r="F1419" s="230" t="s">
        <v>42</v>
      </c>
      <c r="G1419" s="147" t="s">
        <v>60</v>
      </c>
      <c r="H1419" s="117" t="s">
        <v>91</v>
      </c>
      <c r="I1419" s="117" t="str">
        <f>IF(X1419="ADMITIDO","ADMITIDO",IF(X1419="CANCELADA","CANCELADA",IF(H1419="","",IFERROR(_xlfn.XLOOKUP(H1419,Listas!I:I,Listas!J:J),"OUTROS"))))</f>
        <v>TRIAGEM</v>
      </c>
      <c r="J1419" s="240" t="s">
        <v>53</v>
      </c>
      <c r="K1419" s="240" t="s">
        <v>61</v>
      </c>
      <c r="L1419" s="240" t="s">
        <v>161</v>
      </c>
      <c r="M1419" s="240"/>
      <c r="N1419" s="240" t="s">
        <v>33</v>
      </c>
      <c r="O1419" s="119" t="s">
        <v>34</v>
      </c>
      <c r="P1419" s="119" t="s">
        <v>72</v>
      </c>
      <c r="Q1419" s="119" t="s">
        <v>3341</v>
      </c>
      <c r="R1419" s="273"/>
      <c r="S1419" s="273"/>
      <c r="T1419" s="274"/>
      <c r="U1419" s="73"/>
      <c r="V1419" s="216"/>
      <c r="W1419" s="118"/>
      <c r="X1419" s="119"/>
      <c r="Y1419" s="120"/>
      <c r="Z1419" s="120"/>
      <c r="AA1419" s="244"/>
      <c r="AB1419" s="241"/>
      <c r="AC1419" s="241"/>
      <c r="AD1419" s="244">
        <v>0</v>
      </c>
    </row>
    <row r="1420" spans="1:30" ht="15" customHeight="1">
      <c r="A1420" s="237">
        <v>31301</v>
      </c>
      <c r="B1420" s="121">
        <v>1</v>
      </c>
      <c r="C1420" s="238">
        <v>46225</v>
      </c>
      <c r="D1420" s="105">
        <f t="shared" ca="1" si="86"/>
        <v>2</v>
      </c>
      <c r="E1420" s="138" t="str">
        <f t="shared" ca="1" si="87"/>
        <v>NO PRAZO</v>
      </c>
      <c r="F1420" s="230" t="s">
        <v>42</v>
      </c>
      <c r="G1420" s="147" t="s">
        <v>43</v>
      </c>
      <c r="H1420" s="117" t="s">
        <v>91</v>
      </c>
      <c r="I1420" s="117" t="str">
        <f>IF(X1420="ADMITIDO","ADMITIDO",IF(X1420="CANCELADA","CANCELADA",IF(H1420="","",IFERROR(_xlfn.XLOOKUP(H1420,Listas!I:I,Listas!J:J),"OUTROS"))))</f>
        <v>TRIAGEM</v>
      </c>
      <c r="J1420" s="240" t="s">
        <v>53</v>
      </c>
      <c r="K1420" s="240" t="s">
        <v>45</v>
      </c>
      <c r="L1420" s="240" t="s">
        <v>1275</v>
      </c>
      <c r="M1420" s="240"/>
      <c r="N1420" s="240" t="s">
        <v>378</v>
      </c>
      <c r="O1420" s="119" t="s">
        <v>34</v>
      </c>
      <c r="P1420" s="119" t="s">
        <v>48</v>
      </c>
      <c r="Q1420" s="119" t="s">
        <v>541</v>
      </c>
      <c r="R1420" s="273"/>
      <c r="S1420" s="273"/>
      <c r="T1420" s="274"/>
      <c r="U1420" s="73"/>
      <c r="V1420" s="216"/>
      <c r="W1420" s="118"/>
      <c r="X1420" s="119"/>
      <c r="Y1420" s="120"/>
      <c r="Z1420" s="120"/>
      <c r="AA1420" s="244"/>
      <c r="AB1420" s="241"/>
      <c r="AC1420" s="241"/>
      <c r="AD1420" s="244">
        <v>0</v>
      </c>
    </row>
    <row r="1421" spans="1:30" ht="15" customHeight="1">
      <c r="A1421" s="237">
        <v>31291</v>
      </c>
      <c r="B1421" s="121">
        <v>1</v>
      </c>
      <c r="C1421" s="238">
        <v>46225</v>
      </c>
      <c r="D1421" s="105">
        <f t="shared" ca="1" si="86"/>
        <v>2</v>
      </c>
      <c r="E1421" s="138" t="str">
        <f t="shared" ca="1" si="87"/>
        <v>NO PRAZO</v>
      </c>
      <c r="F1421" s="230" t="s">
        <v>42</v>
      </c>
      <c r="G1421" s="147" t="s">
        <v>240</v>
      </c>
      <c r="H1421" s="117" t="s">
        <v>91</v>
      </c>
      <c r="I1421" s="117" t="str">
        <f>IF(X1421="ADMITIDO","ADMITIDO",IF(X1421="CANCELADA","CANCELADA",IF(H1421="","",IFERROR(_xlfn.XLOOKUP(H1421,Listas!I:I,Listas!J:J),"OUTROS"))))</f>
        <v>TRIAGEM</v>
      </c>
      <c r="J1421" s="240" t="s">
        <v>44</v>
      </c>
      <c r="K1421" s="240" t="s">
        <v>241</v>
      </c>
      <c r="L1421" s="240" t="s">
        <v>351</v>
      </c>
      <c r="M1421" s="240"/>
      <c r="N1421" s="240" t="s">
        <v>63</v>
      </c>
      <c r="O1421" s="119" t="s">
        <v>34</v>
      </c>
      <c r="P1421" s="119" t="s">
        <v>57</v>
      </c>
      <c r="Q1421" s="119" t="s">
        <v>470</v>
      </c>
      <c r="R1421" s="273"/>
      <c r="S1421" s="273"/>
      <c r="T1421" s="274"/>
      <c r="U1421" s="73"/>
      <c r="V1421" s="216"/>
      <c r="W1421" s="118"/>
      <c r="X1421" s="119"/>
      <c r="Y1421" s="120"/>
      <c r="Z1421" s="120"/>
      <c r="AA1421" s="244"/>
      <c r="AB1421" s="241"/>
      <c r="AC1421" s="241"/>
      <c r="AD1421" s="244">
        <v>0</v>
      </c>
    </row>
    <row r="1422" spans="1:30" ht="15" customHeight="1">
      <c r="A1422" s="237">
        <v>31294</v>
      </c>
      <c r="B1422" s="121">
        <v>1</v>
      </c>
      <c r="C1422" s="238">
        <v>46225</v>
      </c>
      <c r="D1422" s="105">
        <f t="shared" ca="1" si="86"/>
        <v>2</v>
      </c>
      <c r="E1422" s="138" t="str">
        <f t="shared" ca="1" si="87"/>
        <v>NO PRAZO</v>
      </c>
      <c r="F1422" s="230" t="s">
        <v>42</v>
      </c>
      <c r="G1422" s="147" t="s">
        <v>69</v>
      </c>
      <c r="H1422" s="117" t="s">
        <v>91</v>
      </c>
      <c r="I1422" s="117" t="str">
        <f>IF(X1422="ADMITIDO","ADMITIDO",IF(X1422="CANCELADA","CANCELADA",IF(H1422="","",IFERROR(_xlfn.XLOOKUP(H1422,Listas!I:I,Listas!J:J),"OUTROS"))))</f>
        <v>TRIAGEM</v>
      </c>
      <c r="J1422" s="240" t="s">
        <v>53</v>
      </c>
      <c r="K1422" s="240" t="s">
        <v>70</v>
      </c>
      <c r="L1422" s="240" t="s">
        <v>747</v>
      </c>
      <c r="M1422" s="240"/>
      <c r="N1422" s="240" t="s">
        <v>63</v>
      </c>
      <c r="O1422" s="119" t="s">
        <v>34</v>
      </c>
      <c r="P1422" s="119" t="s">
        <v>57</v>
      </c>
      <c r="Q1422" s="119" t="s">
        <v>561</v>
      </c>
      <c r="R1422" s="273"/>
      <c r="S1422" s="273"/>
      <c r="T1422" s="274"/>
      <c r="U1422" s="73"/>
      <c r="V1422" s="216"/>
      <c r="W1422" s="118"/>
      <c r="X1422" s="119"/>
      <c r="Y1422" s="120"/>
      <c r="Z1422" s="120"/>
      <c r="AA1422" s="244"/>
      <c r="AB1422" s="241"/>
      <c r="AC1422" s="241"/>
      <c r="AD1422" s="244">
        <v>0</v>
      </c>
    </row>
    <row r="1423" spans="1:30" ht="15" customHeight="1">
      <c r="A1423" s="237">
        <v>31296</v>
      </c>
      <c r="B1423" s="121">
        <v>1</v>
      </c>
      <c r="C1423" s="238">
        <v>46225</v>
      </c>
      <c r="D1423" s="105">
        <f t="shared" ca="1" si="86"/>
        <v>2</v>
      </c>
      <c r="E1423" s="138" t="str">
        <f t="shared" ca="1" si="87"/>
        <v>NO PRAZO</v>
      </c>
      <c r="F1423" s="230" t="s">
        <v>171</v>
      </c>
      <c r="G1423" s="147" t="s">
        <v>29</v>
      </c>
      <c r="H1423" s="117" t="s">
        <v>181</v>
      </c>
      <c r="I1423" s="117" t="str">
        <f>IF(X1423="ADMITIDO","ADMITIDO",IF(X1423="CANCELADA","CANCELADA",IF(H1423="","",IFERROR(_xlfn.XLOOKUP(H1423,Listas!I:I,Listas!J:J),"OUTROS"))))</f>
        <v>DOCUMENTAÇÃO</v>
      </c>
      <c r="J1423" s="240" t="s">
        <v>172</v>
      </c>
      <c r="K1423" s="240" t="s">
        <v>2936</v>
      </c>
      <c r="L1423" s="240" t="s">
        <v>1103</v>
      </c>
      <c r="M1423" s="240"/>
      <c r="N1423" s="240" t="s">
        <v>93</v>
      </c>
      <c r="O1423" s="119" t="s">
        <v>56</v>
      </c>
      <c r="P1423" s="119" t="s">
        <v>35</v>
      </c>
      <c r="Q1423" s="119" t="s">
        <v>176</v>
      </c>
      <c r="R1423" s="273"/>
      <c r="S1423" s="273"/>
      <c r="T1423" s="274" t="s">
        <v>3342</v>
      </c>
      <c r="U1423" s="73" t="s">
        <v>38</v>
      </c>
      <c r="V1423" s="216" t="s">
        <v>3291</v>
      </c>
      <c r="W1423" s="118" t="s">
        <v>3343</v>
      </c>
      <c r="X1423" s="119"/>
      <c r="Y1423" s="120"/>
      <c r="Z1423" s="120"/>
      <c r="AA1423" s="244"/>
      <c r="AB1423" s="241"/>
      <c r="AC1423" s="241"/>
      <c r="AD1423" s="244">
        <v>0</v>
      </c>
    </row>
    <row r="1424" spans="1:30" ht="15" customHeight="1">
      <c r="A1424" s="237">
        <v>31320</v>
      </c>
      <c r="B1424" s="121">
        <v>1</v>
      </c>
      <c r="C1424" s="238">
        <v>46225</v>
      </c>
      <c r="D1424" s="105">
        <f t="shared" ca="1" si="86"/>
        <v>2</v>
      </c>
      <c r="E1424" s="138" t="str">
        <f t="shared" ca="1" si="87"/>
        <v>NO PRAZO</v>
      </c>
      <c r="F1424" s="230" t="s">
        <v>28</v>
      </c>
      <c r="G1424" s="147" t="s">
        <v>663</v>
      </c>
      <c r="H1424" s="117" t="s">
        <v>569</v>
      </c>
      <c r="I1424" s="117" t="str">
        <f>IF(X1424="ADMITIDO","ADMITIDO",IF(X1424="CANCELADA","CANCELADA",IF(H1424="","",IFERROR(_xlfn.XLOOKUP(H1424,Listas!I:I,Listas!J:J),"OUTROS"))))</f>
        <v>PESQUISA</v>
      </c>
      <c r="J1424" s="240" t="s">
        <v>30</v>
      </c>
      <c r="K1424" s="240" t="s">
        <v>614</v>
      </c>
      <c r="L1424" s="240" t="s">
        <v>3344</v>
      </c>
      <c r="M1424" s="240"/>
      <c r="N1424" s="240" t="s">
        <v>611</v>
      </c>
      <c r="O1424" s="119" t="s">
        <v>56</v>
      </c>
      <c r="P1424" s="119" t="s">
        <v>35</v>
      </c>
      <c r="Q1424" s="119" t="s">
        <v>176</v>
      </c>
      <c r="R1424" s="273"/>
      <c r="S1424" s="273"/>
      <c r="T1424" s="274"/>
      <c r="U1424" s="73"/>
      <c r="V1424" s="216"/>
      <c r="W1424" s="58" t="s">
        <v>3345</v>
      </c>
      <c r="X1424" s="119" t="s">
        <v>810</v>
      </c>
      <c r="Y1424" s="120"/>
      <c r="Z1424" s="120"/>
      <c r="AA1424" s="244"/>
      <c r="AB1424" s="241"/>
      <c r="AC1424" s="241"/>
      <c r="AD1424" s="244">
        <v>0</v>
      </c>
    </row>
    <row r="1425" spans="1:30" ht="15" customHeight="1">
      <c r="A1425" s="237">
        <v>31304</v>
      </c>
      <c r="B1425" s="121">
        <v>1</v>
      </c>
      <c r="C1425" s="238">
        <v>46225</v>
      </c>
      <c r="D1425" s="105">
        <f t="shared" ca="1" si="86"/>
        <v>2</v>
      </c>
      <c r="E1425" s="138" t="str">
        <f t="shared" ca="1" si="87"/>
        <v>NO PRAZO</v>
      </c>
      <c r="F1425" s="230" t="s">
        <v>28</v>
      </c>
      <c r="G1425" s="147" t="s">
        <v>240</v>
      </c>
      <c r="H1425" s="117" t="s">
        <v>181</v>
      </c>
      <c r="I1425" s="117" t="str">
        <f>IF(X1425="ADMITIDO","ADMITIDO",IF(X1425="CANCELADA","CANCELADA",IF(H1425="","",IFERROR(_xlfn.XLOOKUP(H1425,Listas!I:I,Listas!J:J),"OUTROS"))))</f>
        <v>DOCUMENTAÇÃO</v>
      </c>
      <c r="J1425" s="240" t="s">
        <v>268</v>
      </c>
      <c r="K1425" s="240" t="s">
        <v>423</v>
      </c>
      <c r="L1425" s="240" t="s">
        <v>2464</v>
      </c>
      <c r="M1425" s="240"/>
      <c r="N1425" s="240" t="s">
        <v>999</v>
      </c>
      <c r="O1425" s="119" t="s">
        <v>34</v>
      </c>
      <c r="P1425" s="119" t="s">
        <v>35</v>
      </c>
      <c r="Q1425" s="119" t="s">
        <v>36</v>
      </c>
      <c r="R1425" s="273"/>
      <c r="S1425" s="273"/>
      <c r="T1425" s="274"/>
      <c r="U1425" s="73" t="s">
        <v>109</v>
      </c>
      <c r="V1425" s="216">
        <v>46226</v>
      </c>
      <c r="W1425" s="118" t="s">
        <v>3346</v>
      </c>
      <c r="X1425" s="119" t="s">
        <v>284</v>
      </c>
      <c r="Y1425" s="120"/>
      <c r="Z1425" s="120"/>
      <c r="AA1425" s="244"/>
      <c r="AB1425" s="241"/>
      <c r="AC1425" s="241"/>
      <c r="AD1425" s="244">
        <v>0</v>
      </c>
    </row>
    <row r="1426" spans="1:30" ht="15" customHeight="1">
      <c r="A1426" s="237">
        <v>31316</v>
      </c>
      <c r="B1426" s="121">
        <v>1</v>
      </c>
      <c r="C1426" s="238">
        <v>46225</v>
      </c>
      <c r="D1426" s="105">
        <f t="shared" ca="1" si="86"/>
        <v>2</v>
      </c>
      <c r="E1426" s="138" t="str">
        <f t="shared" ca="1" si="87"/>
        <v>NO PRAZO</v>
      </c>
      <c r="F1426" s="230" t="s">
        <v>42</v>
      </c>
      <c r="G1426" s="147" t="s">
        <v>102</v>
      </c>
      <c r="H1426" s="117" t="s">
        <v>91</v>
      </c>
      <c r="I1426" s="117" t="str">
        <f>IF(X1426="ADMITIDO","ADMITIDO",IF(X1426="CANCELADA","CANCELADA",IF(H1426="","",IFERROR(_xlfn.XLOOKUP(H1426,Listas!I:I,Listas!J:J),"OUTROS"))))</f>
        <v>TRIAGEM</v>
      </c>
      <c r="J1426" s="240" t="s">
        <v>53</v>
      </c>
      <c r="K1426" s="240" t="s">
        <v>103</v>
      </c>
      <c r="L1426" s="240" t="s">
        <v>1173</v>
      </c>
      <c r="M1426" s="240"/>
      <c r="N1426" s="240" t="s">
        <v>1174</v>
      </c>
      <c r="O1426" s="119" t="s">
        <v>56</v>
      </c>
      <c r="P1426" s="119" t="s">
        <v>35</v>
      </c>
      <c r="Q1426" s="119" t="s">
        <v>176</v>
      </c>
      <c r="R1426" s="273"/>
      <c r="S1426" s="273"/>
      <c r="T1426" s="274"/>
      <c r="U1426" s="73"/>
      <c r="V1426" s="216"/>
      <c r="W1426" s="118"/>
      <c r="X1426" s="119"/>
      <c r="Y1426" s="120"/>
      <c r="Z1426" s="120"/>
      <c r="AA1426" s="244"/>
      <c r="AB1426" s="241"/>
      <c r="AC1426" s="241"/>
      <c r="AD1426" s="244">
        <v>0</v>
      </c>
    </row>
    <row r="1427" spans="1:30" ht="15" customHeight="1">
      <c r="A1427" s="237">
        <v>31283</v>
      </c>
      <c r="B1427" s="121">
        <v>1</v>
      </c>
      <c r="C1427" s="238">
        <v>46225</v>
      </c>
      <c r="D1427" s="105">
        <f t="shared" ca="1" si="86"/>
        <v>2</v>
      </c>
      <c r="E1427" s="138" t="str">
        <f t="shared" ca="1" si="87"/>
        <v>NO PRAZO</v>
      </c>
      <c r="F1427" s="230" t="s">
        <v>42</v>
      </c>
      <c r="G1427" s="147" t="s">
        <v>60</v>
      </c>
      <c r="H1427" s="117" t="s">
        <v>91</v>
      </c>
      <c r="I1427" s="117" t="str">
        <f>IF(X1427="ADMITIDO","ADMITIDO",IF(X1427="CANCELADA","CANCELADA",IF(H1427="","",IFERROR(_xlfn.XLOOKUP(H1427,Listas!I:I,Listas!J:J),"OUTROS"))))</f>
        <v>TRIAGEM</v>
      </c>
      <c r="J1427" s="240" t="s">
        <v>461</v>
      </c>
      <c r="K1427" s="240" t="s">
        <v>61</v>
      </c>
      <c r="L1427" s="240" t="s">
        <v>112</v>
      </c>
      <c r="M1427" s="240"/>
      <c r="N1427" s="240" t="s">
        <v>63</v>
      </c>
      <c r="O1427" s="119" t="s">
        <v>34</v>
      </c>
      <c r="P1427" s="119" t="s">
        <v>57</v>
      </c>
      <c r="Q1427" s="119" t="s">
        <v>151</v>
      </c>
      <c r="R1427" s="273"/>
      <c r="S1427" s="273"/>
      <c r="T1427" s="274"/>
      <c r="U1427" s="73"/>
      <c r="V1427" s="216"/>
      <c r="W1427" s="118"/>
      <c r="X1427" s="119"/>
      <c r="Y1427" s="120"/>
      <c r="Z1427" s="120"/>
      <c r="AA1427" s="244"/>
      <c r="AB1427" s="241"/>
      <c r="AC1427" s="241"/>
      <c r="AD1427" s="244">
        <v>0</v>
      </c>
    </row>
    <row r="1428" spans="1:30" ht="15" customHeight="1">
      <c r="A1428" s="237">
        <v>31293</v>
      </c>
      <c r="B1428" s="121">
        <v>1</v>
      </c>
      <c r="C1428" s="238">
        <v>46225</v>
      </c>
      <c r="D1428" s="105">
        <f t="shared" ca="1" si="86"/>
        <v>2</v>
      </c>
      <c r="E1428" s="138" t="str">
        <f t="shared" ca="1" si="87"/>
        <v>NO PRAZO</v>
      </c>
      <c r="F1428" s="230" t="s">
        <v>42</v>
      </c>
      <c r="G1428" s="147" t="s">
        <v>102</v>
      </c>
      <c r="H1428" s="117" t="s">
        <v>91</v>
      </c>
      <c r="I1428" s="117" t="str">
        <f>IF(X1428="ADMITIDO","ADMITIDO",IF(X1428="CANCELADA","CANCELADA",IF(H1428="","",IFERROR(_xlfn.XLOOKUP(H1428,Listas!I:I,Listas!J:J),"OUTROS"))))</f>
        <v>TRIAGEM</v>
      </c>
      <c r="J1428" s="240" t="s">
        <v>53</v>
      </c>
      <c r="K1428" s="240" t="s">
        <v>103</v>
      </c>
      <c r="L1428" s="240" t="s">
        <v>488</v>
      </c>
      <c r="M1428" s="240"/>
      <c r="N1428" s="240" t="s">
        <v>63</v>
      </c>
      <c r="O1428" s="119" t="s">
        <v>34</v>
      </c>
      <c r="P1428" s="119" t="s">
        <v>210</v>
      </c>
      <c r="Q1428" s="119" t="s">
        <v>1170</v>
      </c>
      <c r="R1428" s="273"/>
      <c r="S1428" s="273"/>
      <c r="T1428" s="274"/>
      <c r="U1428" s="73"/>
      <c r="V1428" s="216"/>
      <c r="W1428" s="118"/>
      <c r="X1428" s="119"/>
      <c r="Y1428" s="120"/>
      <c r="Z1428" s="120"/>
      <c r="AA1428" s="244"/>
      <c r="AB1428" s="241"/>
      <c r="AC1428" s="241"/>
      <c r="AD1428" s="244">
        <v>0</v>
      </c>
    </row>
    <row r="1429" spans="1:30" ht="15" customHeight="1">
      <c r="A1429" s="237">
        <v>31277</v>
      </c>
      <c r="B1429" s="121">
        <v>1</v>
      </c>
      <c r="C1429" s="238">
        <v>46225</v>
      </c>
      <c r="D1429" s="105">
        <f t="shared" ca="1" si="86"/>
        <v>2</v>
      </c>
      <c r="E1429" s="138" t="str">
        <f t="shared" ca="1" si="87"/>
        <v>NO PRAZO</v>
      </c>
      <c r="F1429" s="230" t="s">
        <v>28</v>
      </c>
      <c r="G1429" s="147" t="s">
        <v>43</v>
      </c>
      <c r="H1429" s="117" t="s">
        <v>181</v>
      </c>
      <c r="I1429" s="117" t="str">
        <f>IF(X1429="ADMITIDO","ADMITIDO",IF(X1429="CANCELADA","CANCELADA",IF(H1429="","",IFERROR(_xlfn.XLOOKUP(H1429,Listas!I:I,Listas!J:J),"OUTROS"))))</f>
        <v>DOCUMENTAÇÃO</v>
      </c>
      <c r="J1429" s="240" t="s">
        <v>616</v>
      </c>
      <c r="K1429" s="240" t="s">
        <v>1808</v>
      </c>
      <c r="L1429" s="240" t="s">
        <v>700</v>
      </c>
      <c r="M1429" s="240"/>
      <c r="N1429" s="240" t="s">
        <v>47</v>
      </c>
      <c r="O1429" s="119" t="s">
        <v>34</v>
      </c>
      <c r="P1429" s="119" t="s">
        <v>35</v>
      </c>
      <c r="Q1429" s="119" t="s">
        <v>711</v>
      </c>
      <c r="R1429" s="273"/>
      <c r="S1429" s="273" t="s">
        <v>1375</v>
      </c>
      <c r="T1429" s="274">
        <v>11933761089</v>
      </c>
      <c r="U1429" s="73" t="s">
        <v>50</v>
      </c>
      <c r="V1429" s="216">
        <v>46226</v>
      </c>
      <c r="W1429" s="118" t="s">
        <v>3347</v>
      </c>
      <c r="X1429" s="119" t="s">
        <v>284</v>
      </c>
      <c r="Y1429" s="120"/>
      <c r="Z1429" s="120"/>
      <c r="AA1429" s="244"/>
      <c r="AB1429" s="241" t="s">
        <v>3320</v>
      </c>
      <c r="AC1429" s="241"/>
      <c r="AD1429" s="244">
        <v>0</v>
      </c>
    </row>
    <row r="1430" spans="1:30" ht="15" customHeight="1">
      <c r="A1430" s="237">
        <v>31297</v>
      </c>
      <c r="B1430" s="121">
        <v>1</v>
      </c>
      <c r="C1430" s="238">
        <v>46225</v>
      </c>
      <c r="D1430" s="105">
        <f t="shared" ca="1" si="86"/>
        <v>2</v>
      </c>
      <c r="E1430" s="138" t="str">
        <f t="shared" ca="1" si="87"/>
        <v>NO PRAZO</v>
      </c>
      <c r="F1430" s="230" t="s">
        <v>28</v>
      </c>
      <c r="G1430" s="147" t="s">
        <v>29</v>
      </c>
      <c r="H1430" s="117" t="s">
        <v>181</v>
      </c>
      <c r="I1430" s="117" t="str">
        <f>IF(X1430="ADMITIDO","ADMITIDO",IF(X1430="CANCELADA","CANCELADA",IF(H1430="","",IFERROR(_xlfn.XLOOKUP(H1430,Listas!I:I,Listas!J:J),"OUTROS"))))</f>
        <v>DOCUMENTAÇÃO</v>
      </c>
      <c r="J1430" s="240" t="s">
        <v>670</v>
      </c>
      <c r="K1430" s="240" t="s">
        <v>31</v>
      </c>
      <c r="L1430" s="240" t="s">
        <v>865</v>
      </c>
      <c r="M1430" s="240"/>
      <c r="N1430" s="240" t="s">
        <v>93</v>
      </c>
      <c r="O1430" s="119" t="s">
        <v>34</v>
      </c>
      <c r="P1430" s="119" t="s">
        <v>48</v>
      </c>
      <c r="Q1430" s="119" t="s">
        <v>3348</v>
      </c>
      <c r="R1430" s="273"/>
      <c r="S1430" s="273"/>
      <c r="T1430" s="274" t="s">
        <v>3349</v>
      </c>
      <c r="U1430" s="73" t="s">
        <v>38</v>
      </c>
      <c r="V1430" s="216" t="s">
        <v>3294</v>
      </c>
      <c r="W1430" s="118" t="s">
        <v>3350</v>
      </c>
      <c r="X1430" s="119"/>
      <c r="Y1430" s="120"/>
      <c r="Z1430" s="120"/>
      <c r="AA1430" s="244"/>
      <c r="AB1430" s="241"/>
      <c r="AC1430" s="241"/>
      <c r="AD1430" s="244">
        <v>0</v>
      </c>
    </row>
    <row r="1431" spans="1:30" ht="15" customHeight="1">
      <c r="A1431" s="237">
        <v>30869</v>
      </c>
      <c r="B1431" s="121">
        <v>1</v>
      </c>
      <c r="C1431" s="238">
        <v>46196</v>
      </c>
      <c r="D1431" s="105">
        <f t="shared" ca="1" si="86"/>
        <v>31</v>
      </c>
      <c r="E1431" s="138" t="str">
        <f t="shared" ca="1" si="87"/>
        <v>CRÍTICO</v>
      </c>
      <c r="F1431" s="230" t="s">
        <v>171</v>
      </c>
      <c r="G1431" s="147" t="s">
        <v>43</v>
      </c>
      <c r="H1431" s="117" t="s">
        <v>91</v>
      </c>
      <c r="I1431" s="117" t="str">
        <f>IF(X1431="ADMITIDO","ADMITIDO",IF(X1431="CANCELADA","CANCELADA",IF(H1431="","",IFERROR(_xlfn.XLOOKUP(H1431,Listas!I:I,Listas!J:J),"OUTROS"))))</f>
        <v>TRIAGEM</v>
      </c>
      <c r="J1431" s="240" t="s">
        <v>514</v>
      </c>
      <c r="K1431" s="240" t="s">
        <v>335</v>
      </c>
      <c r="L1431" s="240" t="s">
        <v>511</v>
      </c>
      <c r="M1431" s="240"/>
      <c r="N1431" s="240" t="s">
        <v>512</v>
      </c>
      <c r="O1431" s="119" t="s">
        <v>56</v>
      </c>
      <c r="P1431" s="119" t="s">
        <v>35</v>
      </c>
      <c r="Q1431" s="119" t="s">
        <v>176</v>
      </c>
      <c r="R1431" s="273"/>
      <c r="S1431" s="273"/>
      <c r="T1431" s="274"/>
      <c r="U1431" s="73"/>
      <c r="V1431" s="216"/>
      <c r="W1431" s="118"/>
      <c r="X1431" s="119"/>
      <c r="Y1431" s="120"/>
      <c r="Z1431" s="120"/>
      <c r="AA1431" s="244"/>
      <c r="AB1431" s="241"/>
      <c r="AC1431" s="241"/>
      <c r="AD1431" s="244">
        <v>0</v>
      </c>
    </row>
    <row r="1432" spans="1:30" ht="15" customHeight="1">
      <c r="A1432" s="237">
        <v>31302</v>
      </c>
      <c r="B1432" s="121">
        <v>1</v>
      </c>
      <c r="C1432" s="238">
        <v>46226</v>
      </c>
      <c r="D1432" s="105">
        <f t="shared" ca="1" si="86"/>
        <v>1</v>
      </c>
      <c r="E1432" s="138" t="str">
        <f t="shared" ca="1" si="87"/>
        <v>NO PRAZO</v>
      </c>
      <c r="F1432" s="230" t="s">
        <v>42</v>
      </c>
      <c r="G1432" s="147" t="s">
        <v>69</v>
      </c>
      <c r="H1432" s="117" t="s">
        <v>91</v>
      </c>
      <c r="I1432" s="117" t="str">
        <f>IF(X1432="ADMITIDO","ADMITIDO",IF(X1432="CANCELADA","CANCELADA",IF(H1432="","",IFERROR(_xlfn.XLOOKUP(H1432,Listas!I:I,Listas!J:J),"OUTROS"))))</f>
        <v>TRIAGEM</v>
      </c>
      <c r="J1432" s="240" t="s">
        <v>461</v>
      </c>
      <c r="K1432" s="240" t="s">
        <v>70</v>
      </c>
      <c r="L1432" s="240" t="s">
        <v>3351</v>
      </c>
      <c r="M1432" s="240"/>
      <c r="N1432" s="240"/>
      <c r="O1432" s="119" t="s">
        <v>34</v>
      </c>
      <c r="P1432" s="119" t="s">
        <v>219</v>
      </c>
      <c r="Q1432" s="119" t="s">
        <v>3352</v>
      </c>
      <c r="R1432" s="273"/>
      <c r="S1432" s="273"/>
      <c r="T1432" s="274"/>
      <c r="U1432" s="73"/>
      <c r="V1432" s="216"/>
      <c r="W1432" s="118"/>
      <c r="X1432" s="119"/>
      <c r="Y1432" s="120"/>
      <c r="Z1432" s="120"/>
      <c r="AA1432" s="244"/>
      <c r="AB1432" s="241"/>
      <c r="AC1432" s="241"/>
      <c r="AD1432" s="244">
        <v>0</v>
      </c>
    </row>
    <row r="1433" spans="1:30" ht="15" customHeight="1">
      <c r="A1433" s="237">
        <v>31326</v>
      </c>
      <c r="B1433" s="121">
        <v>1</v>
      </c>
      <c r="C1433" s="238">
        <v>46226</v>
      </c>
      <c r="D1433" s="105">
        <f t="shared" ca="1" si="86"/>
        <v>1</v>
      </c>
      <c r="E1433" s="138" t="str">
        <f t="shared" ca="1" si="87"/>
        <v>NO PRAZO</v>
      </c>
      <c r="F1433" s="230" t="s">
        <v>42</v>
      </c>
      <c r="G1433" s="147" t="s">
        <v>240</v>
      </c>
      <c r="H1433" s="117" t="s">
        <v>91</v>
      </c>
      <c r="I1433" s="117" t="str">
        <f>IF(X1433="ADMITIDO","ADMITIDO",IF(X1433="CANCELADA","CANCELADA",IF(H1433="","",IFERROR(_xlfn.XLOOKUP(H1433,Listas!I:I,Listas!J:J),"OUTROS"))))</f>
        <v>TRIAGEM</v>
      </c>
      <c r="J1433" s="240" t="s">
        <v>53</v>
      </c>
      <c r="K1433" s="240" t="s">
        <v>241</v>
      </c>
      <c r="L1433" s="240" t="s">
        <v>3236</v>
      </c>
      <c r="M1433" s="240"/>
      <c r="N1433" s="240" t="s">
        <v>63</v>
      </c>
      <c r="O1433" s="119" t="s">
        <v>34</v>
      </c>
      <c r="P1433" s="119" t="s">
        <v>57</v>
      </c>
      <c r="Q1433" s="119" t="s">
        <v>432</v>
      </c>
      <c r="R1433" s="273"/>
      <c r="S1433" s="273"/>
      <c r="T1433" s="274"/>
      <c r="U1433" s="73"/>
      <c r="V1433" s="216"/>
      <c r="W1433" s="118"/>
      <c r="X1433" s="119"/>
      <c r="Y1433" s="120"/>
      <c r="Z1433" s="120"/>
      <c r="AA1433" s="244"/>
      <c r="AB1433" s="241"/>
      <c r="AC1433" s="241"/>
      <c r="AD1433" s="244">
        <v>0</v>
      </c>
    </row>
    <row r="1434" spans="1:30" ht="15" customHeight="1">
      <c r="A1434" s="237">
        <v>31328</v>
      </c>
      <c r="B1434" s="121">
        <v>1</v>
      </c>
      <c r="C1434" s="238">
        <v>46226</v>
      </c>
      <c r="D1434" s="105">
        <f t="shared" ca="1" si="86"/>
        <v>1</v>
      </c>
      <c r="E1434" s="138" t="str">
        <f t="shared" ca="1" si="87"/>
        <v>NO PRAZO</v>
      </c>
      <c r="F1434" s="230" t="s">
        <v>42</v>
      </c>
      <c r="G1434" s="147" t="s">
        <v>167</v>
      </c>
      <c r="H1434" s="117" t="s">
        <v>91</v>
      </c>
      <c r="I1434" s="117" t="str">
        <f>IF(X1434="ADMITIDO","ADMITIDO",IF(X1434="CANCELADA","CANCELADA",IF(H1434="","",IFERROR(_xlfn.XLOOKUP(H1434,Listas!I:I,Listas!J:J),"OUTROS"))))</f>
        <v>TRIAGEM</v>
      </c>
      <c r="J1434" s="240" t="s">
        <v>53</v>
      </c>
      <c r="K1434" s="240" t="s">
        <v>103</v>
      </c>
      <c r="L1434" s="240" t="s">
        <v>564</v>
      </c>
      <c r="M1434" s="240"/>
      <c r="N1434" s="240" t="s">
        <v>63</v>
      </c>
      <c r="O1434" s="119" t="s">
        <v>34</v>
      </c>
      <c r="P1434" s="119" t="s">
        <v>72</v>
      </c>
      <c r="Q1434" s="119" t="s">
        <v>238</v>
      </c>
      <c r="R1434" s="273"/>
      <c r="S1434" s="273"/>
      <c r="T1434" s="274"/>
      <c r="U1434" s="73"/>
      <c r="V1434" s="216"/>
      <c r="W1434" s="118"/>
      <c r="X1434" s="119"/>
      <c r="Y1434" s="120"/>
      <c r="Z1434" s="120"/>
      <c r="AA1434" s="244"/>
      <c r="AB1434" s="241"/>
      <c r="AC1434" s="241"/>
      <c r="AD1434" s="244">
        <v>0</v>
      </c>
    </row>
    <row r="1435" spans="1:30" ht="15" customHeight="1">
      <c r="A1435" s="237">
        <v>31323</v>
      </c>
      <c r="B1435" s="121">
        <v>1</v>
      </c>
      <c r="C1435" s="238">
        <v>46226</v>
      </c>
      <c r="D1435" s="105">
        <f t="shared" ca="1" si="86"/>
        <v>1</v>
      </c>
      <c r="E1435" s="138" t="str">
        <f t="shared" ca="1" si="87"/>
        <v>NO PRAZO</v>
      </c>
      <c r="F1435" s="230" t="s">
        <v>119</v>
      </c>
      <c r="G1435" s="147"/>
      <c r="H1435" s="117" t="s">
        <v>91</v>
      </c>
      <c r="I1435" s="117" t="str">
        <f>IF(X1435="ADMITIDO","ADMITIDO",IF(X1435="CANCELADA","CANCELADA",IF(H1435="","",IFERROR(_xlfn.XLOOKUP(H1435,Listas!I:I,Listas!J:J),"OUTROS"))))</f>
        <v>TRIAGEM</v>
      </c>
      <c r="J1435" s="240" t="s">
        <v>3353</v>
      </c>
      <c r="K1435" s="240" t="s">
        <v>1253</v>
      </c>
      <c r="L1435" s="240" t="s">
        <v>1254</v>
      </c>
      <c r="M1435" s="240"/>
      <c r="N1435" s="240" t="s">
        <v>119</v>
      </c>
      <c r="O1435" s="119" t="s">
        <v>34</v>
      </c>
      <c r="P1435" s="119" t="s">
        <v>48</v>
      </c>
      <c r="Q1435" s="119" t="s">
        <v>3354</v>
      </c>
      <c r="R1435" s="273"/>
      <c r="S1435" s="273"/>
      <c r="T1435" s="274"/>
      <c r="U1435" s="73"/>
      <c r="V1435" s="216"/>
      <c r="W1435" s="118"/>
      <c r="X1435" s="119"/>
      <c r="Y1435" s="120"/>
      <c r="Z1435" s="120"/>
      <c r="AA1435" s="244"/>
      <c r="AB1435" s="241"/>
      <c r="AC1435" s="241"/>
      <c r="AD1435" s="244">
        <v>0</v>
      </c>
    </row>
    <row r="1436" spans="1:30" ht="15" customHeight="1">
      <c r="A1436" s="237">
        <v>31333</v>
      </c>
      <c r="B1436" s="121">
        <v>1</v>
      </c>
      <c r="C1436" s="238">
        <v>46226</v>
      </c>
      <c r="D1436" s="105">
        <f t="shared" ca="1" si="86"/>
        <v>1</v>
      </c>
      <c r="E1436" s="138" t="str">
        <f t="shared" ca="1" si="87"/>
        <v>NO PRAZO</v>
      </c>
      <c r="F1436" s="230" t="s">
        <v>28</v>
      </c>
      <c r="G1436" s="147" t="s">
        <v>60</v>
      </c>
      <c r="H1436" s="117" t="s">
        <v>91</v>
      </c>
      <c r="I1436" s="117" t="str">
        <f>IF(X1436="ADMITIDO","ADMITIDO",IF(X1436="CANCELADA","CANCELADA",IF(H1436="","",IFERROR(_xlfn.XLOOKUP(H1436,Listas!I:I,Listas!J:J),"OUTROS"))))</f>
        <v>TRIAGEM</v>
      </c>
      <c r="J1436" s="240" t="s">
        <v>268</v>
      </c>
      <c r="K1436" s="240" t="s">
        <v>330</v>
      </c>
      <c r="L1436" s="240" t="s">
        <v>3355</v>
      </c>
      <c r="M1436" s="240"/>
      <c r="N1436" s="240" t="s">
        <v>63</v>
      </c>
      <c r="O1436" s="119" t="s">
        <v>34</v>
      </c>
      <c r="P1436" s="119" t="s">
        <v>1243</v>
      </c>
      <c r="Q1436" s="119" t="s">
        <v>36</v>
      </c>
      <c r="R1436" s="273"/>
      <c r="S1436" s="273"/>
      <c r="T1436" s="274"/>
      <c r="U1436" s="73"/>
      <c r="V1436" s="216"/>
      <c r="W1436" s="118"/>
      <c r="X1436" s="119"/>
      <c r="Y1436" s="120"/>
      <c r="Z1436" s="120"/>
      <c r="AA1436" s="244"/>
      <c r="AB1436" s="241"/>
      <c r="AC1436" s="241"/>
      <c r="AD1436" s="244">
        <v>0</v>
      </c>
    </row>
    <row r="1437" spans="1:30" ht="15" customHeight="1">
      <c r="A1437" s="237">
        <v>31325</v>
      </c>
      <c r="B1437" s="121">
        <v>1</v>
      </c>
      <c r="C1437" s="238">
        <v>46226</v>
      </c>
      <c r="D1437" s="105">
        <f t="shared" ca="1" si="86"/>
        <v>1</v>
      </c>
      <c r="E1437" s="138" t="str">
        <f t="shared" ca="1" si="87"/>
        <v>NO PRAZO</v>
      </c>
      <c r="F1437" s="230" t="s">
        <v>119</v>
      </c>
      <c r="G1437" s="147" t="s">
        <v>3324</v>
      </c>
      <c r="H1437" s="117" t="s">
        <v>91</v>
      </c>
      <c r="I1437" s="117" t="str">
        <f>IF(X1437="ADMITIDO","ADMITIDO",IF(X1437="CANCELADA","CANCELADA",IF(H1437="","",IFERROR(_xlfn.XLOOKUP(H1437,Listas!I:I,Listas!J:J),"OUTROS"))))</f>
        <v>TRIAGEM</v>
      </c>
      <c r="J1437" s="240" t="s">
        <v>3353</v>
      </c>
      <c r="K1437" s="240" t="s">
        <v>2611</v>
      </c>
      <c r="L1437" s="240" t="s">
        <v>2612</v>
      </c>
      <c r="M1437" s="240"/>
      <c r="N1437" s="240" t="s">
        <v>119</v>
      </c>
      <c r="O1437" s="119" t="s">
        <v>34</v>
      </c>
      <c r="P1437" s="119" t="s">
        <v>48</v>
      </c>
      <c r="Q1437" s="119" t="s">
        <v>3354</v>
      </c>
      <c r="R1437" s="273"/>
      <c r="S1437" s="273"/>
      <c r="T1437" s="274"/>
      <c r="U1437" s="73"/>
      <c r="V1437" s="216"/>
      <c r="W1437" s="118"/>
      <c r="X1437" s="119"/>
      <c r="Y1437" s="120"/>
      <c r="Z1437" s="120"/>
      <c r="AA1437" s="244"/>
      <c r="AB1437" s="241"/>
      <c r="AC1437" s="241"/>
      <c r="AD1437" s="244">
        <v>0</v>
      </c>
    </row>
    <row r="1438" spans="1:30" ht="15" customHeight="1">
      <c r="A1438" s="237">
        <v>31334</v>
      </c>
      <c r="B1438" s="121">
        <v>1</v>
      </c>
      <c r="C1438" s="238">
        <v>46226</v>
      </c>
      <c r="D1438" s="105">
        <f t="shared" ca="1" si="86"/>
        <v>1</v>
      </c>
      <c r="E1438" s="138" t="str">
        <f t="shared" ca="1" si="87"/>
        <v>NO PRAZO</v>
      </c>
      <c r="F1438" s="230" t="s">
        <v>42</v>
      </c>
      <c r="G1438" s="147" t="s">
        <v>3356</v>
      </c>
      <c r="H1438" s="117" t="s">
        <v>91</v>
      </c>
      <c r="I1438" s="117" t="str">
        <f>IF(X1438="ADMITIDO","ADMITIDO",IF(X1438="CANCELADA","CANCELADA",IF(H1438="","",IFERROR(_xlfn.XLOOKUP(H1438,Listas!I:I,Listas!J:J),"OUTROS"))))</f>
        <v>TRIAGEM</v>
      </c>
      <c r="J1438" s="240" t="s">
        <v>44</v>
      </c>
      <c r="K1438" s="240" t="s">
        <v>228</v>
      </c>
      <c r="L1438" s="240" t="s">
        <v>807</v>
      </c>
      <c r="M1438" s="240"/>
      <c r="N1438" s="240" t="s">
        <v>88</v>
      </c>
      <c r="O1438" s="119" t="s">
        <v>34</v>
      </c>
      <c r="P1438" s="119" t="s">
        <v>57</v>
      </c>
      <c r="Q1438" s="119" t="s">
        <v>231</v>
      </c>
      <c r="R1438" s="273"/>
      <c r="S1438" s="273"/>
      <c r="T1438" s="274"/>
      <c r="U1438" s="73"/>
      <c r="V1438" s="216"/>
      <c r="W1438" s="118"/>
      <c r="X1438" s="119"/>
      <c r="Y1438" s="120"/>
      <c r="Z1438" s="120"/>
      <c r="AA1438" s="244"/>
      <c r="AB1438" s="241"/>
      <c r="AC1438" s="241"/>
      <c r="AD1438" s="244">
        <v>0</v>
      </c>
    </row>
    <row r="1439" spans="1:30" ht="15" customHeight="1">
      <c r="A1439" s="237">
        <v>31324</v>
      </c>
      <c r="B1439" s="121">
        <v>1</v>
      </c>
      <c r="C1439" s="238">
        <v>46226</v>
      </c>
      <c r="D1439" s="105">
        <f t="shared" ca="1" si="86"/>
        <v>1</v>
      </c>
      <c r="E1439" s="138" t="str">
        <f t="shared" ca="1" si="87"/>
        <v>NO PRAZO</v>
      </c>
      <c r="F1439" s="230" t="s">
        <v>42</v>
      </c>
      <c r="G1439" s="147" t="s">
        <v>3356</v>
      </c>
      <c r="H1439" s="117" t="s">
        <v>91</v>
      </c>
      <c r="I1439" s="117" t="str">
        <f>IF(X1439="ADMITIDO","ADMITIDO",IF(X1439="CANCELADA","CANCELADA",IF(H1439="","",IFERROR(_xlfn.XLOOKUP(H1439,Listas!I:I,Listas!J:J),"OUTROS"))))</f>
        <v>TRIAGEM</v>
      </c>
      <c r="J1439" s="240" t="s">
        <v>116</v>
      </c>
      <c r="K1439" s="240" t="s">
        <v>228</v>
      </c>
      <c r="L1439" s="240" t="s">
        <v>807</v>
      </c>
      <c r="M1439" s="240"/>
      <c r="N1439" s="240" t="s">
        <v>88</v>
      </c>
      <c r="O1439" s="119" t="s">
        <v>34</v>
      </c>
      <c r="P1439" s="119" t="s">
        <v>3357</v>
      </c>
      <c r="Q1439" s="119" t="s">
        <v>3358</v>
      </c>
      <c r="R1439" s="273"/>
      <c r="S1439" s="273"/>
      <c r="T1439" s="274"/>
      <c r="U1439" s="73"/>
      <c r="V1439" s="216"/>
      <c r="W1439" s="118"/>
      <c r="X1439" s="119"/>
      <c r="Y1439" s="120"/>
      <c r="Z1439" s="120"/>
      <c r="AA1439" s="244"/>
      <c r="AB1439" s="241"/>
      <c r="AC1439" s="241"/>
      <c r="AD1439" s="244">
        <v>0</v>
      </c>
    </row>
    <row r="1440" spans="1:30" ht="15" customHeight="1">
      <c r="A1440" s="237">
        <v>31329</v>
      </c>
      <c r="B1440" s="121">
        <v>1</v>
      </c>
      <c r="C1440" s="238">
        <v>46226</v>
      </c>
      <c r="D1440" s="105">
        <f t="shared" ca="1" si="86"/>
        <v>1</v>
      </c>
      <c r="E1440" s="138" t="str">
        <f t="shared" ca="1" si="87"/>
        <v>NO PRAZO</v>
      </c>
      <c r="F1440" s="230" t="s">
        <v>42</v>
      </c>
      <c r="G1440" s="147" t="s">
        <v>3356</v>
      </c>
      <c r="H1440" s="117" t="s">
        <v>91</v>
      </c>
      <c r="I1440" s="117" t="str">
        <f>IF(X1440="ADMITIDO","ADMITIDO",IF(X1440="CANCELADA","CANCELADA",IF(H1440="","",IFERROR(_xlfn.XLOOKUP(H1440,Listas!I:I,Listas!J:J),"OUTROS"))))</f>
        <v>TRIAGEM</v>
      </c>
      <c r="J1440" s="240" t="s">
        <v>44</v>
      </c>
      <c r="K1440" s="240" t="s">
        <v>54</v>
      </c>
      <c r="L1440" s="240" t="s">
        <v>434</v>
      </c>
      <c r="M1440" s="240"/>
      <c r="N1440" s="240" t="s">
        <v>435</v>
      </c>
      <c r="O1440" s="119" t="s">
        <v>34</v>
      </c>
      <c r="P1440" s="119" t="s">
        <v>48</v>
      </c>
      <c r="Q1440" s="119" t="s">
        <v>49</v>
      </c>
      <c r="R1440" s="273"/>
      <c r="S1440" s="273"/>
      <c r="T1440" s="274"/>
      <c r="U1440" s="73"/>
      <c r="V1440" s="216"/>
      <c r="W1440" s="118"/>
      <c r="X1440" s="119"/>
      <c r="Y1440" s="120"/>
      <c r="Z1440" s="120"/>
      <c r="AA1440" s="244"/>
      <c r="AB1440" s="241"/>
      <c r="AC1440" s="241"/>
      <c r="AD1440" s="244">
        <v>0</v>
      </c>
    </row>
    <row r="1441" spans="1:30" ht="15" customHeight="1">
      <c r="A1441" s="237">
        <v>31322</v>
      </c>
      <c r="B1441" s="121">
        <v>1</v>
      </c>
      <c r="C1441" s="238">
        <v>46226</v>
      </c>
      <c r="D1441" s="105">
        <f t="shared" ca="1" si="86"/>
        <v>1</v>
      </c>
      <c r="E1441" s="138" t="str">
        <f t="shared" ca="1" si="87"/>
        <v>NO PRAZO</v>
      </c>
      <c r="F1441" s="230" t="s">
        <v>28</v>
      </c>
      <c r="G1441" s="147" t="s">
        <v>240</v>
      </c>
      <c r="H1441" s="117" t="s">
        <v>91</v>
      </c>
      <c r="I1441" s="117" t="str">
        <f>IF(X1441="ADMITIDO","ADMITIDO",IF(X1441="CANCELADA","CANCELADA",IF(H1441="","",IFERROR(_xlfn.XLOOKUP(H1441,Listas!I:I,Listas!J:J),"OUTROS"))))</f>
        <v>TRIAGEM</v>
      </c>
      <c r="J1441" s="240" t="s">
        <v>268</v>
      </c>
      <c r="K1441" s="240" t="s">
        <v>423</v>
      </c>
      <c r="L1441" s="240" t="s">
        <v>3359</v>
      </c>
      <c r="M1441" s="240"/>
      <c r="N1441" s="240" t="s">
        <v>175</v>
      </c>
      <c r="O1441" s="119" t="s">
        <v>34</v>
      </c>
      <c r="P1441" s="119" t="s">
        <v>35</v>
      </c>
      <c r="Q1441" s="119" t="s">
        <v>36</v>
      </c>
      <c r="R1441" s="273"/>
      <c r="S1441" s="273"/>
      <c r="T1441" s="274"/>
      <c r="U1441" s="73"/>
      <c r="V1441" s="216"/>
      <c r="W1441" s="118"/>
      <c r="X1441" s="119"/>
      <c r="Y1441" s="120"/>
      <c r="Z1441" s="120"/>
      <c r="AA1441" s="244"/>
      <c r="AB1441" s="241"/>
      <c r="AC1441" s="241"/>
      <c r="AD1441" s="244">
        <v>0</v>
      </c>
    </row>
    <row r="1442" spans="1:30" ht="15" customHeight="1">
      <c r="A1442" s="237">
        <v>31330</v>
      </c>
      <c r="B1442" s="121">
        <v>1</v>
      </c>
      <c r="C1442" s="238">
        <v>46226</v>
      </c>
      <c r="D1442" s="105">
        <f t="shared" ca="1" si="86"/>
        <v>1</v>
      </c>
      <c r="E1442" s="138" t="str">
        <f t="shared" ca="1" si="87"/>
        <v>NO PRAZO</v>
      </c>
      <c r="F1442" s="230" t="s">
        <v>42</v>
      </c>
      <c r="G1442" s="147" t="s">
        <v>167</v>
      </c>
      <c r="H1442" s="117" t="s">
        <v>91</v>
      </c>
      <c r="I1442" s="117" t="str">
        <f>IF(X1442="ADMITIDO","ADMITIDO",IF(X1442="CANCELADA","CANCELADA",IF(H1442="","",IFERROR(_xlfn.XLOOKUP(H1442,Listas!I:I,Listas!J:J),"OUTROS"))))</f>
        <v>TRIAGEM</v>
      </c>
      <c r="J1442" s="240" t="s">
        <v>53</v>
      </c>
      <c r="K1442" s="240" t="s">
        <v>103</v>
      </c>
      <c r="L1442" s="240" t="s">
        <v>1173</v>
      </c>
      <c r="M1442" s="240"/>
      <c r="N1442" s="240" t="s">
        <v>1174</v>
      </c>
      <c r="O1442" s="119" t="s">
        <v>34</v>
      </c>
      <c r="P1442" s="119" t="s">
        <v>35</v>
      </c>
      <c r="Q1442" s="119" t="s">
        <v>36</v>
      </c>
      <c r="R1442" s="273"/>
      <c r="S1442" s="273"/>
      <c r="T1442" s="274"/>
      <c r="U1442" s="73"/>
      <c r="V1442" s="216"/>
      <c r="W1442" s="118"/>
      <c r="X1442" s="119"/>
      <c r="Y1442" s="120"/>
      <c r="Z1442" s="120"/>
      <c r="AA1442" s="244"/>
      <c r="AB1442" s="241"/>
      <c r="AC1442" s="241"/>
      <c r="AD1442" s="244">
        <v>0</v>
      </c>
    </row>
    <row r="1443" spans="1:30" ht="15" customHeight="1">
      <c r="A1443" s="237">
        <v>31331</v>
      </c>
      <c r="B1443" s="121">
        <v>1</v>
      </c>
      <c r="C1443" s="238">
        <v>46226</v>
      </c>
      <c r="D1443" s="105">
        <f t="shared" ca="1" si="86"/>
        <v>1</v>
      </c>
      <c r="E1443" s="138" t="str">
        <f t="shared" ca="1" si="87"/>
        <v>NO PRAZO</v>
      </c>
      <c r="F1443" s="230" t="s">
        <v>42</v>
      </c>
      <c r="G1443" s="147" t="s">
        <v>167</v>
      </c>
      <c r="H1443" s="117" t="s">
        <v>91</v>
      </c>
      <c r="I1443" s="117" t="str">
        <f>IF(X1443="ADMITIDO","ADMITIDO",IF(X1443="CANCELADA","CANCELADA",IF(H1443="","",IFERROR(_xlfn.XLOOKUP(H1443,Listas!I:I,Listas!J:J),"OUTROS"))))</f>
        <v>TRIAGEM</v>
      </c>
      <c r="J1443" s="240" t="s">
        <v>53</v>
      </c>
      <c r="K1443" s="240" t="s">
        <v>103</v>
      </c>
      <c r="L1443" s="240" t="s">
        <v>1173</v>
      </c>
      <c r="M1443" s="240"/>
      <c r="N1443" s="240" t="s">
        <v>1174</v>
      </c>
      <c r="O1443" s="119" t="s">
        <v>34</v>
      </c>
      <c r="P1443" s="119" t="s">
        <v>35</v>
      </c>
      <c r="Q1443" s="119" t="s">
        <v>36</v>
      </c>
      <c r="R1443" s="273"/>
      <c r="S1443" s="273"/>
      <c r="T1443" s="274"/>
      <c r="U1443" s="73"/>
      <c r="V1443" s="216"/>
      <c r="W1443" s="118"/>
      <c r="X1443" s="119"/>
      <c r="Y1443" s="120"/>
      <c r="Z1443" s="120"/>
      <c r="AA1443" s="244"/>
      <c r="AB1443" s="241"/>
      <c r="AC1443" s="241"/>
      <c r="AD1443" s="244">
        <v>0</v>
      </c>
    </row>
    <row r="1444" spans="1:30" ht="15" customHeight="1">
      <c r="A1444" s="237">
        <v>31332</v>
      </c>
      <c r="B1444" s="121">
        <v>1</v>
      </c>
      <c r="C1444" s="238">
        <v>46226</v>
      </c>
      <c r="D1444" s="105">
        <f t="shared" ca="1" si="86"/>
        <v>1</v>
      </c>
      <c r="E1444" s="138" t="str">
        <f t="shared" ca="1" si="87"/>
        <v>NO PRAZO</v>
      </c>
      <c r="F1444" s="230" t="s">
        <v>42</v>
      </c>
      <c r="G1444" s="147" t="s">
        <v>69</v>
      </c>
      <c r="H1444" s="117" t="s">
        <v>91</v>
      </c>
      <c r="I1444" s="117" t="str">
        <f>IF(X1444="ADMITIDO","ADMITIDO",IF(X1444="CANCELADA","CANCELADA",IF(H1444="","",IFERROR(_xlfn.XLOOKUP(H1444,Listas!I:I,Listas!J:J),"OUTROS"))))</f>
        <v>TRIAGEM</v>
      </c>
      <c r="J1444" s="240" t="s">
        <v>53</v>
      </c>
      <c r="K1444" s="240" t="s">
        <v>70</v>
      </c>
      <c r="L1444" s="240" t="s">
        <v>525</v>
      </c>
      <c r="M1444" s="240"/>
      <c r="N1444" s="240" t="s">
        <v>63</v>
      </c>
      <c r="O1444" s="119" t="s">
        <v>34</v>
      </c>
      <c r="P1444" s="119" t="s">
        <v>72</v>
      </c>
      <c r="Q1444" s="119" t="s">
        <v>151</v>
      </c>
      <c r="R1444" s="273"/>
      <c r="S1444" s="273"/>
      <c r="T1444" s="274"/>
      <c r="U1444" s="73"/>
      <c r="V1444" s="216"/>
      <c r="W1444" s="118"/>
      <c r="X1444" s="119"/>
      <c r="Y1444" s="120"/>
      <c r="Z1444" s="120"/>
      <c r="AA1444" s="244"/>
      <c r="AB1444" s="241"/>
      <c r="AC1444" s="241"/>
      <c r="AD1444" s="244">
        <v>0</v>
      </c>
    </row>
    <row r="1445" spans="1:30" ht="15" customHeight="1">
      <c r="A1445" s="237">
        <v>31292</v>
      </c>
      <c r="B1445" s="121">
        <v>1</v>
      </c>
      <c r="C1445" s="238">
        <v>46226</v>
      </c>
      <c r="D1445" s="105">
        <f t="shared" ca="1" si="86"/>
        <v>1</v>
      </c>
      <c r="E1445" s="138" t="str">
        <f t="shared" ca="1" si="87"/>
        <v>NO PRAZO</v>
      </c>
      <c r="F1445" s="230" t="s">
        <v>28</v>
      </c>
      <c r="G1445" s="147" t="s">
        <v>60</v>
      </c>
      <c r="H1445" s="117" t="s">
        <v>91</v>
      </c>
      <c r="I1445" s="117" t="str">
        <f>IF(X1445="ADMITIDO","ADMITIDO",IF(X1445="CANCELADA","CANCELADA",IF(H1445="","",IFERROR(_xlfn.XLOOKUP(H1445,Listas!I:I,Listas!J:J),"OUTROS"))))</f>
        <v>TRIAGEM</v>
      </c>
      <c r="J1445" s="240" t="s">
        <v>487</v>
      </c>
      <c r="K1445" s="240" t="s">
        <v>330</v>
      </c>
      <c r="L1445" s="240" t="s">
        <v>907</v>
      </c>
      <c r="M1445" s="240"/>
      <c r="N1445" s="240" t="s">
        <v>63</v>
      </c>
      <c r="O1445" s="119" t="s">
        <v>34</v>
      </c>
      <c r="P1445" s="119" t="s">
        <v>35</v>
      </c>
      <c r="Q1445" s="119" t="s">
        <v>36</v>
      </c>
      <c r="R1445" s="273"/>
      <c r="S1445" s="273"/>
      <c r="T1445" s="274"/>
      <c r="U1445" s="73"/>
      <c r="V1445" s="216"/>
      <c r="W1445" s="118"/>
      <c r="X1445" s="119"/>
      <c r="Y1445" s="120"/>
      <c r="Z1445" s="120"/>
      <c r="AA1445" s="244"/>
      <c r="AB1445" s="241"/>
      <c r="AC1445" s="241"/>
      <c r="AD1445" s="244">
        <v>0</v>
      </c>
    </row>
    <row r="1446" spans="1:30" ht="15" customHeight="1">
      <c r="A1446" s="237">
        <v>31321</v>
      </c>
      <c r="B1446" s="121">
        <v>1</v>
      </c>
      <c r="C1446" s="238">
        <v>46226</v>
      </c>
      <c r="D1446" s="105">
        <f t="shared" ca="1" si="86"/>
        <v>1</v>
      </c>
      <c r="E1446" s="138" t="str">
        <f t="shared" ca="1" si="87"/>
        <v>NO PRAZO</v>
      </c>
      <c r="F1446" s="230" t="s">
        <v>28</v>
      </c>
      <c r="G1446" s="147"/>
      <c r="H1446" s="117" t="s">
        <v>91</v>
      </c>
      <c r="I1446" s="117" t="str">
        <f>IF(X1446="ADMITIDO","ADMITIDO",IF(X1446="CANCELADA","CANCELADA",IF(H1446="","",IFERROR(_xlfn.XLOOKUP(H1446,Listas!I:I,Listas!J:J),"OUTROS"))))</f>
        <v>TRIAGEM</v>
      </c>
      <c r="J1446" s="240" t="s">
        <v>268</v>
      </c>
      <c r="K1446" s="240" t="s">
        <v>614</v>
      </c>
      <c r="L1446" s="240" t="s">
        <v>3360</v>
      </c>
      <c r="M1446" s="240"/>
      <c r="N1446" s="240" t="s">
        <v>1739</v>
      </c>
      <c r="O1446" s="119" t="s">
        <v>34</v>
      </c>
      <c r="P1446" s="119" t="s">
        <v>35</v>
      </c>
      <c r="Q1446" s="119" t="s">
        <v>36</v>
      </c>
      <c r="R1446" s="273"/>
      <c r="S1446" s="273"/>
      <c r="T1446" s="274"/>
      <c r="U1446" s="73"/>
      <c r="V1446" s="216"/>
      <c r="W1446" s="118"/>
      <c r="X1446" s="119"/>
      <c r="Y1446" s="120"/>
      <c r="Z1446" s="120"/>
      <c r="AA1446" s="244"/>
      <c r="AB1446" s="241"/>
      <c r="AC1446" s="241"/>
      <c r="AD1446" s="244">
        <v>0</v>
      </c>
    </row>
    <row r="1447" spans="1:30" ht="15" customHeight="1">
      <c r="A1447" s="237"/>
      <c r="B1447" s="121"/>
      <c r="C1447" s="238"/>
      <c r="D1447" s="105"/>
      <c r="E1447" s="138"/>
      <c r="F1447" s="230"/>
      <c r="G1447" s="147"/>
      <c r="H1447" s="117"/>
      <c r="I1447" s="117" t="str">
        <f>IF(X1447="ADMITIDO","ADMITIDO",IF(X1447="CANCELADA","CANCELADA",IF(H1447="","",IFERROR(_xlfn.XLOOKUP(H1447,Listas!I:I,Listas!J:J),"OUTROS"))))</f>
        <v/>
      </c>
      <c r="J1447" s="240"/>
      <c r="K1447" s="240"/>
      <c r="L1447" s="240"/>
      <c r="M1447" s="240"/>
      <c r="N1447" s="240"/>
      <c r="O1447" s="119"/>
      <c r="P1447" s="119"/>
      <c r="Q1447" s="119"/>
      <c r="R1447" s="273"/>
      <c r="S1447" s="273"/>
      <c r="T1447" s="274"/>
      <c r="U1447" s="73"/>
      <c r="V1447" s="216"/>
      <c r="W1447" s="118"/>
      <c r="X1447" s="119"/>
      <c r="Y1447" s="120"/>
      <c r="Z1447" s="120"/>
      <c r="AA1447" s="244"/>
      <c r="AB1447" s="241"/>
      <c r="AC1447" s="241"/>
      <c r="AD1447" s="244">
        <v>0</v>
      </c>
    </row>
    <row r="1448" spans="1:30" ht="15" customHeight="1">
      <c r="A1448" s="237"/>
      <c r="B1448" s="121"/>
      <c r="C1448" s="238"/>
      <c r="D1448" s="105"/>
      <c r="E1448" s="138"/>
      <c r="F1448" s="230"/>
      <c r="G1448" s="147"/>
      <c r="H1448" s="117"/>
      <c r="I1448" s="117" t="str">
        <f>IF(X1448="ADMITIDO","ADMITIDO",IF(X1448="CANCELADA","CANCELADA",IF(H1448="","",IFERROR(_xlfn.XLOOKUP(H1448,Listas!I:I,Listas!J:J),"OUTROS"))))</f>
        <v/>
      </c>
      <c r="J1448" s="240"/>
      <c r="K1448" s="240"/>
      <c r="L1448" s="240"/>
      <c r="M1448" s="240"/>
      <c r="N1448" s="240"/>
      <c r="O1448" s="119"/>
      <c r="P1448" s="119"/>
      <c r="Q1448" s="119"/>
      <c r="R1448" s="273"/>
      <c r="S1448" s="273"/>
      <c r="T1448" s="274"/>
      <c r="U1448" s="73"/>
      <c r="V1448" s="216"/>
      <c r="W1448" s="118"/>
      <c r="X1448" s="119"/>
      <c r="Y1448" s="120"/>
      <c r="Z1448" s="120"/>
      <c r="AA1448" s="244"/>
      <c r="AB1448" s="241"/>
      <c r="AC1448" s="241"/>
      <c r="AD1448" s="244">
        <v>0</v>
      </c>
    </row>
    <row r="1449" spans="1:30" ht="15" customHeight="1">
      <c r="A1449" s="237"/>
      <c r="B1449" s="121"/>
      <c r="C1449" s="238"/>
      <c r="D1449" s="105"/>
      <c r="E1449" s="138"/>
      <c r="F1449" s="230"/>
      <c r="G1449" s="147"/>
      <c r="H1449" s="117"/>
      <c r="I1449" s="117" t="str">
        <f>IF(X1449="ADMITIDO","ADMITIDO",IF(X1449="CANCELADA","CANCELADA",IF(H1449="","",IFERROR(_xlfn.XLOOKUP(H1449,Listas!I:I,Listas!J:J),"OUTROS"))))</f>
        <v/>
      </c>
      <c r="J1449" s="240"/>
      <c r="K1449" s="240"/>
      <c r="L1449" s="240"/>
      <c r="M1449" s="240"/>
      <c r="N1449" s="240"/>
      <c r="O1449" s="119"/>
      <c r="P1449" s="119"/>
      <c r="Q1449" s="119"/>
      <c r="R1449" s="273"/>
      <c r="S1449" s="273"/>
      <c r="T1449" s="274"/>
      <c r="U1449" s="73"/>
      <c r="V1449" s="216"/>
      <c r="W1449" s="118"/>
      <c r="X1449" s="119"/>
      <c r="Y1449" s="120"/>
      <c r="Z1449" s="120"/>
      <c r="AA1449" s="244"/>
      <c r="AB1449" s="241"/>
      <c r="AC1449" s="241"/>
      <c r="AD1449" s="244">
        <v>0</v>
      </c>
    </row>
    <row r="1450" spans="1:30" ht="15" customHeight="1">
      <c r="A1450" s="237"/>
      <c r="B1450" s="121"/>
      <c r="C1450" s="238"/>
      <c r="D1450" s="105"/>
      <c r="E1450" s="138"/>
      <c r="F1450" s="230"/>
      <c r="G1450" s="147"/>
      <c r="H1450" s="117"/>
      <c r="I1450" s="117" t="str">
        <f>IF(X1450="ADMITIDO","ADMITIDO",IF(X1450="CANCELADA","CANCELADA",IF(H1450="","",IFERROR(_xlfn.XLOOKUP(H1450,Listas!I:I,Listas!J:J),"OUTROS"))))</f>
        <v/>
      </c>
      <c r="J1450" s="240"/>
      <c r="K1450" s="240"/>
      <c r="L1450" s="240"/>
      <c r="M1450" s="240"/>
      <c r="N1450" s="240"/>
      <c r="O1450" s="119"/>
      <c r="P1450" s="119"/>
      <c r="Q1450" s="119"/>
      <c r="R1450" s="273"/>
      <c r="S1450" s="273"/>
      <c r="T1450" s="274"/>
      <c r="U1450" s="73"/>
      <c r="V1450" s="216"/>
      <c r="W1450" s="118"/>
      <c r="X1450" s="119"/>
      <c r="Y1450" s="120"/>
      <c r="Z1450" s="120"/>
      <c r="AA1450" s="244"/>
      <c r="AB1450" s="241"/>
      <c r="AC1450" s="241"/>
      <c r="AD1450" s="244">
        <v>0</v>
      </c>
    </row>
    <row r="1451" spans="1:30" ht="15" customHeight="1">
      <c r="A1451" s="237"/>
      <c r="B1451" s="121"/>
      <c r="C1451" s="238"/>
      <c r="D1451" s="105"/>
      <c r="E1451" s="138"/>
      <c r="F1451" s="230"/>
      <c r="G1451" s="147"/>
      <c r="H1451" s="117"/>
      <c r="I1451" s="117" t="str">
        <f>IF(X1451="ADMITIDO","ADMITIDO",IF(X1451="CANCELADA","CANCELADA",IF(H1451="","",IFERROR(_xlfn.XLOOKUP(H1451,Listas!I:I,Listas!J:J),"OUTROS"))))</f>
        <v/>
      </c>
      <c r="J1451" s="240"/>
      <c r="K1451" s="240"/>
      <c r="L1451" s="240"/>
      <c r="M1451" s="240"/>
      <c r="N1451" s="240"/>
      <c r="O1451" s="119"/>
      <c r="P1451" s="119"/>
      <c r="Q1451" s="119"/>
      <c r="R1451" s="273"/>
      <c r="S1451" s="273"/>
      <c r="T1451" s="274"/>
      <c r="U1451" s="73"/>
      <c r="V1451" s="216"/>
      <c r="W1451" s="118"/>
      <c r="X1451" s="119"/>
      <c r="Y1451" s="120"/>
      <c r="Z1451" s="120"/>
      <c r="AA1451" s="244"/>
      <c r="AB1451" s="241"/>
      <c r="AC1451" s="241"/>
      <c r="AD1451" s="244">
        <v>0</v>
      </c>
    </row>
    <row r="1452" spans="1:30" ht="15" customHeight="1">
      <c r="A1452" s="237"/>
      <c r="B1452" s="121"/>
      <c r="C1452" s="238"/>
      <c r="D1452" s="105"/>
      <c r="E1452" s="138"/>
      <c r="F1452" s="230"/>
      <c r="G1452" s="147"/>
      <c r="H1452" s="117"/>
      <c r="I1452" s="117" t="str">
        <f>IF(X1452="ADMITIDO","ADMITIDO",IF(X1452="CANCELADA","CANCELADA",IF(H1452="","",IFERROR(_xlfn.XLOOKUP(H1452,Listas!I:I,Listas!J:J),"OUTROS"))))</f>
        <v/>
      </c>
      <c r="J1452" s="240"/>
      <c r="K1452" s="240"/>
      <c r="L1452" s="240"/>
      <c r="M1452" s="240"/>
      <c r="N1452" s="240"/>
      <c r="O1452" s="119"/>
      <c r="P1452" s="119"/>
      <c r="Q1452" s="119"/>
      <c r="R1452" s="273"/>
      <c r="S1452" s="273"/>
      <c r="T1452" s="274"/>
      <c r="U1452" s="73"/>
      <c r="V1452" s="216"/>
      <c r="W1452" s="118"/>
      <c r="X1452" s="119"/>
      <c r="Y1452" s="120"/>
      <c r="Z1452" s="120"/>
      <c r="AA1452" s="244"/>
      <c r="AB1452" s="241"/>
      <c r="AC1452" s="241"/>
      <c r="AD1452" s="244">
        <v>0</v>
      </c>
    </row>
    <row r="1453" spans="1:30" ht="15" customHeight="1">
      <c r="A1453" s="237"/>
      <c r="B1453" s="121"/>
      <c r="C1453" s="238"/>
      <c r="D1453" s="105"/>
      <c r="E1453" s="138"/>
      <c r="F1453" s="230"/>
      <c r="G1453" s="147"/>
      <c r="H1453" s="117"/>
      <c r="I1453" s="117" t="str">
        <f>IF(X1453="ADMITIDO","ADMITIDO",IF(X1453="CANCELADA","CANCELADA",IF(H1453="","",IFERROR(_xlfn.XLOOKUP(H1453,Listas!I:I,Listas!J:J),"OUTROS"))))</f>
        <v/>
      </c>
      <c r="J1453" s="240"/>
      <c r="K1453" s="240"/>
      <c r="L1453" s="240"/>
      <c r="M1453" s="240"/>
      <c r="N1453" s="240"/>
      <c r="O1453" s="119"/>
      <c r="P1453" s="119"/>
      <c r="Q1453" s="119"/>
      <c r="R1453" s="273"/>
      <c r="S1453" s="273"/>
      <c r="T1453" s="274"/>
      <c r="U1453" s="73"/>
      <c r="V1453" s="216"/>
      <c r="W1453" s="118"/>
      <c r="X1453" s="119"/>
      <c r="Y1453" s="120"/>
      <c r="Z1453" s="120"/>
      <c r="AA1453" s="244"/>
      <c r="AB1453" s="241"/>
      <c r="AC1453" s="241"/>
      <c r="AD1453" s="244">
        <v>0</v>
      </c>
    </row>
    <row r="1454" spans="1:30" ht="15" customHeight="1">
      <c r="A1454" s="237"/>
      <c r="B1454" s="121"/>
      <c r="C1454" s="238"/>
      <c r="D1454" s="105"/>
      <c r="E1454" s="138"/>
      <c r="F1454" s="230"/>
      <c r="G1454" s="147"/>
      <c r="H1454" s="117"/>
      <c r="I1454" s="117" t="str">
        <f>IF(X1454="ADMITIDO","ADMITIDO",IF(X1454="CANCELADA","CANCELADA",IF(H1454="","",IFERROR(_xlfn.XLOOKUP(H1454,Listas!I:I,Listas!J:J),"OUTROS"))))</f>
        <v/>
      </c>
      <c r="J1454" s="240"/>
      <c r="K1454" s="240"/>
      <c r="L1454" s="240"/>
      <c r="M1454" s="240"/>
      <c r="N1454" s="240"/>
      <c r="O1454" s="119"/>
      <c r="P1454" s="119"/>
      <c r="Q1454" s="119"/>
      <c r="R1454" s="273"/>
      <c r="S1454" s="273"/>
      <c r="T1454" s="274"/>
      <c r="U1454" s="73"/>
      <c r="V1454" s="216"/>
      <c r="W1454" s="118"/>
      <c r="X1454" s="119"/>
      <c r="Y1454" s="120"/>
      <c r="Z1454" s="120"/>
      <c r="AA1454" s="244"/>
      <c r="AB1454" s="241"/>
      <c r="AC1454" s="241"/>
      <c r="AD1454" s="244">
        <v>0</v>
      </c>
    </row>
    <row r="1455" spans="1:30" ht="15" customHeight="1">
      <c r="A1455" s="237"/>
      <c r="B1455" s="121"/>
      <c r="C1455" s="238"/>
      <c r="D1455" s="105"/>
      <c r="E1455" s="138"/>
      <c r="F1455" s="230"/>
      <c r="G1455" s="147"/>
      <c r="H1455" s="117"/>
      <c r="I1455" s="117" t="str">
        <f>IF(X1455="ADMITIDO","ADMITIDO",IF(X1455="CANCELADA","CANCELADA",IF(H1455="","",IFERROR(_xlfn.XLOOKUP(H1455,Listas!I:I,Listas!J:J),"OUTROS"))))</f>
        <v/>
      </c>
      <c r="J1455" s="240"/>
      <c r="K1455" s="240"/>
      <c r="L1455" s="240"/>
      <c r="M1455" s="240"/>
      <c r="N1455" s="240"/>
      <c r="O1455" s="119"/>
      <c r="P1455" s="119"/>
      <c r="Q1455" s="119"/>
      <c r="R1455" s="273"/>
      <c r="S1455" s="273"/>
      <c r="T1455" s="274"/>
      <c r="U1455" s="73"/>
      <c r="V1455" s="216"/>
      <c r="W1455" s="118"/>
      <c r="X1455" s="119"/>
      <c r="Y1455" s="120"/>
      <c r="Z1455" s="120"/>
      <c r="AA1455" s="244"/>
      <c r="AB1455" s="241"/>
      <c r="AC1455" s="241"/>
      <c r="AD1455" s="244">
        <v>0</v>
      </c>
    </row>
    <row r="1456" spans="1:30" ht="15" customHeight="1">
      <c r="A1456" s="237"/>
      <c r="B1456" s="121"/>
      <c r="C1456" s="238"/>
      <c r="D1456" s="105"/>
      <c r="E1456" s="138"/>
      <c r="F1456" s="230"/>
      <c r="G1456" s="147"/>
      <c r="H1456" s="117"/>
      <c r="I1456" s="117" t="str">
        <f>IF(X1456="ADMITIDO","ADMITIDO",IF(X1456="CANCELADA","CANCELADA",IF(H1456="","",IFERROR(_xlfn.XLOOKUP(H1456,Listas!I:I,Listas!J:J),"OUTROS"))))</f>
        <v/>
      </c>
      <c r="J1456" s="240"/>
      <c r="K1456" s="240"/>
      <c r="L1456" s="240"/>
      <c r="M1456" s="240"/>
      <c r="N1456" s="240"/>
      <c r="O1456" s="119"/>
      <c r="P1456" s="119"/>
      <c r="Q1456" s="119"/>
      <c r="R1456" s="273"/>
      <c r="S1456" s="273"/>
      <c r="T1456" s="274"/>
      <c r="U1456" s="73"/>
      <c r="V1456" s="216"/>
      <c r="W1456" s="118"/>
      <c r="X1456" s="119"/>
      <c r="Y1456" s="120"/>
      <c r="Z1456" s="120"/>
      <c r="AA1456" s="244"/>
      <c r="AB1456" s="241"/>
      <c r="AC1456" s="241"/>
      <c r="AD1456" s="244">
        <v>0</v>
      </c>
    </row>
    <row r="1457" spans="1:30" ht="15" customHeight="1">
      <c r="A1457" s="237"/>
      <c r="B1457" s="121"/>
      <c r="C1457" s="238"/>
      <c r="D1457" s="105"/>
      <c r="E1457" s="138"/>
      <c r="F1457" s="230"/>
      <c r="G1457" s="147"/>
      <c r="H1457" s="117"/>
      <c r="I1457" s="117" t="str">
        <f>IF(X1457="ADMITIDO","ADMITIDO",IF(X1457="CANCELADA","CANCELADA",IF(H1457="","",IFERROR(_xlfn.XLOOKUP(H1457,Listas!I:I,Listas!J:J),"OUTROS"))))</f>
        <v/>
      </c>
      <c r="J1457" s="240"/>
      <c r="K1457" s="240"/>
      <c r="L1457" s="240"/>
      <c r="M1457" s="240"/>
      <c r="N1457" s="240"/>
      <c r="O1457" s="119"/>
      <c r="P1457" s="119"/>
      <c r="Q1457" s="119"/>
      <c r="R1457" s="273"/>
      <c r="S1457" s="273"/>
      <c r="T1457" s="274"/>
      <c r="U1457" s="73"/>
      <c r="V1457" s="216"/>
      <c r="W1457" s="118"/>
      <c r="X1457" s="119"/>
      <c r="Y1457" s="120"/>
      <c r="Z1457" s="120"/>
      <c r="AA1457" s="244"/>
      <c r="AB1457" s="241"/>
      <c r="AC1457" s="241"/>
      <c r="AD1457" s="244">
        <v>0</v>
      </c>
    </row>
    <row r="1458" spans="1:30" ht="15" customHeight="1">
      <c r="A1458" s="237"/>
      <c r="B1458" s="121"/>
      <c r="C1458" s="238"/>
      <c r="D1458" s="105"/>
      <c r="E1458" s="138"/>
      <c r="F1458" s="230"/>
      <c r="G1458" s="147"/>
      <c r="H1458" s="117"/>
      <c r="I1458" s="117" t="str">
        <f>IF(X1458="ADMITIDO","ADMITIDO",IF(X1458="CANCELADA","CANCELADA",IF(H1458="","",IFERROR(_xlfn.XLOOKUP(H1458,Listas!I:I,Listas!J:J),"OUTROS"))))</f>
        <v/>
      </c>
      <c r="J1458" s="240"/>
      <c r="K1458" s="240"/>
      <c r="L1458" s="240"/>
      <c r="M1458" s="240"/>
      <c r="N1458" s="240"/>
      <c r="O1458" s="119"/>
      <c r="P1458" s="119"/>
      <c r="Q1458" s="119"/>
      <c r="R1458" s="273"/>
      <c r="S1458" s="273"/>
      <c r="T1458" s="274"/>
      <c r="U1458" s="73"/>
      <c r="V1458" s="216"/>
      <c r="W1458" s="118"/>
      <c r="X1458" s="119"/>
      <c r="Y1458" s="120"/>
      <c r="Z1458" s="120"/>
      <c r="AA1458" s="244"/>
      <c r="AB1458" s="241"/>
      <c r="AC1458" s="241"/>
      <c r="AD1458" s="244">
        <v>0</v>
      </c>
    </row>
    <row r="1459" spans="1:30" ht="15" customHeight="1">
      <c r="A1459" s="237"/>
      <c r="B1459" s="121"/>
      <c r="C1459" s="238"/>
      <c r="D1459" s="105"/>
      <c r="E1459" s="138"/>
      <c r="F1459" s="230"/>
      <c r="G1459" s="147"/>
      <c r="H1459" s="117"/>
      <c r="I1459" s="117" t="str">
        <f>IF(X1459="ADMITIDO","ADMITIDO",IF(X1459="CANCELADA","CANCELADA",IF(H1459="","",IFERROR(_xlfn.XLOOKUP(H1459,Listas!I:I,Listas!J:J),"OUTROS"))))</f>
        <v/>
      </c>
      <c r="J1459" s="240"/>
      <c r="K1459" s="240"/>
      <c r="L1459" s="240"/>
      <c r="M1459" s="240"/>
      <c r="N1459" s="240"/>
      <c r="O1459" s="119"/>
      <c r="P1459" s="119"/>
      <c r="Q1459" s="119"/>
      <c r="R1459" s="273"/>
      <c r="S1459" s="273"/>
      <c r="T1459" s="274"/>
      <c r="U1459" s="73"/>
      <c r="V1459" s="216"/>
      <c r="W1459" s="118"/>
      <c r="X1459" s="119"/>
      <c r="Y1459" s="120"/>
      <c r="Z1459" s="120"/>
      <c r="AA1459" s="244"/>
      <c r="AB1459" s="241"/>
      <c r="AC1459" s="241"/>
      <c r="AD1459" s="244">
        <v>0</v>
      </c>
    </row>
    <row r="1460" spans="1:30" ht="15" customHeight="1">
      <c r="A1460" s="237"/>
      <c r="B1460" s="121"/>
      <c r="C1460" s="238"/>
      <c r="D1460" s="105"/>
      <c r="E1460" s="138"/>
      <c r="F1460" s="230"/>
      <c r="G1460" s="147"/>
      <c r="H1460" s="117"/>
      <c r="I1460" s="117" t="str">
        <f>IF(X1460="ADMITIDO","ADMITIDO",IF(X1460="CANCELADA","CANCELADA",IF(H1460="","",IFERROR(_xlfn.XLOOKUP(H1460,Listas!I:I,Listas!J:J),"OUTROS"))))</f>
        <v/>
      </c>
      <c r="J1460" s="240"/>
      <c r="K1460" s="240"/>
      <c r="L1460" s="240"/>
      <c r="M1460" s="240"/>
      <c r="N1460" s="240"/>
      <c r="O1460" s="119"/>
      <c r="P1460" s="119"/>
      <c r="Q1460" s="119"/>
      <c r="R1460" s="273"/>
      <c r="S1460" s="273"/>
      <c r="T1460" s="274"/>
      <c r="U1460" s="73"/>
      <c r="V1460" s="216"/>
      <c r="W1460" s="118"/>
      <c r="X1460" s="119"/>
      <c r="Y1460" s="120"/>
      <c r="Z1460" s="120"/>
      <c r="AA1460" s="244"/>
      <c r="AB1460" s="241"/>
      <c r="AC1460" s="241"/>
      <c r="AD1460" s="244">
        <v>0</v>
      </c>
    </row>
    <row r="1461" spans="1:30" ht="15" customHeight="1">
      <c r="A1461" s="237"/>
      <c r="B1461" s="121"/>
      <c r="C1461" s="238"/>
      <c r="D1461" s="105"/>
      <c r="E1461" s="138"/>
      <c r="F1461" s="230"/>
      <c r="G1461" s="147"/>
      <c r="H1461" s="117"/>
      <c r="I1461" s="117" t="str">
        <f>IF(X1461="ADMITIDO","ADMITIDO",IF(X1461="CANCELADA","CANCELADA",IF(H1461="","",IFERROR(_xlfn.XLOOKUP(H1461,Listas!I:I,Listas!J:J),"OUTROS"))))</f>
        <v/>
      </c>
      <c r="J1461" s="240"/>
      <c r="K1461" s="240"/>
      <c r="L1461" s="240"/>
      <c r="M1461" s="240"/>
      <c r="N1461" s="240"/>
      <c r="O1461" s="119"/>
      <c r="P1461" s="119"/>
      <c r="Q1461" s="119"/>
      <c r="R1461" s="273"/>
      <c r="S1461" s="273"/>
      <c r="T1461" s="274"/>
      <c r="U1461" s="73"/>
      <c r="V1461" s="216"/>
      <c r="W1461" s="118"/>
      <c r="X1461" s="119"/>
      <c r="Y1461" s="120"/>
      <c r="Z1461" s="120"/>
      <c r="AA1461" s="244"/>
      <c r="AB1461" s="241"/>
      <c r="AC1461" s="241"/>
      <c r="AD1461" s="244">
        <v>0</v>
      </c>
    </row>
    <row r="1462" spans="1:30" ht="15" customHeight="1">
      <c r="A1462" s="237"/>
      <c r="B1462" s="121"/>
      <c r="C1462" s="238"/>
      <c r="D1462" s="105"/>
      <c r="E1462" s="138"/>
      <c r="F1462" s="230"/>
      <c r="G1462" s="147"/>
      <c r="H1462" s="117"/>
      <c r="I1462" s="117" t="str">
        <f>IF(X1462="ADMITIDO","ADMITIDO",IF(X1462="CANCELADA","CANCELADA",IF(H1462="","",IFERROR(_xlfn.XLOOKUP(H1462,Listas!I:I,Listas!J:J),"OUTROS"))))</f>
        <v/>
      </c>
      <c r="J1462" s="240"/>
      <c r="K1462" s="240"/>
      <c r="L1462" s="240"/>
      <c r="M1462" s="240"/>
      <c r="N1462" s="240"/>
      <c r="O1462" s="119"/>
      <c r="P1462" s="119"/>
      <c r="Q1462" s="119"/>
      <c r="R1462" s="273"/>
      <c r="S1462" s="273"/>
      <c r="T1462" s="274"/>
      <c r="U1462" s="73"/>
      <c r="V1462" s="216"/>
      <c r="W1462" s="118"/>
      <c r="X1462" s="119"/>
      <c r="Y1462" s="120"/>
      <c r="Z1462" s="120"/>
      <c r="AA1462" s="244"/>
      <c r="AB1462" s="241"/>
      <c r="AC1462" s="241"/>
      <c r="AD1462" s="244">
        <v>0</v>
      </c>
    </row>
    <row r="1463" spans="1:30" ht="15" customHeight="1">
      <c r="A1463" s="237"/>
      <c r="B1463" s="121"/>
      <c r="C1463" s="238"/>
      <c r="D1463" s="105"/>
      <c r="E1463" s="138"/>
      <c r="F1463" s="230"/>
      <c r="G1463" s="147"/>
      <c r="H1463" s="117"/>
      <c r="I1463" s="117" t="str">
        <f>IF(X1463="ADMITIDO","ADMITIDO",IF(X1463="CANCELADA","CANCELADA",IF(H1463="","",IFERROR(_xlfn.XLOOKUP(H1463,Listas!I:I,Listas!J:J),"OUTROS"))))</f>
        <v/>
      </c>
      <c r="J1463" s="240"/>
      <c r="K1463" s="240"/>
      <c r="L1463" s="240"/>
      <c r="M1463" s="240"/>
      <c r="N1463" s="240"/>
      <c r="O1463" s="119"/>
      <c r="P1463" s="119"/>
      <c r="Q1463" s="119"/>
      <c r="R1463" s="273"/>
      <c r="S1463" s="273"/>
      <c r="T1463" s="274"/>
      <c r="U1463" s="73"/>
      <c r="V1463" s="216"/>
      <c r="W1463" s="118"/>
      <c r="X1463" s="119"/>
      <c r="Y1463" s="120"/>
      <c r="Z1463" s="120"/>
      <c r="AA1463" s="244"/>
      <c r="AB1463" s="241"/>
      <c r="AC1463" s="241"/>
      <c r="AD1463" s="244">
        <v>0</v>
      </c>
    </row>
    <row r="1464" spans="1:30" ht="15" customHeight="1">
      <c r="A1464" s="237"/>
      <c r="B1464" s="121"/>
      <c r="C1464" s="238"/>
      <c r="D1464" s="105"/>
      <c r="E1464" s="138"/>
      <c r="F1464" s="230"/>
      <c r="G1464" s="147"/>
      <c r="H1464" s="117"/>
      <c r="I1464" s="117" t="str">
        <f>IF(X1464="ADMITIDO","ADMITIDO",IF(X1464="CANCELADA","CANCELADA",IF(H1464="","",IFERROR(_xlfn.XLOOKUP(H1464,Listas!I:I,Listas!J:J),"OUTROS"))))</f>
        <v/>
      </c>
      <c r="J1464" s="240"/>
      <c r="K1464" s="240"/>
      <c r="L1464" s="240"/>
      <c r="M1464" s="240"/>
      <c r="N1464" s="240"/>
      <c r="O1464" s="119"/>
      <c r="P1464" s="119"/>
      <c r="Q1464" s="119"/>
      <c r="R1464" s="273"/>
      <c r="S1464" s="273"/>
      <c r="T1464" s="274"/>
      <c r="U1464" s="73"/>
      <c r="V1464" s="216"/>
      <c r="W1464" s="118"/>
      <c r="X1464" s="119"/>
      <c r="Y1464" s="120"/>
      <c r="Z1464" s="120"/>
      <c r="AA1464" s="244"/>
      <c r="AB1464" s="241"/>
      <c r="AC1464" s="241"/>
      <c r="AD1464" s="244">
        <v>0</v>
      </c>
    </row>
    <row r="1465" spans="1:30" ht="15" customHeight="1">
      <c r="A1465" s="237"/>
      <c r="B1465" s="121"/>
      <c r="C1465" s="238"/>
      <c r="D1465" s="105"/>
      <c r="E1465" s="138"/>
      <c r="F1465" s="230"/>
      <c r="G1465" s="147"/>
      <c r="H1465" s="117"/>
      <c r="I1465" s="117" t="str">
        <f>IF(X1465="ADMITIDO","ADMITIDO",IF(X1465="CANCELADA","CANCELADA",IF(H1465="","",IFERROR(_xlfn.XLOOKUP(H1465,Listas!I:I,Listas!J:J),"OUTROS"))))</f>
        <v/>
      </c>
      <c r="J1465" s="240"/>
      <c r="K1465" s="240"/>
      <c r="L1465" s="240"/>
      <c r="M1465" s="240"/>
      <c r="N1465" s="240"/>
      <c r="O1465" s="119"/>
      <c r="P1465" s="119"/>
      <c r="Q1465" s="119"/>
      <c r="R1465" s="273"/>
      <c r="S1465" s="273"/>
      <c r="T1465" s="274"/>
      <c r="U1465" s="73"/>
      <c r="V1465" s="216"/>
      <c r="W1465" s="118"/>
      <c r="X1465" s="119"/>
      <c r="Y1465" s="120"/>
      <c r="Z1465" s="120"/>
      <c r="AA1465" s="244"/>
      <c r="AB1465" s="241"/>
      <c r="AC1465" s="241"/>
      <c r="AD1465" s="244">
        <v>0</v>
      </c>
    </row>
    <row r="1466" spans="1:30" ht="15" customHeight="1">
      <c r="AD1466" s="244">
        <v>0</v>
      </c>
    </row>
    <row r="1467" spans="1:30" ht="15" hidden="1" customHeight="1"/>
    <row r="1488" spans="25:25" ht="15" customHeight="1">
      <c r="Y1488" s="65">
        <v>25</v>
      </c>
    </row>
    <row r="1531" spans="9:9" ht="15" customHeight="1">
      <c r="I1531" s="117" t="s">
        <v>3361</v>
      </c>
    </row>
  </sheetData>
  <sheetProtection formatCells="0" autoFilter="0"/>
  <protectedRanges>
    <protectedRange sqref="A1:XFD1" name="Cabecalho"/>
    <protectedRange sqref="G686:G861 G2:H684 H685:H861 G862:H1465" name="Recrutadores 1"/>
    <protectedRange sqref="S632 T687:T730 R633:S730 R356:S631 T356:T685 R731:T1465 R2:T355" name="Recrutadores 2"/>
    <protectedRange sqref="W560:W616 U618:Z618 U684:AC685 X651:Z651 T686 V630:AD649 U630:U683 Y686:AC697 AD672:AD697 V617 V651 U731:W738 X731:X733 X735:X738 U619:AD629 V739:V742 U739:U817 V744:V817 Y617:Z617 AD650:AD651 U686:X730 Y698:AD738 V652:AD671 W739:AD817 Y941 X6:AD616 AE925 AC1093:AD1131 AB1093:AB1127 AB1129:AB1131 U1093:AA1131 U2:AD5 W356:W558 U356:V616 V672:AC683 X818:Y940 U818:W1092 X942:Y1092 Z818:AD1092 U1442:AC1465 AD1442:AD1466 U1132:AD1441 U6:W355" name="Pre admissão"/>
  </protectedRanges>
  <autoFilter ref="A1:AO1465" xr:uid="{DB537F17-0BD0-4697-9E83-A98A1D46824B}"/>
  <mergeCells count="10">
    <mergeCell ref="A192:A193"/>
    <mergeCell ref="A194:A195"/>
    <mergeCell ref="A196:A197"/>
    <mergeCell ref="A422:A423"/>
    <mergeCell ref="A6:A7"/>
    <mergeCell ref="A63:A64"/>
    <mergeCell ref="A75:A76"/>
    <mergeCell ref="A77:A78"/>
    <mergeCell ref="A132:A133"/>
    <mergeCell ref="A190:A191"/>
  </mergeCells>
  <conditionalFormatting sqref="E2:E1106 I2:I1402 I1404:I1465 I1531 E1108:E1465">
    <cfRule type="expression" dxfId="84" priority="70">
      <formula>E2="CANCELADA"</formula>
    </cfRule>
  </conditionalFormatting>
  <conditionalFormatting sqref="E2:E1106 E1108:E1465">
    <cfRule type="expression" dxfId="83" priority="68">
      <formula>E2="ATENÇÃO"</formula>
    </cfRule>
    <cfRule type="expression" dxfId="82" priority="69">
      <formula>E2="CRÍTICO"</formula>
    </cfRule>
  </conditionalFormatting>
  <conditionalFormatting sqref="E2:E1106 H2:I1106 H1162:I1402 I1531 H1107:H1108 H1122:H1124 H1403 E1108:E1465 H1404:I1465">
    <cfRule type="expression" dxfId="81" priority="71">
      <formula>E2="ADMITIDO"</formula>
    </cfRule>
  </conditionalFormatting>
  <conditionalFormatting sqref="E2:E1465">
    <cfRule type="expression" dxfId="80" priority="17">
      <formula>E2="NO PRAZO"</formula>
    </cfRule>
  </conditionalFormatting>
  <conditionalFormatting sqref="E52:E79 E130:E517 E873:E958 E977:E999">
    <cfRule type="expression" dxfId="79" priority="66">
      <formula>E2="EM ANÁLISE"</formula>
    </cfRule>
  </conditionalFormatting>
  <conditionalFormatting sqref="E80:E128 E873:E925">
    <cfRule type="expression" dxfId="78" priority="316">
      <formula>E31="EM ANÁLISE"</formula>
    </cfRule>
  </conditionalFormatting>
  <conditionalFormatting sqref="E129">
    <cfRule type="expression" dxfId="77" priority="315">
      <formula>E518="EM ANÁLISE"</formula>
    </cfRule>
  </conditionalFormatting>
  <conditionalFormatting sqref="E518">
    <cfRule type="expression" dxfId="76" priority="314">
      <formula>E30="EM ANÁLISE"</formula>
    </cfRule>
  </conditionalFormatting>
  <conditionalFormatting sqref="E519:E551 E622:E746 E926:E976 E978:E1002 E1004">
    <cfRule type="expression" dxfId="75" priority="298">
      <formula>E468="EM ANÁLISE"</formula>
    </cfRule>
  </conditionalFormatting>
  <conditionalFormatting sqref="E552:E553 E621 E685:E925 E959:E977 E1000:E1004 E1034:E1076 E1081:E1084">
    <cfRule type="expression" dxfId="74" priority="320">
      <formula>E500="EM ANÁLISE"</formula>
    </cfRule>
  </conditionalFormatting>
  <conditionalFormatting sqref="E554:E558 E747:E958 E980:E999 E1003:E1007 E1033:E1086 E1247:E1303">
    <cfRule type="expression" dxfId="73" priority="333">
      <formula>E501="EM ANÁLISE"</formula>
    </cfRule>
  </conditionalFormatting>
  <conditionalFormatting sqref="E559 E851:E981 E983:E1007 E1033:E1089 E1132:E1187 E1189 E1191:E1303">
    <cfRule type="expression" dxfId="72" priority="325">
      <formula>E503="EM ANÁLISE"</formula>
    </cfRule>
  </conditionalFormatting>
  <conditionalFormatting sqref="E560:E561 E926:E982 E984:E1106 E1108:E1131 E1134:E1188 E1190 E1192:E1303">
    <cfRule type="expression" dxfId="71" priority="340">
      <formula>E503="EM ANÁLISE"</formula>
    </cfRule>
  </conditionalFormatting>
  <conditionalFormatting sqref="E562:E563 E959:E983 E1000:E1106 E1108:E1133 E1139:E1189 E1191 E1193:E1310">
    <cfRule type="expression" dxfId="70" priority="341">
      <formula>E504="EM ANÁLISE"</formula>
    </cfRule>
  </conditionalFormatting>
  <conditionalFormatting sqref="E564:E567 E614 E926:E958 E988:E999 E1008:E1032 E1095:E1106 E1108:E1192 E1194 E1196:E1246 E1295:E1446">
    <cfRule type="expression" dxfId="69" priority="354">
      <formula>E503="EM ANÁLISE"</formula>
    </cfRule>
  </conditionalFormatting>
  <conditionalFormatting sqref="E568:E569 E581:E613 E697:E746 E959:E987 E1000:E1002 E1004 E1132:E1193 E1195 E1297:E1446">
    <cfRule type="expression" dxfId="68" priority="367">
      <formula>E506="EM ANÁLISE"</formula>
    </cfRule>
  </conditionalFormatting>
  <conditionalFormatting sqref="E570:E580 E747:E925 E1003:E1004 E1034:E1076 E1081:E1095 E1134:E1194 E1299:E1446">
    <cfRule type="expression" dxfId="67" priority="375">
      <formula>E507="EM ANÁLISE"</formula>
    </cfRule>
  </conditionalFormatting>
  <conditionalFormatting sqref="E615 E873:E925 E1005:E1033 E1077:E1080 E1093:E1106 E1108:E1191 E1193 E1195:E1407">
    <cfRule type="expression" dxfId="66" priority="347">
      <formula>E555="EM ANÁLISE"</formula>
    </cfRule>
  </conditionalFormatting>
  <conditionalFormatting sqref="E616">
    <cfRule type="expression" dxfId="65" priority="357">
      <formula>E559="EM ANÁLISE"</formula>
    </cfRule>
  </conditionalFormatting>
  <conditionalFormatting sqref="E617:E618">
    <cfRule type="expression" dxfId="64" priority="62">
      <formula>E565="EM ANÁLISE"</formula>
    </cfRule>
  </conditionalFormatting>
  <conditionalFormatting sqref="E619">
    <cfRule type="expression" dxfId="63" priority="359">
      <formula>E561="EM ANÁLISE"</formula>
    </cfRule>
  </conditionalFormatting>
  <conditionalFormatting sqref="E620">
    <cfRule type="expression" dxfId="62" priority="378">
      <formula>E567="EM ANÁLISE"</formula>
    </cfRule>
  </conditionalFormatting>
  <conditionalFormatting sqref="E847:E848 E860:E958 E991:E999 E1005:E1007 E1033 E1077:E1080 E1097 E1247:E1446">
    <cfRule type="expression" dxfId="61" priority="384">
      <formula>E783="EM ANÁLISE"</formula>
    </cfRule>
  </conditionalFormatting>
  <conditionalFormatting sqref="E847:E850 E860:E979 E981:E1002 E1004:E1033 E1077:E1080 E1087:E1106 E1108:E1131 E1189:E1303">
    <cfRule type="expression" dxfId="60" priority="382">
      <formula>E793="EM ANÁLISE"</formula>
    </cfRule>
  </conditionalFormatting>
  <conditionalFormatting sqref="E849:E850 E926:E990 E992:E1002 E1004 E1008:E1032 E1099:E1106 E1108:E1131 E1200:E1246 E1295:E1296 E1303:E1446">
    <cfRule type="expression" dxfId="59" priority="390">
      <formula>E784="EM ANÁLISE"</formula>
    </cfRule>
  </conditionalFormatting>
  <conditionalFormatting sqref="E849:E980 E982:E1004 E1008:E1032 E1034:E1076 E1081:E1087 E1089:E1106 E1108:E1133 E1188 E1190:E1303">
    <cfRule type="expression" dxfId="58" priority="388">
      <formula>E794="EM ANÁLISE"</formula>
    </cfRule>
  </conditionalFormatting>
  <conditionalFormatting sqref="E851:E925 E959:E991 E1000:E1004 E1034:E1076 E1081:E1098 E1132:E1133 E1199 E1297:E1298 E1308:E1446">
    <cfRule type="expression" dxfId="57" priority="396">
      <formula>E785="EM ANÁLISE"</formula>
    </cfRule>
  </conditionalFormatting>
  <conditionalFormatting sqref="E926:E958 E994:E999 E1003:E1007 E1033:E1100 E1134:E1198 E1247:E1303 E1309:E1465">
    <cfRule type="expression" dxfId="56" priority="418">
      <formula>E859="EM ANÁLISE"</formula>
    </cfRule>
  </conditionalFormatting>
  <conditionalFormatting sqref="E959:E993 E1000:E1002 E1004:E1033 E1077:E1080 E1101:E1106 E1108:E1131 E1203:E1303 E1313:E1465">
    <cfRule type="expression" dxfId="55" priority="440">
      <formula>E891="EM ANÁLISE"</formula>
    </cfRule>
  </conditionalFormatting>
  <conditionalFormatting sqref="E1003:E1004 E1008:E1032 E1034:E1076 E1081:E1101 E1103:E1106 E1108:E1133 E1202 E1204:E1246 E1295:E1298 E1303:E1310 E1315:E1446">
    <cfRule type="expression" dxfId="54" priority="462">
      <formula>E934="EM ANÁLISE"</formula>
    </cfRule>
  </conditionalFormatting>
  <conditionalFormatting sqref="E1003:E1190 E1192 E1194:E1310 E1389">
    <cfRule type="expression" dxfId="53" priority="24">
      <formula>E944="EM ANÁLISE"</formula>
    </cfRule>
  </conditionalFormatting>
  <conditionalFormatting sqref="E1005:E1007 E1033 E1077:E1080 E1103 E1132:E1201 E1203 E1247:E1303 E1308 E1317:E1465">
    <cfRule type="expression" dxfId="52" priority="484">
      <formula>E935="EM ANÁLISE"</formula>
    </cfRule>
  </conditionalFormatting>
  <conditionalFormatting sqref="E1008:E1032 E1105:E1106 E1108:E1131 E1134:E1202 E1206:E1246 E1295:E1296 E1299:E1302 E1309:E1465">
    <cfRule type="expression" dxfId="51" priority="506">
      <formula>E937="EM ANÁLISE"</formula>
    </cfRule>
  </conditionalFormatting>
  <conditionalFormatting sqref="E1085:E1094 E1098:E1102 E1104 E1168:E1465">
    <cfRule type="expression" dxfId="50" priority="832">
      <formula>#REF!="EM ANÁLISE"</formula>
    </cfRule>
  </conditionalFormatting>
  <conditionalFormatting sqref="E1096">
    <cfRule type="expression" dxfId="49" priority="889">
      <formula>#REF!="EM ANÁLISE"</formula>
    </cfRule>
  </conditionalFormatting>
  <conditionalFormatting sqref="E1107 I1107:I1108 I1122:I1123 H1124:I1138 I1139">
    <cfRule type="expression" dxfId="48" priority="21">
      <formula>E1107="ADMITIDO"</formula>
    </cfRule>
  </conditionalFormatting>
  <conditionalFormatting sqref="E1107">
    <cfRule type="expression" dxfId="47" priority="18">
      <formula>E1107="ATENÇÃO"</formula>
    </cfRule>
    <cfRule type="expression" dxfId="46" priority="19">
      <formula>E1107="CRÍTICO"</formula>
    </cfRule>
    <cfRule type="expression" dxfId="45" priority="20">
      <formula>E1107="CANCELADA"</formula>
    </cfRule>
    <cfRule type="expression" dxfId="44" priority="22">
      <formula>E1051="EM ANÁLISE"</formula>
    </cfRule>
    <cfRule type="expression" dxfId="43" priority="23">
      <formula>E1050="EM ANÁLISE"</formula>
    </cfRule>
    <cfRule type="expression" dxfId="42" priority="25">
      <formula>E1047="EM ANÁLISE"</formula>
    </cfRule>
    <cfRule type="expression" dxfId="41" priority="26">
      <formula>E1054="EM ANÁLISE"</formula>
    </cfRule>
    <cfRule type="expression" dxfId="40" priority="27">
      <formula>E1053="EM ANÁLISE"</formula>
    </cfRule>
    <cfRule type="expression" dxfId="39" priority="28">
      <formula>E1043="EM ANÁLISE"</formula>
    </cfRule>
    <cfRule type="expression" dxfId="38" priority="29">
      <formula>E1040="EM ANÁLISE"</formula>
    </cfRule>
    <cfRule type="expression" dxfId="37" priority="30">
      <formula>E1049="EM ANÁLISE"</formula>
    </cfRule>
    <cfRule type="expression" dxfId="36" priority="31">
      <formula>E1039="EM ANÁLISE"</formula>
    </cfRule>
    <cfRule type="expression" dxfId="35" priority="32">
      <formula>E1037="EM ANÁLISE"</formula>
    </cfRule>
  </conditionalFormatting>
  <conditionalFormatting sqref="E1132:E1133 E1205 E1297:E1298 E1301:E1310 E1313:E1314 E1389:E1465">
    <cfRule type="expression" dxfId="34" priority="578">
      <formula>E1060="EM ANÁLISE"</formula>
    </cfRule>
  </conditionalFormatting>
  <conditionalFormatting sqref="E1134:E1204 E1299:E1300 E1303:E1310 E1315:E1316 E1389 E1408:E1465">
    <cfRule type="expression" dxfId="33" priority="617">
      <formula>E1061="EM ANÁLISE"</formula>
    </cfRule>
  </conditionalFormatting>
  <conditionalFormatting sqref="E1137:E1138 E1140 E1142 E1144 E1146 E1148 E1150 E1152 E1154 E1156 E1158 E1160 E1162 E1164 E1166">
    <cfRule type="expression" dxfId="32" priority="547">
      <formula>#REF!="EM ANÁLISE"</formula>
    </cfRule>
  </conditionalFormatting>
  <conditionalFormatting sqref="E1301:E1302 E1308:E1407">
    <cfRule type="expression" dxfId="31" priority="641">
      <formula>E1227="EM ANÁLISE"</formula>
    </cfRule>
  </conditionalFormatting>
  <conditionalFormatting sqref="E1303:E1446">
    <cfRule type="expression" dxfId="30" priority="665">
      <formula>E1228="EM ANÁLISE"</formula>
    </cfRule>
  </conditionalFormatting>
  <conditionalFormatting sqref="E1308 E1313:E1316 E1390:E1446">
    <cfRule type="expression" dxfId="29" priority="716">
      <formula>E1232="EM ANÁLISE"</formula>
    </cfRule>
  </conditionalFormatting>
  <conditionalFormatting sqref="E1309:E1465">
    <cfRule type="expression" dxfId="28" priority="689">
      <formula>E1232="EM ANÁLISE"</formula>
    </cfRule>
  </conditionalFormatting>
  <conditionalFormatting sqref="E1313:E1314 E1317:E1446">
    <cfRule type="expression" dxfId="27" priority="740">
      <formula>E1235="EM ANÁLISE"</formula>
    </cfRule>
  </conditionalFormatting>
  <conditionalFormatting sqref="E1315:E1316 E1319:E1446">
    <cfRule type="expression" dxfId="26" priority="764">
      <formula>E1236="EM ANÁLISE"</formula>
    </cfRule>
  </conditionalFormatting>
  <conditionalFormatting sqref="E1317:E1318 E1390:E1465">
    <cfRule type="expression" dxfId="25" priority="788">
      <formula>E1237="EM ANÁLISE"</formula>
    </cfRule>
  </conditionalFormatting>
  <conditionalFormatting sqref="E1319:E1465">
    <cfRule type="expression" dxfId="24" priority="812">
      <formula>E1238="EM ANÁLISE"</formula>
    </cfRule>
  </conditionalFormatting>
  <conditionalFormatting sqref="E1390:E1446">
    <cfRule type="expression" dxfId="23" priority="852">
      <formula>E1308="EM ANÁLISE"</formula>
    </cfRule>
  </conditionalFormatting>
  <conditionalFormatting sqref="E1408:E1465">
    <cfRule type="expression" dxfId="22" priority="872">
      <formula>E1325="EM ANÁLISE"</formula>
    </cfRule>
  </conditionalFormatting>
  <conditionalFormatting sqref="H2:H1108 H1122:H1402 H1404:H1465">
    <cfRule type="expression" dxfId="21" priority="63">
      <formula>H2="ANÁLISE CANCELAMENTO"</formula>
    </cfRule>
    <cfRule type="expression" dxfId="20" priority="65">
      <formula>I2="CANCELADA"</formula>
    </cfRule>
  </conditionalFormatting>
  <conditionalFormatting sqref="H766:H772 H775:H778">
    <cfRule type="expression" dxfId="19" priority="51">
      <formula>H766="CANCELADA"</formula>
    </cfRule>
  </conditionalFormatting>
  <conditionalFormatting sqref="H1109:H1121">
    <cfRule type="expression" dxfId="18" priority="6">
      <formula>H1109="ANÁLISE CANCELAMENTO"</formula>
    </cfRule>
    <cfRule type="expression" dxfId="17" priority="7">
      <formula>I1109="CANCELADA"</formula>
    </cfRule>
  </conditionalFormatting>
  <conditionalFormatting sqref="H1136 H1138:H1140 H1142 H1147:H1149">
    <cfRule type="expression" dxfId="16" priority="5">
      <formula>H1136="ADMITIDO"</formula>
    </cfRule>
  </conditionalFormatting>
  <conditionalFormatting sqref="H1154 H1163 H1169">
    <cfRule type="expression" dxfId="15" priority="14">
      <formula>H1154="ADMITIDO"</formula>
    </cfRule>
  </conditionalFormatting>
  <conditionalFormatting sqref="H1403">
    <cfRule type="expression" dxfId="14" priority="898">
      <formula>H1403="ANÁLISE CANCELAMENTO"</formula>
    </cfRule>
    <cfRule type="expression" dxfId="13" priority="899">
      <formula>I1531="CANCELADA"</formula>
    </cfRule>
  </conditionalFormatting>
  <conditionalFormatting sqref="H1109:I1121">
    <cfRule type="expression" dxfId="12" priority="8">
      <formula>H1109="ADMITIDO"</formula>
    </cfRule>
  </conditionalFormatting>
  <conditionalFormatting sqref="H1140:I1161">
    <cfRule type="expression" dxfId="11" priority="11">
      <formula>H1140="ADMITIDO"</formula>
    </cfRule>
  </conditionalFormatting>
  <conditionalFormatting sqref="I882">
    <cfRule type="expression" dxfId="10" priority="58">
      <formula>I882="ANÁLISE CANCELAMENTO"</formula>
    </cfRule>
    <cfRule type="expression" dxfId="9" priority="59">
      <formula>J882="CANCELADA"</formula>
    </cfRule>
  </conditionalFormatting>
  <conditionalFormatting sqref="I941">
    <cfRule type="expression" dxfId="8" priority="56">
      <formula>I941="ANÁLISE CANCELAMENTO"</formula>
    </cfRule>
    <cfRule type="expression" dxfId="7" priority="57">
      <formula>J941="CANCELADA"</formula>
    </cfRule>
  </conditionalFormatting>
  <conditionalFormatting sqref="I956">
    <cfRule type="expression" dxfId="6" priority="54">
      <formula>I956="ANÁLISE CANCELAMENTO"</formula>
    </cfRule>
    <cfRule type="expression" dxfId="5" priority="55">
      <formula>J956="CANCELADA"</formula>
    </cfRule>
  </conditionalFormatting>
  <conditionalFormatting sqref="I1343">
    <cfRule type="expression" dxfId="4" priority="1">
      <formula>I1343="ANÁLISE CANCELAMENTO"</formula>
    </cfRule>
    <cfRule type="expression" dxfId="3" priority="2">
      <formula>J1343="CANCELADA"</formula>
    </cfRule>
    <cfRule type="expression" dxfId="2" priority="3">
      <formula>I1343="ANÁLISE CANCELAMENTO"</formula>
    </cfRule>
    <cfRule type="expression" dxfId="1" priority="4">
      <formula>J1343="CANCELADA"</formula>
    </cfRule>
  </conditionalFormatting>
  <conditionalFormatting sqref="J10">
    <cfRule type="expression" dxfId="0" priority="64">
      <formula>H2="ANÁLISE CANCELAMENTO"</formula>
    </cfRule>
  </conditionalFormatting>
  <dataValidations count="1">
    <dataValidation allowBlank="1" showInputMessage="1" showErrorMessage="1" sqref="U420 I1531 I2:I1402 I1404:I1465" xr:uid="{57141B62-64C2-4CDB-BEAB-A839472411B4}"/>
  </dataValidations>
  <hyperlinks>
    <hyperlink ref="AB653" r:id="rId1" xr:uid="{B8BC4E4F-0A64-4F29-A1E9-2F929AD4D2D0}"/>
  </hyperlinks>
  <pageMargins left="0.7" right="0.7" top="0.75" bottom="0.75" header="0.3" footer="0.3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AD5BD67-A26E-402F-B5D6-F95A1B7F5D3A}">
          <x14:formula1>
            <xm:f>Listas!$D$2:$D$30</xm:f>
          </x14:formula1>
          <xm:sqref>U415 U577 U518 U453 U479:U481 U614 U459 U495 U612 U574 U601:U602 U579 U500 U599 U619:U683 U473 U592 U425 U490 U685:U1465 U2:U412</xm:sqref>
        </x14:dataValidation>
        <x14:dataValidation type="list" allowBlank="1" showInputMessage="1" showErrorMessage="1" xr:uid="{EAFA1D66-1D82-45E0-903E-6FC65D74AD95}">
          <x14:formula1>
            <xm:f>Listas!$B$2:$B$23</xm:f>
          </x14:formula1>
          <xm:sqref>S316 G2:G684 G686:G1465</xm:sqref>
        </x14:dataValidation>
        <x14:dataValidation type="list" allowBlank="1" showInputMessage="1" showErrorMessage="1" xr:uid="{9E8170CD-5E56-4A6D-AF43-31E3855BB140}">
          <x14:formula1>
            <xm:f>Listas!$A$2:$A$30</xm:f>
          </x14:formula1>
          <xm:sqref>E44 E60 E13 E49 H2:H1465</xm:sqref>
        </x14:dataValidation>
        <x14:dataValidation type="list" allowBlank="1" showInputMessage="1" showErrorMessage="1" xr:uid="{DC347BFA-EE34-459C-88EB-8A4DE0950AFE}">
          <x14:formula1>
            <xm:f>Listas!$F$2:$F$30</xm:f>
          </x14:formula1>
          <xm:sqref>Y90 X618:X649 X651:X733 X357:X616 X2:X89 X735:X940 X91:X354 X1113:X1465 X942:X1110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0EBB-8A91-4D15-902A-EF50F13AAD23}">
  <sheetPr filterMode="1"/>
  <dimension ref="A1:P259"/>
  <sheetViews>
    <sheetView zoomScale="80" zoomScaleNormal="80" workbookViewId="0">
      <selection activeCell="H245" sqref="H245:I260"/>
    </sheetView>
  </sheetViews>
  <sheetFormatPr defaultColWidth="9.140625" defaultRowHeight="15"/>
  <cols>
    <col min="1" max="1" width="29.140625" style="136" customWidth="1"/>
    <col min="2" max="3" width="9.140625" style="136"/>
    <col min="4" max="4" width="22.85546875" style="136" customWidth="1"/>
    <col min="5" max="6" width="9.140625" style="136"/>
    <col min="7" max="7" width="26.85546875" style="136" customWidth="1"/>
    <col min="8" max="8" width="24.28515625" style="136" customWidth="1"/>
    <col min="9" max="9" width="35.85546875" style="136" customWidth="1"/>
    <col min="10" max="10" width="22.7109375" style="136" customWidth="1"/>
    <col min="11" max="11" width="12.5703125" style="136" customWidth="1"/>
    <col min="12" max="12" width="25.5703125" style="136" customWidth="1"/>
    <col min="13" max="13" width="15.85546875" style="136" customWidth="1"/>
    <col min="14" max="15" width="17" style="136" customWidth="1"/>
    <col min="16" max="16384" width="9.140625" style="136"/>
  </cols>
  <sheetData>
    <row r="1" spans="1:16">
      <c r="A1" s="135" t="s">
        <v>3362</v>
      </c>
      <c r="B1" s="135" t="s">
        <v>3363</v>
      </c>
      <c r="C1" s="135" t="s">
        <v>3364</v>
      </c>
      <c r="D1" s="135" t="s">
        <v>9</v>
      </c>
      <c r="E1" s="135" t="s">
        <v>3365</v>
      </c>
      <c r="F1" s="135" t="s">
        <v>3366</v>
      </c>
      <c r="G1" s="135" t="s">
        <v>10</v>
      </c>
      <c r="H1" s="135" t="s">
        <v>3367</v>
      </c>
      <c r="I1" s="135" t="s">
        <v>3368</v>
      </c>
      <c r="J1" s="135" t="s">
        <v>5</v>
      </c>
      <c r="K1" s="135" t="s">
        <v>3369</v>
      </c>
      <c r="L1" s="135" t="s">
        <v>3370</v>
      </c>
      <c r="M1" s="135" t="s">
        <v>3371</v>
      </c>
    </row>
    <row r="2" spans="1:16" hidden="1">
      <c r="A2" s="612" t="s">
        <v>377</v>
      </c>
      <c r="B2" s="612">
        <v>1</v>
      </c>
      <c r="C2" s="612">
        <v>92</v>
      </c>
      <c r="D2" s="612" t="s">
        <v>53</v>
      </c>
      <c r="E2" s="612">
        <v>31148</v>
      </c>
      <c r="F2" s="612" t="s">
        <v>56</v>
      </c>
      <c r="G2" s="612" t="s">
        <v>45</v>
      </c>
      <c r="H2" s="612" t="s">
        <v>35</v>
      </c>
      <c r="I2" s="612" t="s">
        <v>176</v>
      </c>
      <c r="J2" s="612" t="s">
        <v>42</v>
      </c>
      <c r="K2" s="612" t="s">
        <v>378</v>
      </c>
      <c r="L2" s="612" t="s">
        <v>3372</v>
      </c>
      <c r="M2" s="612" t="s">
        <v>43</v>
      </c>
      <c r="N2" s="612" t="s">
        <v>3373</v>
      </c>
      <c r="O2" s="613"/>
      <c r="P2" s="613"/>
    </row>
    <row r="3" spans="1:16" hidden="1">
      <c r="A3" s="612" t="s">
        <v>1017</v>
      </c>
      <c r="B3" s="612">
        <v>1</v>
      </c>
      <c r="C3" s="612">
        <v>84</v>
      </c>
      <c r="D3" s="612" t="s">
        <v>44</v>
      </c>
      <c r="E3" s="612">
        <v>30134</v>
      </c>
      <c r="F3" s="612" t="s">
        <v>34</v>
      </c>
      <c r="G3" s="612" t="s">
        <v>228</v>
      </c>
      <c r="H3" s="612" t="s">
        <v>57</v>
      </c>
      <c r="I3" s="612" t="s">
        <v>49</v>
      </c>
      <c r="J3" s="612" t="s">
        <v>42</v>
      </c>
      <c r="K3" s="612" t="s">
        <v>435</v>
      </c>
      <c r="L3" s="612" t="s">
        <v>3374</v>
      </c>
      <c r="M3" s="612" t="s">
        <v>3356</v>
      </c>
      <c r="N3" s="612" t="s">
        <v>3375</v>
      </c>
      <c r="O3" s="613"/>
      <c r="P3" s="612"/>
    </row>
    <row r="4" spans="1:16" hidden="1">
      <c r="A4" s="612" t="s">
        <v>924</v>
      </c>
      <c r="B4" s="612">
        <v>1</v>
      </c>
      <c r="C4" s="612">
        <v>80</v>
      </c>
      <c r="D4" s="612" t="s">
        <v>53</v>
      </c>
      <c r="E4" s="612">
        <v>30157</v>
      </c>
      <c r="F4" s="612" t="s">
        <v>34</v>
      </c>
      <c r="G4" s="612" t="s">
        <v>189</v>
      </c>
      <c r="H4" s="612" t="s">
        <v>35</v>
      </c>
      <c r="I4" s="612" t="s">
        <v>36</v>
      </c>
      <c r="J4" s="612" t="s">
        <v>42</v>
      </c>
      <c r="K4" s="612" t="s">
        <v>925</v>
      </c>
      <c r="L4" s="614">
        <v>46117</v>
      </c>
      <c r="M4" s="612" t="s">
        <v>43</v>
      </c>
      <c r="N4" s="612" t="s">
        <v>3376</v>
      </c>
      <c r="O4" s="613"/>
      <c r="P4" s="612"/>
    </row>
    <row r="5" spans="1:16" hidden="1">
      <c r="A5" s="612" t="s">
        <v>104</v>
      </c>
      <c r="B5" s="612">
        <v>1</v>
      </c>
      <c r="C5" s="612">
        <v>72</v>
      </c>
      <c r="D5" s="612" t="s">
        <v>53</v>
      </c>
      <c r="E5" s="612">
        <v>30299</v>
      </c>
      <c r="F5" s="612" t="s">
        <v>34</v>
      </c>
      <c r="G5" s="612" t="s">
        <v>103</v>
      </c>
      <c r="H5" s="612" t="s">
        <v>72</v>
      </c>
      <c r="I5" s="612" t="s">
        <v>73</v>
      </c>
      <c r="J5" s="612" t="s">
        <v>42</v>
      </c>
      <c r="K5" s="612" t="s">
        <v>33</v>
      </c>
      <c r="L5" s="614">
        <v>46361</v>
      </c>
      <c r="M5" s="612" t="s">
        <v>167</v>
      </c>
      <c r="N5" s="612" t="s">
        <v>390</v>
      </c>
      <c r="O5" s="613"/>
      <c r="P5" s="612"/>
    </row>
    <row r="6" spans="1:16" hidden="1">
      <c r="A6" s="612" t="s">
        <v>46</v>
      </c>
      <c r="B6" s="612">
        <v>1</v>
      </c>
      <c r="C6" s="612">
        <v>71</v>
      </c>
      <c r="D6" s="612" t="s">
        <v>44</v>
      </c>
      <c r="E6" s="612">
        <v>30324</v>
      </c>
      <c r="F6" s="612" t="s">
        <v>34</v>
      </c>
      <c r="G6" s="612" t="s">
        <v>45</v>
      </c>
      <c r="H6" s="612" t="s">
        <v>48</v>
      </c>
      <c r="I6" s="612" t="s">
        <v>49</v>
      </c>
      <c r="J6" s="612" t="s">
        <v>42</v>
      </c>
      <c r="K6" s="612" t="s">
        <v>47</v>
      </c>
      <c r="L6" s="612" t="s">
        <v>3377</v>
      </c>
      <c r="M6" s="612" t="s">
        <v>43</v>
      </c>
      <c r="N6" s="612" t="s">
        <v>3375</v>
      </c>
      <c r="O6" s="613"/>
      <c r="P6" s="612"/>
    </row>
    <row r="7" spans="1:16" hidden="1">
      <c r="A7" s="612" t="s">
        <v>1978</v>
      </c>
      <c r="B7" s="612">
        <v>1</v>
      </c>
      <c r="C7" s="612">
        <v>58</v>
      </c>
      <c r="D7" s="612" t="s">
        <v>53</v>
      </c>
      <c r="E7" s="612">
        <v>30487</v>
      </c>
      <c r="F7" s="612" t="s">
        <v>34</v>
      </c>
      <c r="G7" s="612" t="s">
        <v>103</v>
      </c>
      <c r="H7" s="612" t="s">
        <v>48</v>
      </c>
      <c r="I7" s="612" t="s">
        <v>49</v>
      </c>
      <c r="J7" s="612" t="s">
        <v>42</v>
      </c>
      <c r="K7" s="612" t="s">
        <v>274</v>
      </c>
      <c r="L7" s="612" t="s">
        <v>3378</v>
      </c>
      <c r="M7" s="612" t="s">
        <v>167</v>
      </c>
      <c r="N7" s="612" t="s">
        <v>3379</v>
      </c>
      <c r="O7" s="613"/>
      <c r="P7" s="613"/>
    </row>
    <row r="8" spans="1:16" hidden="1">
      <c r="A8" s="612" t="s">
        <v>307</v>
      </c>
      <c r="B8" s="612">
        <v>1</v>
      </c>
      <c r="C8" s="612">
        <v>57</v>
      </c>
      <c r="D8" s="612" t="s">
        <v>53</v>
      </c>
      <c r="E8" s="612">
        <v>30499</v>
      </c>
      <c r="F8" s="612" t="s">
        <v>34</v>
      </c>
      <c r="G8" s="612" t="s">
        <v>241</v>
      </c>
      <c r="H8" s="612" t="s">
        <v>57</v>
      </c>
      <c r="I8" s="612" t="s">
        <v>308</v>
      </c>
      <c r="J8" s="612" t="s">
        <v>42</v>
      </c>
      <c r="K8" s="612" t="s">
        <v>243</v>
      </c>
      <c r="L8" s="612" t="s">
        <v>3380</v>
      </c>
      <c r="M8" s="612" t="s">
        <v>240</v>
      </c>
      <c r="N8" s="612" t="s">
        <v>3379</v>
      </c>
      <c r="O8" s="613"/>
      <c r="P8" s="613"/>
    </row>
    <row r="9" spans="1:16" hidden="1">
      <c r="A9" s="612" t="s">
        <v>2023</v>
      </c>
      <c r="B9" s="612">
        <v>1</v>
      </c>
      <c r="C9" s="612">
        <v>56</v>
      </c>
      <c r="D9" s="612" t="s">
        <v>44</v>
      </c>
      <c r="E9" s="612">
        <v>30512</v>
      </c>
      <c r="F9" s="612" t="s">
        <v>34</v>
      </c>
      <c r="G9" s="612" t="s">
        <v>103</v>
      </c>
      <c r="H9" s="612" t="s">
        <v>48</v>
      </c>
      <c r="I9" s="612" t="s">
        <v>275</v>
      </c>
      <c r="J9" s="612" t="s">
        <v>42</v>
      </c>
      <c r="K9" s="612" t="s">
        <v>274</v>
      </c>
      <c r="L9" s="612" t="s">
        <v>3381</v>
      </c>
      <c r="M9" s="612" t="s">
        <v>167</v>
      </c>
      <c r="N9" s="612" t="s">
        <v>3379</v>
      </c>
      <c r="O9" s="613"/>
      <c r="P9" s="613"/>
    </row>
    <row r="10" spans="1:16" hidden="1">
      <c r="A10" s="612" t="s">
        <v>229</v>
      </c>
      <c r="B10" s="612">
        <v>1</v>
      </c>
      <c r="C10" s="612">
        <v>55</v>
      </c>
      <c r="D10" s="612" t="s">
        <v>44</v>
      </c>
      <c r="E10" s="612">
        <v>30533</v>
      </c>
      <c r="F10" s="612" t="s">
        <v>34</v>
      </c>
      <c r="G10" s="612" t="s">
        <v>228</v>
      </c>
      <c r="H10" s="612" t="s">
        <v>57</v>
      </c>
      <c r="I10" s="612" t="s">
        <v>561</v>
      </c>
      <c r="J10" s="612" t="s">
        <v>42</v>
      </c>
      <c r="K10" s="612" t="s">
        <v>88</v>
      </c>
      <c r="L10" s="612" t="s">
        <v>3382</v>
      </c>
      <c r="M10" s="612" t="s">
        <v>3356</v>
      </c>
      <c r="N10" s="612" t="s">
        <v>3375</v>
      </c>
      <c r="O10" s="613"/>
      <c r="P10" s="612"/>
    </row>
    <row r="11" spans="1:16" hidden="1">
      <c r="A11" s="612" t="s">
        <v>307</v>
      </c>
      <c r="B11" s="612">
        <v>1</v>
      </c>
      <c r="C11" s="612">
        <v>55</v>
      </c>
      <c r="D11" s="612" t="s">
        <v>53</v>
      </c>
      <c r="E11" s="612">
        <v>30524</v>
      </c>
      <c r="F11" s="612" t="s">
        <v>34</v>
      </c>
      <c r="G11" s="612" t="s">
        <v>241</v>
      </c>
      <c r="H11" s="612" t="s">
        <v>57</v>
      </c>
      <c r="I11" s="612" t="s">
        <v>231</v>
      </c>
      <c r="J11" s="612" t="s">
        <v>42</v>
      </c>
      <c r="K11" s="612" t="s">
        <v>243</v>
      </c>
      <c r="L11" s="612" t="s">
        <v>3382</v>
      </c>
      <c r="M11" s="612" t="s">
        <v>240</v>
      </c>
      <c r="N11" s="612" t="s">
        <v>390</v>
      </c>
      <c r="O11" s="613"/>
      <c r="P11" s="612"/>
    </row>
    <row r="12" spans="1:16" hidden="1">
      <c r="A12" s="612" t="s">
        <v>161</v>
      </c>
      <c r="B12" s="612">
        <v>1</v>
      </c>
      <c r="C12" s="612">
        <v>50</v>
      </c>
      <c r="D12" s="612" t="s">
        <v>53</v>
      </c>
      <c r="E12" s="612">
        <v>30581</v>
      </c>
      <c r="F12" s="612" t="s">
        <v>34</v>
      </c>
      <c r="G12" s="612" t="s">
        <v>61</v>
      </c>
      <c r="H12" s="612" t="s">
        <v>72</v>
      </c>
      <c r="I12" s="612" t="s">
        <v>73</v>
      </c>
      <c r="J12" s="612" t="s">
        <v>42</v>
      </c>
      <c r="K12" s="612" t="s">
        <v>33</v>
      </c>
      <c r="L12" s="614">
        <v>46087</v>
      </c>
      <c r="M12" s="612" t="s">
        <v>60</v>
      </c>
      <c r="N12" s="612" t="s">
        <v>3375</v>
      </c>
      <c r="O12" s="613"/>
      <c r="P12" s="612"/>
    </row>
    <row r="13" spans="1:16" hidden="1">
      <c r="A13" s="612" t="s">
        <v>523</v>
      </c>
      <c r="B13" s="612">
        <v>1</v>
      </c>
      <c r="C13" s="612">
        <v>45</v>
      </c>
      <c r="D13" s="612" t="s">
        <v>53</v>
      </c>
      <c r="E13" s="612">
        <v>30641</v>
      </c>
      <c r="F13" s="612" t="s">
        <v>34</v>
      </c>
      <c r="G13" s="612" t="s">
        <v>103</v>
      </c>
      <c r="H13" s="612" t="s">
        <v>48</v>
      </c>
      <c r="I13" s="612" t="s">
        <v>275</v>
      </c>
      <c r="J13" s="612" t="s">
        <v>42</v>
      </c>
      <c r="K13" s="612" t="s">
        <v>274</v>
      </c>
      <c r="L13" s="614">
        <v>46240</v>
      </c>
      <c r="M13" s="612" t="s">
        <v>167</v>
      </c>
      <c r="N13" s="612" t="s">
        <v>3379</v>
      </c>
      <c r="O13" s="613"/>
      <c r="P13" s="613"/>
    </row>
    <row r="14" spans="1:16" hidden="1">
      <c r="A14" s="612" t="s">
        <v>488</v>
      </c>
      <c r="B14" s="612">
        <v>1</v>
      </c>
      <c r="C14" s="612">
        <v>45</v>
      </c>
      <c r="D14" s="612" t="s">
        <v>44</v>
      </c>
      <c r="E14" s="612">
        <v>30651</v>
      </c>
      <c r="F14" s="612" t="s">
        <v>34</v>
      </c>
      <c r="G14" s="612" t="s">
        <v>103</v>
      </c>
      <c r="H14" s="612" t="s">
        <v>210</v>
      </c>
      <c r="I14" s="612" t="s">
        <v>1170</v>
      </c>
      <c r="J14" s="612" t="s">
        <v>42</v>
      </c>
      <c r="K14" s="612" t="s">
        <v>63</v>
      </c>
      <c r="L14" s="614">
        <v>46240</v>
      </c>
      <c r="M14" s="612" t="s">
        <v>167</v>
      </c>
      <c r="N14" s="612" t="s">
        <v>3383</v>
      </c>
      <c r="O14" s="613"/>
      <c r="P14" s="613"/>
    </row>
    <row r="15" spans="1:16" hidden="1">
      <c r="A15" s="612" t="s">
        <v>860</v>
      </c>
      <c r="B15" s="612">
        <v>1</v>
      </c>
      <c r="C15" s="612">
        <v>45</v>
      </c>
      <c r="D15" s="612" t="s">
        <v>968</v>
      </c>
      <c r="E15" s="612">
        <v>30638</v>
      </c>
      <c r="F15" s="612" t="s">
        <v>34</v>
      </c>
      <c r="G15" s="612" t="s">
        <v>824</v>
      </c>
      <c r="H15" s="612" t="s">
        <v>48</v>
      </c>
      <c r="I15" s="612" t="s">
        <v>441</v>
      </c>
      <c r="J15" s="612" t="s">
        <v>119</v>
      </c>
      <c r="K15" s="612" t="s">
        <v>119</v>
      </c>
      <c r="L15" s="614">
        <v>46240</v>
      </c>
      <c r="M15" s="612" t="s">
        <v>3324</v>
      </c>
      <c r="N15" s="612" t="s">
        <v>3375</v>
      </c>
      <c r="O15" s="613"/>
      <c r="P15" s="612"/>
    </row>
    <row r="16" spans="1:16" hidden="1">
      <c r="A16" s="612" t="s">
        <v>377</v>
      </c>
      <c r="B16" s="612">
        <v>1</v>
      </c>
      <c r="C16" s="612">
        <v>44</v>
      </c>
      <c r="D16" s="612" t="s">
        <v>53</v>
      </c>
      <c r="E16" s="612">
        <v>30670</v>
      </c>
      <c r="F16" s="612" t="s">
        <v>56</v>
      </c>
      <c r="G16" s="612" t="s">
        <v>45</v>
      </c>
      <c r="H16" s="612" t="s">
        <v>35</v>
      </c>
      <c r="I16" s="612" t="s">
        <v>176</v>
      </c>
      <c r="J16" s="612" t="s">
        <v>42</v>
      </c>
      <c r="K16" s="612" t="s">
        <v>378</v>
      </c>
      <c r="L16" s="614">
        <v>46271</v>
      </c>
      <c r="M16" s="612" t="s">
        <v>43</v>
      </c>
      <c r="N16" s="612" t="s">
        <v>3383</v>
      </c>
      <c r="O16" s="613"/>
      <c r="P16" s="613"/>
    </row>
    <row r="17" spans="1:16" hidden="1">
      <c r="A17" s="612" t="s">
        <v>961</v>
      </c>
      <c r="B17" s="612">
        <v>1</v>
      </c>
      <c r="C17" s="612">
        <v>44</v>
      </c>
      <c r="D17" s="612" t="s">
        <v>53</v>
      </c>
      <c r="E17" s="612">
        <v>30671</v>
      </c>
      <c r="F17" s="612" t="s">
        <v>34</v>
      </c>
      <c r="G17" s="612" t="s">
        <v>103</v>
      </c>
      <c r="H17" s="612" t="s">
        <v>219</v>
      </c>
      <c r="I17" s="612" t="s">
        <v>962</v>
      </c>
      <c r="J17" s="612" t="s">
        <v>42</v>
      </c>
      <c r="K17" s="612" t="s">
        <v>63</v>
      </c>
      <c r="L17" s="614">
        <v>46271</v>
      </c>
      <c r="M17" s="612" t="s">
        <v>167</v>
      </c>
      <c r="N17" s="612" t="s">
        <v>3379</v>
      </c>
      <c r="O17" s="613"/>
      <c r="P17" s="613"/>
    </row>
    <row r="18" spans="1:16" hidden="1">
      <c r="A18" s="612" t="s">
        <v>208</v>
      </c>
      <c r="B18" s="612">
        <v>1</v>
      </c>
      <c r="C18" s="612">
        <v>43</v>
      </c>
      <c r="D18" s="612" t="s">
        <v>44</v>
      </c>
      <c r="E18" s="612">
        <v>30708</v>
      </c>
      <c r="F18" s="612" t="s">
        <v>34</v>
      </c>
      <c r="G18" s="612" t="s">
        <v>189</v>
      </c>
      <c r="H18" s="612" t="s">
        <v>210</v>
      </c>
      <c r="I18" s="612" t="s">
        <v>94</v>
      </c>
      <c r="J18" s="612" t="s">
        <v>42</v>
      </c>
      <c r="K18" s="612" t="s">
        <v>209</v>
      </c>
      <c r="L18" s="614">
        <v>46301</v>
      </c>
      <c r="M18" s="612" t="s">
        <v>43</v>
      </c>
      <c r="N18" s="612" t="s">
        <v>3384</v>
      </c>
      <c r="O18" s="613"/>
      <c r="P18" s="613"/>
    </row>
    <row r="19" spans="1:16" hidden="1">
      <c r="A19" s="612" t="s">
        <v>164</v>
      </c>
      <c r="B19" s="612">
        <v>1</v>
      </c>
      <c r="C19" s="612">
        <v>42</v>
      </c>
      <c r="D19" s="612" t="s">
        <v>53</v>
      </c>
      <c r="E19" s="612">
        <v>31237</v>
      </c>
      <c r="F19" s="612" t="s">
        <v>34</v>
      </c>
      <c r="G19" s="612" t="s">
        <v>54</v>
      </c>
      <c r="H19" s="612" t="s">
        <v>57</v>
      </c>
      <c r="I19" s="612" t="s">
        <v>94</v>
      </c>
      <c r="J19" s="612" t="s">
        <v>42</v>
      </c>
      <c r="K19" s="612" t="s">
        <v>88</v>
      </c>
      <c r="L19" s="612" t="s">
        <v>3385</v>
      </c>
      <c r="M19" s="612" t="s">
        <v>3356</v>
      </c>
      <c r="N19" s="612" t="s">
        <v>3373</v>
      </c>
      <c r="O19" s="613"/>
      <c r="P19" s="613"/>
    </row>
    <row r="20" spans="1:16" hidden="1">
      <c r="A20" s="612" t="s">
        <v>183</v>
      </c>
      <c r="B20" s="612">
        <v>1</v>
      </c>
      <c r="C20" s="612">
        <v>42</v>
      </c>
      <c r="D20" s="612" t="s">
        <v>182</v>
      </c>
      <c r="E20" s="612">
        <v>30731</v>
      </c>
      <c r="F20" s="612" t="s">
        <v>56</v>
      </c>
      <c r="G20" s="612" t="s">
        <v>54</v>
      </c>
      <c r="H20" s="612" t="s">
        <v>185</v>
      </c>
      <c r="I20" s="612" t="s">
        <v>176</v>
      </c>
      <c r="J20" s="612" t="s">
        <v>42</v>
      </c>
      <c r="K20" s="612" t="s">
        <v>184</v>
      </c>
      <c r="L20" s="614">
        <v>46332</v>
      </c>
      <c r="M20" s="612" t="s">
        <v>3356</v>
      </c>
      <c r="N20" s="612" t="s">
        <v>3384</v>
      </c>
      <c r="O20" s="613"/>
      <c r="P20" s="613"/>
    </row>
    <row r="21" spans="1:16" hidden="1">
      <c r="A21" s="612" t="s">
        <v>273</v>
      </c>
      <c r="B21" s="612">
        <v>1</v>
      </c>
      <c r="C21" s="612">
        <v>42</v>
      </c>
      <c r="D21" s="612" t="s">
        <v>53</v>
      </c>
      <c r="E21" s="612">
        <v>30728</v>
      </c>
      <c r="F21" s="612" t="s">
        <v>34</v>
      </c>
      <c r="G21" s="612" t="s">
        <v>103</v>
      </c>
      <c r="H21" s="612" t="s">
        <v>48</v>
      </c>
      <c r="I21" s="612" t="s">
        <v>49</v>
      </c>
      <c r="J21" s="612" t="s">
        <v>42</v>
      </c>
      <c r="K21" s="612" t="s">
        <v>274</v>
      </c>
      <c r="L21" s="614">
        <v>46332</v>
      </c>
      <c r="M21" s="612" t="s">
        <v>167</v>
      </c>
      <c r="N21" s="612" t="s">
        <v>390</v>
      </c>
      <c r="O21" s="613"/>
      <c r="P21" s="612"/>
    </row>
    <row r="22" spans="1:16" hidden="1">
      <c r="A22" s="612" t="s">
        <v>2447</v>
      </c>
      <c r="B22" s="612">
        <v>1</v>
      </c>
      <c r="C22" s="612">
        <v>41</v>
      </c>
      <c r="D22" s="612" t="s">
        <v>268</v>
      </c>
      <c r="E22" s="612">
        <v>30762</v>
      </c>
      <c r="F22" s="612" t="s">
        <v>56</v>
      </c>
      <c r="G22" s="612" t="s">
        <v>614</v>
      </c>
      <c r="H22" s="612" t="s">
        <v>35</v>
      </c>
      <c r="I22" s="612" t="s">
        <v>176</v>
      </c>
      <c r="J22" s="612" t="s">
        <v>28</v>
      </c>
      <c r="K22" s="612" t="s">
        <v>33</v>
      </c>
      <c r="L22" s="614">
        <v>46362</v>
      </c>
      <c r="M22" s="612"/>
      <c r="N22" s="612" t="s">
        <v>3386</v>
      </c>
      <c r="O22" s="613"/>
      <c r="P22" s="613"/>
    </row>
    <row r="23" spans="1:16" hidden="1">
      <c r="A23" s="612" t="s">
        <v>921</v>
      </c>
      <c r="B23" s="612">
        <v>1</v>
      </c>
      <c r="C23" s="612">
        <v>41</v>
      </c>
      <c r="D23" s="612" t="s">
        <v>514</v>
      </c>
      <c r="E23" s="612">
        <v>30735</v>
      </c>
      <c r="F23" s="612" t="s">
        <v>34</v>
      </c>
      <c r="G23" s="612" t="s">
        <v>371</v>
      </c>
      <c r="H23" s="612" t="s">
        <v>35</v>
      </c>
      <c r="I23" s="612" t="s">
        <v>36</v>
      </c>
      <c r="J23" s="612" t="s">
        <v>171</v>
      </c>
      <c r="K23" s="612" t="s">
        <v>672</v>
      </c>
      <c r="L23" s="614">
        <v>46362</v>
      </c>
      <c r="M23" s="612" t="s">
        <v>167</v>
      </c>
      <c r="N23" s="612" t="s">
        <v>3375</v>
      </c>
      <c r="O23" s="613"/>
      <c r="P23" s="612"/>
    </row>
    <row r="24" spans="1:16" hidden="1">
      <c r="A24" s="612" t="s">
        <v>204</v>
      </c>
      <c r="B24" s="612">
        <v>1</v>
      </c>
      <c r="C24" s="612">
        <v>41</v>
      </c>
      <c r="D24" s="612" t="s">
        <v>202</v>
      </c>
      <c r="E24" s="612">
        <v>30752</v>
      </c>
      <c r="F24" s="612" t="s">
        <v>34</v>
      </c>
      <c r="G24" s="612" t="s">
        <v>31</v>
      </c>
      <c r="H24" s="612" t="s">
        <v>35</v>
      </c>
      <c r="I24" s="612" t="s">
        <v>36</v>
      </c>
      <c r="J24" s="612" t="s">
        <v>28</v>
      </c>
      <c r="K24" s="612" t="s">
        <v>205</v>
      </c>
      <c r="L24" s="614">
        <v>46362</v>
      </c>
      <c r="M24" s="612"/>
      <c r="N24" s="612" t="s">
        <v>3384</v>
      </c>
      <c r="O24" s="613"/>
      <c r="P24" s="613"/>
    </row>
    <row r="25" spans="1:16" hidden="1">
      <c r="A25" s="612" t="s">
        <v>996</v>
      </c>
      <c r="B25" s="612">
        <v>1</v>
      </c>
      <c r="C25" s="612">
        <v>38</v>
      </c>
      <c r="D25" s="612" t="s">
        <v>172</v>
      </c>
      <c r="E25" s="612">
        <v>30780</v>
      </c>
      <c r="F25" s="612" t="s">
        <v>34</v>
      </c>
      <c r="G25" s="612" t="s">
        <v>330</v>
      </c>
      <c r="H25" s="612" t="s">
        <v>35</v>
      </c>
      <c r="I25" s="612" t="s">
        <v>36</v>
      </c>
      <c r="J25" s="612" t="s">
        <v>171</v>
      </c>
      <c r="K25" s="612" t="s">
        <v>63</v>
      </c>
      <c r="L25" s="612" t="s">
        <v>3387</v>
      </c>
      <c r="M25" s="612" t="s">
        <v>60</v>
      </c>
      <c r="N25" s="612" t="s">
        <v>390</v>
      </c>
      <c r="O25" s="613"/>
      <c r="P25" s="612"/>
    </row>
    <row r="26" spans="1:16" hidden="1">
      <c r="A26" s="612" t="s">
        <v>658</v>
      </c>
      <c r="B26" s="612">
        <v>1</v>
      </c>
      <c r="C26" s="612">
        <v>38</v>
      </c>
      <c r="D26" s="612" t="s">
        <v>53</v>
      </c>
      <c r="E26" s="612">
        <v>30755</v>
      </c>
      <c r="F26" s="612" t="s">
        <v>34</v>
      </c>
      <c r="G26" s="612" t="s">
        <v>158</v>
      </c>
      <c r="H26" s="612" t="s">
        <v>57</v>
      </c>
      <c r="I26" s="612" t="s">
        <v>98</v>
      </c>
      <c r="J26" s="612" t="s">
        <v>42</v>
      </c>
      <c r="K26" s="612" t="s">
        <v>33</v>
      </c>
      <c r="L26" s="612" t="s">
        <v>3388</v>
      </c>
      <c r="M26" s="612" t="s">
        <v>69</v>
      </c>
      <c r="N26" s="612" t="s">
        <v>3375</v>
      </c>
      <c r="O26" s="613"/>
      <c r="P26" s="612"/>
    </row>
    <row r="27" spans="1:16" hidden="1">
      <c r="A27" s="612" t="s">
        <v>183</v>
      </c>
      <c r="B27" s="612">
        <v>1</v>
      </c>
      <c r="C27" s="612">
        <v>38</v>
      </c>
      <c r="D27" s="612" t="s">
        <v>182</v>
      </c>
      <c r="E27" s="612">
        <v>30734</v>
      </c>
      <c r="F27" s="612" t="s">
        <v>56</v>
      </c>
      <c r="G27" s="612" t="s">
        <v>54</v>
      </c>
      <c r="H27" s="612" t="s">
        <v>185</v>
      </c>
      <c r="I27" s="612" t="s">
        <v>176</v>
      </c>
      <c r="J27" s="612" t="s">
        <v>42</v>
      </c>
      <c r="K27" s="612" t="s">
        <v>184</v>
      </c>
      <c r="L27" s="612" t="s">
        <v>3388</v>
      </c>
      <c r="M27" s="612" t="s">
        <v>3356</v>
      </c>
      <c r="N27" s="612" t="s">
        <v>3375</v>
      </c>
      <c r="O27" s="613"/>
      <c r="P27" s="612"/>
    </row>
    <row r="28" spans="1:16" hidden="1">
      <c r="A28" s="612" t="s">
        <v>351</v>
      </c>
      <c r="B28" s="612">
        <v>1</v>
      </c>
      <c r="C28" s="612">
        <v>38</v>
      </c>
      <c r="D28" s="612" t="s">
        <v>44</v>
      </c>
      <c r="E28" s="612">
        <v>30771</v>
      </c>
      <c r="F28" s="612" t="s">
        <v>34</v>
      </c>
      <c r="G28" s="612" t="s">
        <v>241</v>
      </c>
      <c r="H28" s="612" t="s">
        <v>57</v>
      </c>
      <c r="I28" s="612" t="s">
        <v>470</v>
      </c>
      <c r="J28" s="612" t="s">
        <v>42</v>
      </c>
      <c r="K28" s="612" t="s">
        <v>63</v>
      </c>
      <c r="L28" s="612" t="s">
        <v>3388</v>
      </c>
      <c r="M28" s="612" t="s">
        <v>240</v>
      </c>
      <c r="N28" s="612" t="s">
        <v>3379</v>
      </c>
      <c r="O28" s="613"/>
      <c r="P28" s="613"/>
    </row>
    <row r="29" spans="1:16" hidden="1">
      <c r="A29" s="612" t="s">
        <v>494</v>
      </c>
      <c r="B29" s="612">
        <v>1</v>
      </c>
      <c r="C29" s="612">
        <v>38</v>
      </c>
      <c r="D29" s="612" t="s">
        <v>53</v>
      </c>
      <c r="E29" s="612">
        <v>30743</v>
      </c>
      <c r="F29" s="612" t="s">
        <v>34</v>
      </c>
      <c r="G29" s="612" t="s">
        <v>241</v>
      </c>
      <c r="H29" s="612" t="s">
        <v>35</v>
      </c>
      <c r="I29" s="612" t="s">
        <v>362</v>
      </c>
      <c r="J29" s="612" t="s">
        <v>42</v>
      </c>
      <c r="K29" s="612" t="s">
        <v>175</v>
      </c>
      <c r="L29" s="612" t="s">
        <v>3388</v>
      </c>
      <c r="M29" s="612" t="s">
        <v>240</v>
      </c>
      <c r="N29" s="612" t="s">
        <v>390</v>
      </c>
      <c r="O29" s="613"/>
      <c r="P29" s="612"/>
    </row>
    <row r="30" spans="1:16" hidden="1">
      <c r="A30" s="612" t="s">
        <v>32</v>
      </c>
      <c r="B30" s="612">
        <v>1</v>
      </c>
      <c r="C30" s="612">
        <v>37</v>
      </c>
      <c r="D30" s="612" t="s">
        <v>30</v>
      </c>
      <c r="E30" s="612">
        <v>30792</v>
      </c>
      <c r="F30" s="612" t="s">
        <v>34</v>
      </c>
      <c r="G30" s="612" t="s">
        <v>31</v>
      </c>
      <c r="H30" s="612" t="s">
        <v>35</v>
      </c>
      <c r="I30" s="612" t="s">
        <v>36</v>
      </c>
      <c r="J30" s="612" t="s">
        <v>28</v>
      </c>
      <c r="K30" s="612" t="s">
        <v>33</v>
      </c>
      <c r="L30" s="612" t="s">
        <v>3387</v>
      </c>
      <c r="M30" s="612"/>
      <c r="N30" s="612" t="s">
        <v>390</v>
      </c>
      <c r="O30" s="613"/>
      <c r="P30" s="612"/>
    </row>
    <row r="31" spans="1:16" hidden="1">
      <c r="A31" s="612" t="s">
        <v>807</v>
      </c>
      <c r="B31" s="612">
        <v>1</v>
      </c>
      <c r="C31" s="612">
        <v>35</v>
      </c>
      <c r="D31" s="612" t="s">
        <v>44</v>
      </c>
      <c r="E31" s="612">
        <v>30826</v>
      </c>
      <c r="F31" s="612" t="s">
        <v>34</v>
      </c>
      <c r="G31" s="612" t="s">
        <v>228</v>
      </c>
      <c r="H31" s="612" t="s">
        <v>57</v>
      </c>
      <c r="I31" s="612" t="s">
        <v>94</v>
      </c>
      <c r="J31" s="612" t="s">
        <v>42</v>
      </c>
      <c r="K31" s="612" t="s">
        <v>88</v>
      </c>
      <c r="L31" s="612" t="s">
        <v>3389</v>
      </c>
      <c r="M31" s="612" t="s">
        <v>3356</v>
      </c>
      <c r="N31" s="612" t="s">
        <v>3383</v>
      </c>
      <c r="O31" s="613"/>
      <c r="P31" s="613"/>
    </row>
    <row r="32" spans="1:16" hidden="1">
      <c r="A32" s="612" t="s">
        <v>600</v>
      </c>
      <c r="B32" s="612">
        <v>1</v>
      </c>
      <c r="C32" s="612">
        <v>35</v>
      </c>
      <c r="D32" s="612" t="s">
        <v>53</v>
      </c>
      <c r="E32" s="612">
        <v>30811</v>
      </c>
      <c r="F32" s="612" t="s">
        <v>34</v>
      </c>
      <c r="G32" s="612" t="s">
        <v>61</v>
      </c>
      <c r="H32" s="612" t="s">
        <v>72</v>
      </c>
      <c r="I32" s="612" t="s">
        <v>73</v>
      </c>
      <c r="J32" s="612" t="s">
        <v>42</v>
      </c>
      <c r="K32" s="612" t="s">
        <v>63</v>
      </c>
      <c r="L32" s="612" t="s">
        <v>3389</v>
      </c>
      <c r="M32" s="612" t="s">
        <v>60</v>
      </c>
      <c r="N32" s="612" t="s">
        <v>3383</v>
      </c>
      <c r="O32" s="613"/>
      <c r="P32" s="613"/>
    </row>
    <row r="33" spans="1:16" hidden="1">
      <c r="A33" s="612" t="s">
        <v>600</v>
      </c>
      <c r="B33" s="612">
        <v>1</v>
      </c>
      <c r="C33" s="612">
        <v>35</v>
      </c>
      <c r="D33" s="612" t="s">
        <v>53</v>
      </c>
      <c r="E33" s="612">
        <v>30812</v>
      </c>
      <c r="F33" s="612" t="s">
        <v>34</v>
      </c>
      <c r="G33" s="612" t="s">
        <v>61</v>
      </c>
      <c r="H33" s="612" t="s">
        <v>219</v>
      </c>
      <c r="I33" s="612" t="s">
        <v>73</v>
      </c>
      <c r="J33" s="612" t="s">
        <v>42</v>
      </c>
      <c r="K33" s="612" t="s">
        <v>63</v>
      </c>
      <c r="L33" s="612" t="s">
        <v>3389</v>
      </c>
      <c r="M33" s="612" t="s">
        <v>60</v>
      </c>
      <c r="N33" s="612" t="s">
        <v>3375</v>
      </c>
      <c r="O33" s="613"/>
      <c r="P33" s="612"/>
    </row>
    <row r="34" spans="1:16" hidden="1">
      <c r="A34" s="612" t="s">
        <v>255</v>
      </c>
      <c r="B34" s="612">
        <v>1</v>
      </c>
      <c r="C34" s="612">
        <v>35</v>
      </c>
      <c r="D34" s="612" t="s">
        <v>53</v>
      </c>
      <c r="E34" s="612">
        <v>30809</v>
      </c>
      <c r="F34" s="612" t="s">
        <v>34</v>
      </c>
      <c r="G34" s="612" t="s">
        <v>61</v>
      </c>
      <c r="H34" s="612" t="s">
        <v>219</v>
      </c>
      <c r="I34" s="612" t="s">
        <v>73</v>
      </c>
      <c r="J34" s="612" t="s">
        <v>42</v>
      </c>
      <c r="K34" s="612" t="s">
        <v>63</v>
      </c>
      <c r="L34" s="612" t="s">
        <v>3389</v>
      </c>
      <c r="M34" s="612" t="s">
        <v>60</v>
      </c>
      <c r="N34" s="612" t="s">
        <v>3375</v>
      </c>
      <c r="O34" s="613"/>
      <c r="P34" s="612"/>
    </row>
    <row r="35" spans="1:16" hidden="1">
      <c r="A35" s="612" t="s">
        <v>1232</v>
      </c>
      <c r="B35" s="612">
        <v>1</v>
      </c>
      <c r="C35" s="612">
        <v>35</v>
      </c>
      <c r="D35" s="612" t="s">
        <v>146</v>
      </c>
      <c r="E35" s="612">
        <v>30818</v>
      </c>
      <c r="F35" s="612" t="s">
        <v>34</v>
      </c>
      <c r="G35" s="612" t="s">
        <v>2951</v>
      </c>
      <c r="H35" s="612" t="s">
        <v>35</v>
      </c>
      <c r="I35" s="612" t="s">
        <v>362</v>
      </c>
      <c r="J35" s="612" t="s">
        <v>28</v>
      </c>
      <c r="K35" s="612" t="s">
        <v>88</v>
      </c>
      <c r="L35" s="612" t="s">
        <v>3389</v>
      </c>
      <c r="M35" s="612"/>
      <c r="N35" s="612" t="s">
        <v>3375</v>
      </c>
      <c r="O35" s="613"/>
      <c r="P35" s="612"/>
    </row>
    <row r="36" spans="1:16" hidden="1">
      <c r="A36" s="612" t="s">
        <v>372</v>
      </c>
      <c r="B36" s="612">
        <v>1</v>
      </c>
      <c r="C36" s="612">
        <v>35</v>
      </c>
      <c r="D36" s="612" t="s">
        <v>172</v>
      </c>
      <c r="E36" s="612">
        <v>30824</v>
      </c>
      <c r="F36" s="612" t="s">
        <v>34</v>
      </c>
      <c r="G36" s="612" t="s">
        <v>371</v>
      </c>
      <c r="H36" s="612" t="s">
        <v>35</v>
      </c>
      <c r="I36" s="612" t="s">
        <v>36</v>
      </c>
      <c r="J36" s="612" t="s">
        <v>171</v>
      </c>
      <c r="K36" s="612" t="s">
        <v>33</v>
      </c>
      <c r="L36" s="612" t="s">
        <v>3389</v>
      </c>
      <c r="M36" s="612" t="s">
        <v>167</v>
      </c>
      <c r="N36" s="612" t="s">
        <v>3384</v>
      </c>
      <c r="O36" s="613"/>
      <c r="P36" s="613"/>
    </row>
    <row r="37" spans="1:16" hidden="1">
      <c r="A37" s="612" t="s">
        <v>273</v>
      </c>
      <c r="B37" s="612">
        <v>1</v>
      </c>
      <c r="C37" s="612">
        <v>34</v>
      </c>
      <c r="D37" s="612" t="s">
        <v>53</v>
      </c>
      <c r="E37" s="612">
        <v>30833</v>
      </c>
      <c r="F37" s="612" t="s">
        <v>34</v>
      </c>
      <c r="G37" s="612" t="s">
        <v>103</v>
      </c>
      <c r="H37" s="612" t="s">
        <v>48</v>
      </c>
      <c r="I37" s="612" t="s">
        <v>79</v>
      </c>
      <c r="J37" s="612" t="s">
        <v>42</v>
      </c>
      <c r="K37" s="612" t="s">
        <v>274</v>
      </c>
      <c r="L37" s="612" t="s">
        <v>3390</v>
      </c>
      <c r="M37" s="612" t="s">
        <v>167</v>
      </c>
      <c r="N37" s="612" t="s">
        <v>3383</v>
      </c>
      <c r="O37" s="613"/>
      <c r="P37" s="613"/>
    </row>
    <row r="38" spans="1:16" hidden="1">
      <c r="A38" s="612" t="s">
        <v>407</v>
      </c>
      <c r="B38" s="612">
        <v>1</v>
      </c>
      <c r="C38" s="612">
        <v>31</v>
      </c>
      <c r="D38" s="612" t="s">
        <v>53</v>
      </c>
      <c r="E38" s="612">
        <v>30862</v>
      </c>
      <c r="F38" s="612" t="s">
        <v>34</v>
      </c>
      <c r="G38" s="612" t="s">
        <v>241</v>
      </c>
      <c r="H38" s="612" t="s">
        <v>48</v>
      </c>
      <c r="I38" s="612" t="s">
        <v>49</v>
      </c>
      <c r="J38" s="612" t="s">
        <v>42</v>
      </c>
      <c r="K38" s="612" t="s">
        <v>243</v>
      </c>
      <c r="L38" s="612" t="s">
        <v>3391</v>
      </c>
      <c r="M38" s="612" t="s">
        <v>240</v>
      </c>
      <c r="N38" s="612" t="s">
        <v>3379</v>
      </c>
      <c r="O38" s="613"/>
      <c r="P38" s="613"/>
    </row>
    <row r="39" spans="1:16" hidden="1">
      <c r="A39" s="612" t="s">
        <v>229</v>
      </c>
      <c r="B39" s="612">
        <v>1</v>
      </c>
      <c r="C39" s="612">
        <v>31</v>
      </c>
      <c r="D39" s="612" t="s">
        <v>227</v>
      </c>
      <c r="E39" s="612">
        <v>30867</v>
      </c>
      <c r="F39" s="612" t="s">
        <v>34</v>
      </c>
      <c r="G39" s="612" t="s">
        <v>228</v>
      </c>
      <c r="H39" s="612" t="s">
        <v>48</v>
      </c>
      <c r="I39" s="612" t="s">
        <v>120</v>
      </c>
      <c r="J39" s="612" t="s">
        <v>42</v>
      </c>
      <c r="K39" s="612" t="s">
        <v>88</v>
      </c>
      <c r="L39" s="612" t="s">
        <v>3391</v>
      </c>
      <c r="M39" s="612" t="s">
        <v>3356</v>
      </c>
      <c r="N39" s="612" t="s">
        <v>3392</v>
      </c>
      <c r="O39" s="613"/>
      <c r="P39" s="613"/>
    </row>
    <row r="40" spans="1:16" hidden="1">
      <c r="A40" s="612" t="s">
        <v>1715</v>
      </c>
      <c r="B40" s="612">
        <v>1</v>
      </c>
      <c r="C40" s="612">
        <v>31</v>
      </c>
      <c r="D40" s="612" t="s">
        <v>53</v>
      </c>
      <c r="E40" s="612">
        <v>30860</v>
      </c>
      <c r="F40" s="612" t="s">
        <v>34</v>
      </c>
      <c r="G40" s="612" t="s">
        <v>241</v>
      </c>
      <c r="H40" s="612" t="s">
        <v>48</v>
      </c>
      <c r="I40" s="612" t="s">
        <v>49</v>
      </c>
      <c r="J40" s="612" t="s">
        <v>42</v>
      </c>
      <c r="K40" s="612" t="s">
        <v>243</v>
      </c>
      <c r="L40" s="612" t="s">
        <v>3391</v>
      </c>
      <c r="M40" s="612" t="s">
        <v>240</v>
      </c>
      <c r="N40" s="612" t="s">
        <v>3379</v>
      </c>
      <c r="O40" s="613"/>
      <c r="P40" s="613"/>
    </row>
    <row r="41" spans="1:16" hidden="1">
      <c r="A41" s="612" t="s">
        <v>1715</v>
      </c>
      <c r="B41" s="612">
        <v>1</v>
      </c>
      <c r="C41" s="612">
        <v>31</v>
      </c>
      <c r="D41" s="612" t="s">
        <v>53</v>
      </c>
      <c r="E41" s="612">
        <v>30861</v>
      </c>
      <c r="F41" s="612" t="s">
        <v>34</v>
      </c>
      <c r="G41" s="612" t="s">
        <v>241</v>
      </c>
      <c r="H41" s="612" t="s">
        <v>48</v>
      </c>
      <c r="I41" s="612" t="s">
        <v>49</v>
      </c>
      <c r="J41" s="612" t="s">
        <v>42</v>
      </c>
      <c r="K41" s="612" t="s">
        <v>243</v>
      </c>
      <c r="L41" s="612" t="s">
        <v>3391</v>
      </c>
      <c r="M41" s="612" t="s">
        <v>240</v>
      </c>
      <c r="N41" s="612" t="s">
        <v>3379</v>
      </c>
      <c r="O41" s="613"/>
      <c r="P41" s="613"/>
    </row>
    <row r="42" spans="1:16" hidden="1">
      <c r="A42" s="612" t="s">
        <v>869</v>
      </c>
      <c r="B42" s="612">
        <v>1</v>
      </c>
      <c r="C42" s="612">
        <v>30</v>
      </c>
      <c r="D42" s="612" t="s">
        <v>2726</v>
      </c>
      <c r="E42" s="612">
        <v>30879</v>
      </c>
      <c r="F42" s="612" t="s">
        <v>34</v>
      </c>
      <c r="G42" s="612" t="s">
        <v>189</v>
      </c>
      <c r="H42" s="612" t="s">
        <v>48</v>
      </c>
      <c r="I42" s="612" t="s">
        <v>541</v>
      </c>
      <c r="J42" s="612" t="s">
        <v>42</v>
      </c>
      <c r="K42" s="612" t="s">
        <v>337</v>
      </c>
      <c r="L42" s="612" t="s">
        <v>3393</v>
      </c>
      <c r="M42" s="612" t="s">
        <v>43</v>
      </c>
      <c r="N42" s="612" t="s">
        <v>3394</v>
      </c>
      <c r="O42" s="613"/>
      <c r="P42" s="613"/>
    </row>
    <row r="43" spans="1:16" hidden="1">
      <c r="A43" s="612" t="s">
        <v>343</v>
      </c>
      <c r="B43" s="612">
        <v>1</v>
      </c>
      <c r="C43" s="612">
        <v>30</v>
      </c>
      <c r="D43" s="612" t="s">
        <v>53</v>
      </c>
      <c r="E43" s="612">
        <v>30871</v>
      </c>
      <c r="F43" s="612" t="s">
        <v>34</v>
      </c>
      <c r="G43" s="612" t="s">
        <v>70</v>
      </c>
      <c r="H43" s="612" t="s">
        <v>219</v>
      </c>
      <c r="I43" s="612" t="s">
        <v>238</v>
      </c>
      <c r="J43" s="612" t="s">
        <v>42</v>
      </c>
      <c r="K43" s="612" t="s">
        <v>63</v>
      </c>
      <c r="L43" s="612" t="s">
        <v>3393</v>
      </c>
      <c r="M43" s="612" t="s">
        <v>69</v>
      </c>
      <c r="N43" s="612" t="s">
        <v>3373</v>
      </c>
      <c r="O43" s="613"/>
      <c r="P43" s="613"/>
    </row>
    <row r="44" spans="1:16" hidden="1">
      <c r="A44" s="612" t="s">
        <v>511</v>
      </c>
      <c r="B44" s="612">
        <v>1</v>
      </c>
      <c r="C44" s="612">
        <v>30</v>
      </c>
      <c r="D44" s="612" t="s">
        <v>514</v>
      </c>
      <c r="E44" s="612">
        <v>30869</v>
      </c>
      <c r="F44" s="612" t="s">
        <v>56</v>
      </c>
      <c r="G44" s="612" t="s">
        <v>335</v>
      </c>
      <c r="H44" s="612" t="s">
        <v>35</v>
      </c>
      <c r="I44" s="612" t="s">
        <v>176</v>
      </c>
      <c r="J44" s="612" t="s">
        <v>171</v>
      </c>
      <c r="K44" s="612" t="s">
        <v>512</v>
      </c>
      <c r="L44" s="612" t="s">
        <v>3393</v>
      </c>
      <c r="M44" s="612" t="s">
        <v>43</v>
      </c>
      <c r="N44" s="612" t="s">
        <v>3375</v>
      </c>
      <c r="O44" s="613"/>
      <c r="P44" s="612"/>
    </row>
    <row r="45" spans="1:16" hidden="1">
      <c r="A45" s="612" t="s">
        <v>351</v>
      </c>
      <c r="B45" s="612">
        <v>1</v>
      </c>
      <c r="C45" s="612">
        <v>30</v>
      </c>
      <c r="D45" s="612" t="s">
        <v>44</v>
      </c>
      <c r="E45" s="612">
        <v>30877</v>
      </c>
      <c r="F45" s="612" t="s">
        <v>34</v>
      </c>
      <c r="G45" s="612" t="s">
        <v>241</v>
      </c>
      <c r="H45" s="612" t="s">
        <v>57</v>
      </c>
      <c r="I45" s="612" t="s">
        <v>470</v>
      </c>
      <c r="J45" s="612" t="s">
        <v>42</v>
      </c>
      <c r="K45" s="612" t="s">
        <v>63</v>
      </c>
      <c r="L45" s="612" t="s">
        <v>3393</v>
      </c>
      <c r="M45" s="612" t="s">
        <v>240</v>
      </c>
      <c r="N45" s="612" t="s">
        <v>3379</v>
      </c>
      <c r="O45" s="613"/>
      <c r="P45" s="613"/>
    </row>
    <row r="46" spans="1:16" hidden="1">
      <c r="A46" s="612" t="s">
        <v>237</v>
      </c>
      <c r="B46" s="612">
        <v>1</v>
      </c>
      <c r="C46" s="612">
        <v>30</v>
      </c>
      <c r="D46" s="612" t="s">
        <v>53</v>
      </c>
      <c r="E46" s="612">
        <v>30870</v>
      </c>
      <c r="F46" s="612" t="s">
        <v>34</v>
      </c>
      <c r="G46" s="612" t="s">
        <v>70</v>
      </c>
      <c r="H46" s="612" t="s">
        <v>72</v>
      </c>
      <c r="I46" s="612" t="s">
        <v>238</v>
      </c>
      <c r="J46" s="612" t="s">
        <v>42</v>
      </c>
      <c r="K46" s="612" t="s">
        <v>63</v>
      </c>
      <c r="L46" s="612" t="s">
        <v>3393</v>
      </c>
      <c r="M46" s="612" t="s">
        <v>69</v>
      </c>
      <c r="N46" s="612" t="s">
        <v>3375</v>
      </c>
      <c r="O46" s="613"/>
      <c r="P46" s="612"/>
    </row>
    <row r="47" spans="1:16" hidden="1">
      <c r="A47" s="612" t="s">
        <v>488</v>
      </c>
      <c r="B47" s="612">
        <v>1</v>
      </c>
      <c r="C47" s="612">
        <v>30</v>
      </c>
      <c r="D47" s="612" t="s">
        <v>53</v>
      </c>
      <c r="E47" s="612">
        <v>30880</v>
      </c>
      <c r="F47" s="612" t="s">
        <v>34</v>
      </c>
      <c r="G47" s="612" t="s">
        <v>103</v>
      </c>
      <c r="H47" s="612" t="s">
        <v>210</v>
      </c>
      <c r="I47" s="612" t="s">
        <v>1170</v>
      </c>
      <c r="J47" s="612" t="s">
        <v>42</v>
      </c>
      <c r="K47" s="612" t="s">
        <v>63</v>
      </c>
      <c r="L47" s="612" t="s">
        <v>3393</v>
      </c>
      <c r="M47" s="612" t="s">
        <v>167</v>
      </c>
      <c r="N47" s="612" t="s">
        <v>3379</v>
      </c>
      <c r="O47" s="613"/>
      <c r="P47" s="613"/>
    </row>
    <row r="48" spans="1:16" hidden="1">
      <c r="A48" s="612" t="s">
        <v>297</v>
      </c>
      <c r="B48" s="612">
        <v>1</v>
      </c>
      <c r="C48" s="612">
        <v>29</v>
      </c>
      <c r="D48" s="612" t="s">
        <v>53</v>
      </c>
      <c r="E48" s="612">
        <v>30892</v>
      </c>
      <c r="F48" s="612" t="s">
        <v>34</v>
      </c>
      <c r="G48" s="612" t="s">
        <v>103</v>
      </c>
      <c r="H48" s="612" t="s">
        <v>48</v>
      </c>
      <c r="I48" s="612" t="s">
        <v>120</v>
      </c>
      <c r="J48" s="612" t="s">
        <v>42</v>
      </c>
      <c r="K48" s="612" t="s">
        <v>33</v>
      </c>
      <c r="L48" s="612" t="s">
        <v>3395</v>
      </c>
      <c r="M48" s="612" t="s">
        <v>167</v>
      </c>
      <c r="N48" s="612" t="s">
        <v>3386</v>
      </c>
      <c r="O48" s="613"/>
      <c r="P48" s="613"/>
    </row>
    <row r="49" spans="1:16" hidden="1">
      <c r="A49" s="612" t="s">
        <v>424</v>
      </c>
      <c r="B49" s="612">
        <v>1</v>
      </c>
      <c r="C49" s="612">
        <v>29</v>
      </c>
      <c r="D49" s="612" t="s">
        <v>616</v>
      </c>
      <c r="E49" s="612">
        <v>30885</v>
      </c>
      <c r="F49" s="612" t="s">
        <v>56</v>
      </c>
      <c r="G49" s="612" t="s">
        <v>676</v>
      </c>
      <c r="H49" s="612" t="s">
        <v>35</v>
      </c>
      <c r="I49" s="612" t="s">
        <v>176</v>
      </c>
      <c r="J49" s="612" t="s">
        <v>28</v>
      </c>
      <c r="K49" s="612" t="s">
        <v>243</v>
      </c>
      <c r="L49" s="612" t="s">
        <v>3395</v>
      </c>
      <c r="M49" s="612" t="s">
        <v>240</v>
      </c>
      <c r="N49" s="612" t="s">
        <v>3375</v>
      </c>
      <c r="O49" s="613"/>
      <c r="P49" s="612"/>
    </row>
    <row r="50" spans="1:16" hidden="1">
      <c r="A50" s="612" t="s">
        <v>1017</v>
      </c>
      <c r="B50" s="612">
        <v>1</v>
      </c>
      <c r="C50" s="612">
        <v>28</v>
      </c>
      <c r="D50" s="612" t="s">
        <v>53</v>
      </c>
      <c r="E50" s="612">
        <v>30911</v>
      </c>
      <c r="F50" s="612" t="s">
        <v>34</v>
      </c>
      <c r="G50" s="612" t="s">
        <v>228</v>
      </c>
      <c r="H50" s="612" t="s">
        <v>57</v>
      </c>
      <c r="I50" s="612" t="s">
        <v>1437</v>
      </c>
      <c r="J50" s="612" t="s">
        <v>42</v>
      </c>
      <c r="K50" s="612" t="s">
        <v>435</v>
      </c>
      <c r="L50" s="612" t="s">
        <v>3396</v>
      </c>
      <c r="M50" s="612" t="s">
        <v>3356</v>
      </c>
      <c r="N50" s="612" t="s">
        <v>3375</v>
      </c>
      <c r="O50" s="613"/>
      <c r="P50" s="612"/>
    </row>
    <row r="51" spans="1:16" hidden="1">
      <c r="A51" s="612" t="s">
        <v>605</v>
      </c>
      <c r="B51" s="612">
        <v>1</v>
      </c>
      <c r="C51" s="612">
        <v>28</v>
      </c>
      <c r="D51" s="612" t="s">
        <v>53</v>
      </c>
      <c r="E51" s="612">
        <v>30899</v>
      </c>
      <c r="F51" s="612" t="s">
        <v>34</v>
      </c>
      <c r="G51" s="612" t="s">
        <v>70</v>
      </c>
      <c r="H51" s="612" t="s">
        <v>219</v>
      </c>
      <c r="I51" s="612" t="s">
        <v>2781</v>
      </c>
      <c r="J51" s="612" t="s">
        <v>42</v>
      </c>
      <c r="K51" s="612" t="s">
        <v>63</v>
      </c>
      <c r="L51" s="612" t="s">
        <v>3396</v>
      </c>
      <c r="M51" s="612" t="s">
        <v>69</v>
      </c>
      <c r="N51" s="612" t="s">
        <v>3376</v>
      </c>
      <c r="O51" s="613"/>
      <c r="P51" s="612"/>
    </row>
    <row r="52" spans="1:16" hidden="1">
      <c r="A52" s="612" t="s">
        <v>255</v>
      </c>
      <c r="B52" s="612">
        <v>1</v>
      </c>
      <c r="C52" s="612">
        <v>28</v>
      </c>
      <c r="D52" s="612" t="s">
        <v>53</v>
      </c>
      <c r="E52" s="612">
        <v>30915</v>
      </c>
      <c r="F52" s="612" t="s">
        <v>34</v>
      </c>
      <c r="G52" s="612" t="s">
        <v>61</v>
      </c>
      <c r="H52" s="612" t="s">
        <v>219</v>
      </c>
      <c r="I52" s="612" t="s">
        <v>73</v>
      </c>
      <c r="J52" s="612" t="s">
        <v>42</v>
      </c>
      <c r="K52" s="612" t="s">
        <v>63</v>
      </c>
      <c r="L52" s="612" t="s">
        <v>3396</v>
      </c>
      <c r="M52" s="612" t="s">
        <v>60</v>
      </c>
      <c r="N52" s="612" t="s">
        <v>3384</v>
      </c>
      <c r="O52" s="613"/>
      <c r="P52" s="613"/>
    </row>
    <row r="53" spans="1:16" hidden="1">
      <c r="A53" s="612" t="s">
        <v>62</v>
      </c>
      <c r="B53" s="612">
        <v>1</v>
      </c>
      <c r="C53" s="612">
        <v>28</v>
      </c>
      <c r="D53" s="612" t="s">
        <v>53</v>
      </c>
      <c r="E53" s="612">
        <v>30923</v>
      </c>
      <c r="F53" s="612" t="s">
        <v>34</v>
      </c>
      <c r="G53" s="612" t="s">
        <v>61</v>
      </c>
      <c r="H53" s="612" t="s">
        <v>57</v>
      </c>
      <c r="I53" s="612" t="s">
        <v>64</v>
      </c>
      <c r="J53" s="612" t="s">
        <v>42</v>
      </c>
      <c r="K53" s="612" t="s">
        <v>63</v>
      </c>
      <c r="L53" s="612" t="s">
        <v>3396</v>
      </c>
      <c r="M53" s="612" t="s">
        <v>60</v>
      </c>
      <c r="N53" s="612" t="s">
        <v>3383</v>
      </c>
      <c r="O53" s="613"/>
      <c r="P53" s="613"/>
    </row>
    <row r="54" spans="1:16" hidden="1">
      <c r="A54" s="612" t="s">
        <v>32</v>
      </c>
      <c r="B54" s="612">
        <v>1</v>
      </c>
      <c r="C54" s="612">
        <v>27</v>
      </c>
      <c r="D54" s="612" t="s">
        <v>30</v>
      </c>
      <c r="E54" s="612">
        <v>30931</v>
      </c>
      <c r="F54" s="612" t="s">
        <v>34</v>
      </c>
      <c r="G54" s="612" t="s">
        <v>31</v>
      </c>
      <c r="H54" s="612" t="s">
        <v>35</v>
      </c>
      <c r="I54" s="612" t="s">
        <v>36</v>
      </c>
      <c r="J54" s="612" t="s">
        <v>28</v>
      </c>
      <c r="K54" s="612" t="s">
        <v>33</v>
      </c>
      <c r="L54" s="612" t="s">
        <v>3397</v>
      </c>
      <c r="M54" s="612"/>
      <c r="N54" s="612" t="s">
        <v>3384</v>
      </c>
      <c r="O54" s="613"/>
      <c r="P54" s="613"/>
    </row>
    <row r="55" spans="1:16" hidden="1">
      <c r="A55" s="612" t="s">
        <v>32</v>
      </c>
      <c r="B55" s="612">
        <v>1</v>
      </c>
      <c r="C55" s="612">
        <v>27</v>
      </c>
      <c r="D55" s="612" t="s">
        <v>30</v>
      </c>
      <c r="E55" s="612">
        <v>30932</v>
      </c>
      <c r="F55" s="612" t="s">
        <v>34</v>
      </c>
      <c r="G55" s="612" t="s">
        <v>31</v>
      </c>
      <c r="H55" s="612" t="s">
        <v>35</v>
      </c>
      <c r="I55" s="612" t="s">
        <v>36</v>
      </c>
      <c r="J55" s="612" t="s">
        <v>28</v>
      </c>
      <c r="K55" s="612" t="s">
        <v>33</v>
      </c>
      <c r="L55" s="612" t="s">
        <v>3397</v>
      </c>
      <c r="M55" s="612"/>
      <c r="N55" s="612" t="s">
        <v>3384</v>
      </c>
      <c r="O55" s="613"/>
      <c r="P55" s="613"/>
    </row>
    <row r="56" spans="1:16" hidden="1">
      <c r="A56" s="612" t="s">
        <v>2838</v>
      </c>
      <c r="B56" s="612">
        <v>1</v>
      </c>
      <c r="C56" s="612">
        <v>27</v>
      </c>
      <c r="D56" s="612" t="s">
        <v>172</v>
      </c>
      <c r="E56" s="612">
        <v>30925</v>
      </c>
      <c r="F56" s="612" t="s">
        <v>34</v>
      </c>
      <c r="G56" s="612" t="s">
        <v>371</v>
      </c>
      <c r="H56" s="612" t="s">
        <v>35</v>
      </c>
      <c r="I56" s="612" t="s">
        <v>36</v>
      </c>
      <c r="J56" s="612" t="s">
        <v>171</v>
      </c>
      <c r="K56" s="613"/>
      <c r="L56" s="612" t="s">
        <v>3397</v>
      </c>
      <c r="M56" s="612" t="s">
        <v>167</v>
      </c>
      <c r="N56" s="612" t="s">
        <v>390</v>
      </c>
      <c r="O56" s="613"/>
      <c r="P56" s="612"/>
    </row>
    <row r="57" spans="1:16" hidden="1">
      <c r="A57" s="612" t="s">
        <v>2556</v>
      </c>
      <c r="B57" s="612">
        <v>1</v>
      </c>
      <c r="C57" s="612">
        <v>24</v>
      </c>
      <c r="D57" s="612" t="s">
        <v>2555</v>
      </c>
      <c r="E57" s="612">
        <v>30947</v>
      </c>
      <c r="F57" s="612" t="s">
        <v>34</v>
      </c>
      <c r="G57" s="612" t="s">
        <v>563</v>
      </c>
      <c r="H57" s="612" t="s">
        <v>35</v>
      </c>
      <c r="I57" s="612" t="s">
        <v>36</v>
      </c>
      <c r="J57" s="612" t="s">
        <v>28</v>
      </c>
      <c r="K57" s="612" t="s">
        <v>63</v>
      </c>
      <c r="L57" s="612" t="s">
        <v>3398</v>
      </c>
      <c r="M57" s="612" t="s">
        <v>102</v>
      </c>
      <c r="N57" s="612" t="s">
        <v>3375</v>
      </c>
      <c r="O57" s="613"/>
      <c r="P57" s="612"/>
    </row>
    <row r="58" spans="1:16" hidden="1">
      <c r="A58" s="612" t="s">
        <v>229</v>
      </c>
      <c r="B58" s="612">
        <v>1</v>
      </c>
      <c r="C58" s="612">
        <v>24</v>
      </c>
      <c r="D58" s="612" t="s">
        <v>227</v>
      </c>
      <c r="E58" s="612">
        <v>30944</v>
      </c>
      <c r="F58" s="612" t="s">
        <v>34</v>
      </c>
      <c r="G58" s="612" t="s">
        <v>228</v>
      </c>
      <c r="H58" s="612" t="s">
        <v>35</v>
      </c>
      <c r="I58" s="612" t="s">
        <v>266</v>
      </c>
      <c r="J58" s="612" t="s">
        <v>42</v>
      </c>
      <c r="K58" s="612" t="s">
        <v>88</v>
      </c>
      <c r="L58" s="612" t="s">
        <v>3398</v>
      </c>
      <c r="M58" s="612" t="s">
        <v>3356</v>
      </c>
      <c r="N58" s="612" t="s">
        <v>3375</v>
      </c>
      <c r="O58" s="613"/>
      <c r="P58" s="612"/>
    </row>
    <row r="59" spans="1:16" hidden="1">
      <c r="A59" s="612" t="s">
        <v>506</v>
      </c>
      <c r="B59" s="612">
        <v>1</v>
      </c>
      <c r="C59" s="612">
        <v>24</v>
      </c>
      <c r="D59" s="612" t="s">
        <v>53</v>
      </c>
      <c r="E59" s="612">
        <v>30955</v>
      </c>
      <c r="F59" s="612" t="s">
        <v>34</v>
      </c>
      <c r="G59" s="612" t="s">
        <v>61</v>
      </c>
      <c r="H59" s="612" t="s">
        <v>219</v>
      </c>
      <c r="I59" s="612" t="s">
        <v>578</v>
      </c>
      <c r="J59" s="612" t="s">
        <v>42</v>
      </c>
      <c r="K59" s="612" t="s">
        <v>63</v>
      </c>
      <c r="L59" s="612" t="s">
        <v>3398</v>
      </c>
      <c r="M59" s="612" t="s">
        <v>60</v>
      </c>
      <c r="N59" s="612" t="s">
        <v>2526</v>
      </c>
      <c r="O59" s="613"/>
      <c r="P59" s="612"/>
    </row>
    <row r="60" spans="1:16" hidden="1">
      <c r="A60" s="612" t="s">
        <v>1097</v>
      </c>
      <c r="B60" s="612">
        <v>1</v>
      </c>
      <c r="C60" s="612">
        <v>24</v>
      </c>
      <c r="D60" s="612" t="s">
        <v>268</v>
      </c>
      <c r="E60" s="612">
        <v>30952</v>
      </c>
      <c r="F60" s="612" t="s">
        <v>34</v>
      </c>
      <c r="G60" s="612" t="s">
        <v>1820</v>
      </c>
      <c r="H60" s="612" t="s">
        <v>35</v>
      </c>
      <c r="I60" s="612" t="s">
        <v>36</v>
      </c>
      <c r="J60" s="612" t="s">
        <v>28</v>
      </c>
      <c r="K60" s="612" t="s">
        <v>63</v>
      </c>
      <c r="L60" s="612" t="s">
        <v>3398</v>
      </c>
      <c r="M60" s="612" t="s">
        <v>167</v>
      </c>
      <c r="N60" s="612" t="s">
        <v>3379</v>
      </c>
      <c r="O60" s="613"/>
      <c r="P60" s="613"/>
    </row>
    <row r="61" spans="1:16" hidden="1">
      <c r="A61" s="612" t="s">
        <v>147</v>
      </c>
      <c r="B61" s="612">
        <v>1</v>
      </c>
      <c r="C61" s="612">
        <v>24</v>
      </c>
      <c r="D61" s="612" t="s">
        <v>146</v>
      </c>
      <c r="E61" s="612">
        <v>30943</v>
      </c>
      <c r="F61" s="612" t="s">
        <v>56</v>
      </c>
      <c r="G61" s="612" t="s">
        <v>2936</v>
      </c>
      <c r="H61" s="612" t="s">
        <v>35</v>
      </c>
      <c r="I61" s="612" t="s">
        <v>176</v>
      </c>
      <c r="J61" s="612" t="s">
        <v>28</v>
      </c>
      <c r="K61" s="612" t="s">
        <v>148</v>
      </c>
      <c r="L61" s="612" t="s">
        <v>3398</v>
      </c>
      <c r="M61" s="612"/>
      <c r="N61" s="612" t="s">
        <v>3376</v>
      </c>
      <c r="O61" s="613"/>
      <c r="P61" s="612"/>
    </row>
    <row r="62" spans="1:16" hidden="1">
      <c r="A62" s="612" t="s">
        <v>546</v>
      </c>
      <c r="B62" s="612">
        <v>1</v>
      </c>
      <c r="C62" s="612">
        <v>23</v>
      </c>
      <c r="D62" s="612" t="s">
        <v>268</v>
      </c>
      <c r="E62" s="612">
        <v>30961</v>
      </c>
      <c r="F62" s="612" t="s">
        <v>34</v>
      </c>
      <c r="G62" s="612" t="s">
        <v>1820</v>
      </c>
      <c r="H62" s="612" t="s">
        <v>35</v>
      </c>
      <c r="I62" s="612" t="s">
        <v>36</v>
      </c>
      <c r="J62" s="612" t="s">
        <v>28</v>
      </c>
      <c r="K62" s="612" t="s">
        <v>63</v>
      </c>
      <c r="L62" s="612" t="s">
        <v>3399</v>
      </c>
      <c r="M62" s="612" t="s">
        <v>167</v>
      </c>
      <c r="N62" s="612" t="s">
        <v>3375</v>
      </c>
      <c r="O62" s="613"/>
      <c r="P62" s="612"/>
    </row>
    <row r="63" spans="1:16" hidden="1">
      <c r="A63" s="612" t="s">
        <v>164</v>
      </c>
      <c r="B63" s="612">
        <v>1</v>
      </c>
      <c r="C63" s="612">
        <v>23</v>
      </c>
      <c r="D63" s="612" t="s">
        <v>53</v>
      </c>
      <c r="E63" s="612">
        <v>30973</v>
      </c>
      <c r="F63" s="612" t="s">
        <v>34</v>
      </c>
      <c r="G63" s="612" t="s">
        <v>54</v>
      </c>
      <c r="H63" s="612" t="s">
        <v>57</v>
      </c>
      <c r="I63" s="612" t="s">
        <v>231</v>
      </c>
      <c r="J63" s="612" t="s">
        <v>42</v>
      </c>
      <c r="K63" s="612" t="s">
        <v>88</v>
      </c>
      <c r="L63" s="612" t="s">
        <v>3399</v>
      </c>
      <c r="M63" s="612" t="s">
        <v>3356</v>
      </c>
      <c r="N63" s="612" t="s">
        <v>3373</v>
      </c>
      <c r="O63" s="613"/>
      <c r="P63" s="613"/>
    </row>
    <row r="64" spans="1:16" hidden="1">
      <c r="A64" s="612" t="s">
        <v>164</v>
      </c>
      <c r="B64" s="612">
        <v>1</v>
      </c>
      <c r="C64" s="612">
        <v>23</v>
      </c>
      <c r="D64" s="612" t="s">
        <v>53</v>
      </c>
      <c r="E64" s="612">
        <v>30974</v>
      </c>
      <c r="F64" s="612" t="s">
        <v>34</v>
      </c>
      <c r="G64" s="612" t="s">
        <v>54</v>
      </c>
      <c r="H64" s="612" t="s">
        <v>57</v>
      </c>
      <c r="I64" s="612" t="s">
        <v>94</v>
      </c>
      <c r="J64" s="612" t="s">
        <v>42</v>
      </c>
      <c r="K64" s="612" t="s">
        <v>88</v>
      </c>
      <c r="L64" s="612" t="s">
        <v>3399</v>
      </c>
      <c r="M64" s="612" t="s">
        <v>3356</v>
      </c>
      <c r="N64" s="612" t="s">
        <v>3383</v>
      </c>
      <c r="O64" s="613"/>
      <c r="P64" s="613"/>
    </row>
    <row r="65" spans="1:16" hidden="1">
      <c r="A65" s="612" t="s">
        <v>2217</v>
      </c>
      <c r="B65" s="612">
        <v>1</v>
      </c>
      <c r="C65" s="612">
        <v>23</v>
      </c>
      <c r="D65" s="612" t="s">
        <v>172</v>
      </c>
      <c r="E65" s="612">
        <v>30975</v>
      </c>
      <c r="F65" s="612" t="s">
        <v>56</v>
      </c>
      <c r="G65" s="612" t="s">
        <v>2936</v>
      </c>
      <c r="H65" s="612" t="s">
        <v>35</v>
      </c>
      <c r="I65" s="612" t="s">
        <v>760</v>
      </c>
      <c r="J65" s="612" t="s">
        <v>171</v>
      </c>
      <c r="K65" s="612" t="s">
        <v>205</v>
      </c>
      <c r="L65" s="612" t="s">
        <v>3399</v>
      </c>
      <c r="M65" s="612"/>
      <c r="N65" s="612" t="s">
        <v>3375</v>
      </c>
      <c r="O65" s="613"/>
      <c r="P65" s="612"/>
    </row>
    <row r="66" spans="1:16" hidden="1">
      <c r="A66" s="612" t="s">
        <v>2071</v>
      </c>
      <c r="B66" s="612">
        <v>1</v>
      </c>
      <c r="C66" s="612">
        <v>22</v>
      </c>
      <c r="D66" s="612" t="s">
        <v>268</v>
      </c>
      <c r="E66" s="612">
        <v>30983</v>
      </c>
      <c r="F66" s="612" t="s">
        <v>56</v>
      </c>
      <c r="G66" s="612" t="s">
        <v>173</v>
      </c>
      <c r="H66" s="612" t="s">
        <v>35</v>
      </c>
      <c r="I66" s="612" t="s">
        <v>176</v>
      </c>
      <c r="J66" s="612" t="s">
        <v>28</v>
      </c>
      <c r="K66" s="612" t="s">
        <v>435</v>
      </c>
      <c r="L66" s="614">
        <v>46029</v>
      </c>
      <c r="M66" s="612" t="s">
        <v>69</v>
      </c>
      <c r="N66" s="612" t="s">
        <v>3375</v>
      </c>
      <c r="O66" s="613"/>
      <c r="P66" s="612"/>
    </row>
    <row r="67" spans="1:16" hidden="1">
      <c r="A67" s="612" t="s">
        <v>71</v>
      </c>
      <c r="B67" s="612">
        <v>1</v>
      </c>
      <c r="C67" s="612">
        <v>22</v>
      </c>
      <c r="D67" s="612" t="s">
        <v>53</v>
      </c>
      <c r="E67" s="612">
        <v>30980</v>
      </c>
      <c r="F67" s="612" t="s">
        <v>34</v>
      </c>
      <c r="G67" s="612" t="s">
        <v>70</v>
      </c>
      <c r="H67" s="612" t="s">
        <v>72</v>
      </c>
      <c r="I67" s="612" t="s">
        <v>73</v>
      </c>
      <c r="J67" s="612" t="s">
        <v>42</v>
      </c>
      <c r="K67" s="612" t="s">
        <v>33</v>
      </c>
      <c r="L67" s="614">
        <v>46029</v>
      </c>
      <c r="M67" s="612" t="s">
        <v>69</v>
      </c>
      <c r="N67" s="612" t="s">
        <v>3384</v>
      </c>
      <c r="O67" s="613"/>
      <c r="P67" s="613"/>
    </row>
    <row r="68" spans="1:16" hidden="1">
      <c r="A68" s="612" t="s">
        <v>924</v>
      </c>
      <c r="B68" s="612">
        <v>1</v>
      </c>
      <c r="C68" s="612">
        <v>22</v>
      </c>
      <c r="D68" s="612" t="s">
        <v>53</v>
      </c>
      <c r="E68" s="612">
        <v>31000</v>
      </c>
      <c r="F68" s="612" t="s">
        <v>34</v>
      </c>
      <c r="G68" s="612" t="s">
        <v>189</v>
      </c>
      <c r="H68" s="612" t="s">
        <v>57</v>
      </c>
      <c r="I68" s="612" t="s">
        <v>2194</v>
      </c>
      <c r="J68" s="612" t="s">
        <v>42</v>
      </c>
      <c r="K68" s="612" t="s">
        <v>925</v>
      </c>
      <c r="L68" s="614">
        <v>46029</v>
      </c>
      <c r="M68" s="612" t="s">
        <v>43</v>
      </c>
      <c r="N68" s="612" t="s">
        <v>3400</v>
      </c>
      <c r="O68" s="613"/>
      <c r="P68" s="612"/>
    </row>
    <row r="69" spans="1:16" hidden="1">
      <c r="A69" s="612" t="s">
        <v>2950</v>
      </c>
      <c r="B69" s="612">
        <v>1</v>
      </c>
      <c r="C69" s="612">
        <v>21</v>
      </c>
      <c r="D69" s="612" t="s">
        <v>146</v>
      </c>
      <c r="E69" s="612">
        <v>31005</v>
      </c>
      <c r="F69" s="612" t="s">
        <v>34</v>
      </c>
      <c r="G69" s="612" t="s">
        <v>31</v>
      </c>
      <c r="H69" s="612" t="s">
        <v>35</v>
      </c>
      <c r="I69" s="612" t="s">
        <v>612</v>
      </c>
      <c r="J69" s="612" t="s">
        <v>28</v>
      </c>
      <c r="K69" s="612" t="s">
        <v>93</v>
      </c>
      <c r="L69" s="614">
        <v>46060</v>
      </c>
      <c r="M69" s="612"/>
      <c r="N69" s="612" t="s">
        <v>3375</v>
      </c>
      <c r="O69" s="613"/>
      <c r="P69" s="612"/>
    </row>
    <row r="70" spans="1:16" hidden="1">
      <c r="A70" s="612" t="s">
        <v>343</v>
      </c>
      <c r="B70" s="612">
        <v>1</v>
      </c>
      <c r="C70" s="612">
        <v>21</v>
      </c>
      <c r="D70" s="612" t="s">
        <v>53</v>
      </c>
      <c r="E70" s="612">
        <v>31025</v>
      </c>
      <c r="F70" s="612" t="s">
        <v>34</v>
      </c>
      <c r="G70" s="612" t="s">
        <v>70</v>
      </c>
      <c r="H70" s="612" t="s">
        <v>219</v>
      </c>
      <c r="I70" s="612" t="s">
        <v>2956</v>
      </c>
      <c r="J70" s="612" t="s">
        <v>42</v>
      </c>
      <c r="K70" s="612" t="s">
        <v>63</v>
      </c>
      <c r="L70" s="614">
        <v>46060</v>
      </c>
      <c r="M70" s="612" t="s">
        <v>69</v>
      </c>
      <c r="N70" s="612" t="s">
        <v>3379</v>
      </c>
      <c r="O70" s="613"/>
      <c r="P70" s="613"/>
    </row>
    <row r="71" spans="1:16" hidden="1">
      <c r="A71" s="612" t="s">
        <v>229</v>
      </c>
      <c r="B71" s="612">
        <v>1</v>
      </c>
      <c r="C71" s="612">
        <v>21</v>
      </c>
      <c r="D71" s="612" t="s">
        <v>227</v>
      </c>
      <c r="E71" s="612">
        <v>31007</v>
      </c>
      <c r="F71" s="612" t="s">
        <v>34</v>
      </c>
      <c r="G71" s="612" t="s">
        <v>228</v>
      </c>
      <c r="H71" s="612" t="s">
        <v>48</v>
      </c>
      <c r="I71" s="612" t="s">
        <v>120</v>
      </c>
      <c r="J71" s="612" t="s">
        <v>42</v>
      </c>
      <c r="K71" s="612" t="s">
        <v>88</v>
      </c>
      <c r="L71" s="614">
        <v>46060</v>
      </c>
      <c r="M71" s="612" t="s">
        <v>3356</v>
      </c>
      <c r="N71" s="612" t="s">
        <v>3375</v>
      </c>
      <c r="O71" s="613"/>
      <c r="P71" s="612"/>
    </row>
    <row r="72" spans="1:16" hidden="1">
      <c r="A72" s="612" t="s">
        <v>229</v>
      </c>
      <c r="B72" s="612">
        <v>1</v>
      </c>
      <c r="C72" s="612">
        <v>21</v>
      </c>
      <c r="D72" s="612" t="s">
        <v>227</v>
      </c>
      <c r="E72" s="612">
        <v>31008</v>
      </c>
      <c r="F72" s="612" t="s">
        <v>34</v>
      </c>
      <c r="G72" s="612" t="s">
        <v>228</v>
      </c>
      <c r="H72" s="612" t="s">
        <v>35</v>
      </c>
      <c r="I72" s="612" t="s">
        <v>266</v>
      </c>
      <c r="J72" s="612" t="s">
        <v>42</v>
      </c>
      <c r="K72" s="612" t="s">
        <v>88</v>
      </c>
      <c r="L72" s="614">
        <v>46060</v>
      </c>
      <c r="M72" s="612" t="s">
        <v>3356</v>
      </c>
      <c r="N72" s="612" t="s">
        <v>3375</v>
      </c>
      <c r="O72" s="613"/>
      <c r="P72" s="612"/>
    </row>
    <row r="73" spans="1:16" hidden="1">
      <c r="A73" s="612" t="s">
        <v>164</v>
      </c>
      <c r="B73" s="612">
        <v>1</v>
      </c>
      <c r="C73" s="612">
        <v>21</v>
      </c>
      <c r="D73" s="612" t="s">
        <v>53</v>
      </c>
      <c r="E73" s="612">
        <v>31016</v>
      </c>
      <c r="F73" s="612" t="s">
        <v>34</v>
      </c>
      <c r="G73" s="612" t="s">
        <v>54</v>
      </c>
      <c r="H73" s="612" t="s">
        <v>57</v>
      </c>
      <c r="I73" s="612" t="s">
        <v>231</v>
      </c>
      <c r="J73" s="612" t="s">
        <v>42</v>
      </c>
      <c r="K73" s="612" t="s">
        <v>88</v>
      </c>
      <c r="L73" s="614">
        <v>46060</v>
      </c>
      <c r="M73" s="612" t="s">
        <v>3356</v>
      </c>
      <c r="N73" s="612" t="s">
        <v>3375</v>
      </c>
      <c r="O73" s="613"/>
      <c r="P73" s="612"/>
    </row>
    <row r="74" spans="1:16" hidden="1">
      <c r="A74" s="612" t="s">
        <v>164</v>
      </c>
      <c r="B74" s="612">
        <v>1</v>
      </c>
      <c r="C74" s="612">
        <v>21</v>
      </c>
      <c r="D74" s="612" t="s">
        <v>53</v>
      </c>
      <c r="E74" s="612">
        <v>31017</v>
      </c>
      <c r="F74" s="612" t="s">
        <v>34</v>
      </c>
      <c r="G74" s="612" t="s">
        <v>54</v>
      </c>
      <c r="H74" s="612" t="s">
        <v>57</v>
      </c>
      <c r="I74" s="612" t="s">
        <v>231</v>
      </c>
      <c r="J74" s="612" t="s">
        <v>42</v>
      </c>
      <c r="K74" s="612" t="s">
        <v>88</v>
      </c>
      <c r="L74" s="614">
        <v>46060</v>
      </c>
      <c r="M74" s="612" t="s">
        <v>3356</v>
      </c>
      <c r="N74" s="612" t="s">
        <v>3383</v>
      </c>
      <c r="O74" s="613"/>
      <c r="P74" s="613"/>
    </row>
    <row r="75" spans="1:16" hidden="1">
      <c r="A75" s="612" t="s">
        <v>164</v>
      </c>
      <c r="B75" s="612">
        <v>1</v>
      </c>
      <c r="C75" s="612">
        <v>21</v>
      </c>
      <c r="D75" s="612" t="s">
        <v>53</v>
      </c>
      <c r="E75" s="612">
        <v>31018</v>
      </c>
      <c r="F75" s="612" t="s">
        <v>34</v>
      </c>
      <c r="G75" s="612" t="s">
        <v>54</v>
      </c>
      <c r="H75" s="612" t="s">
        <v>57</v>
      </c>
      <c r="I75" s="612" t="s">
        <v>94</v>
      </c>
      <c r="J75" s="612" t="s">
        <v>42</v>
      </c>
      <c r="K75" s="612" t="s">
        <v>88</v>
      </c>
      <c r="L75" s="614">
        <v>46060</v>
      </c>
      <c r="M75" s="612" t="s">
        <v>3356</v>
      </c>
      <c r="N75" s="612" t="s">
        <v>3383</v>
      </c>
      <c r="O75" s="613"/>
      <c r="P75" s="613"/>
    </row>
    <row r="76" spans="1:16" hidden="1">
      <c r="A76" s="612" t="s">
        <v>164</v>
      </c>
      <c r="B76" s="612">
        <v>1</v>
      </c>
      <c r="C76" s="612">
        <v>21</v>
      </c>
      <c r="D76" s="612" t="s">
        <v>53</v>
      </c>
      <c r="E76" s="612">
        <v>31019</v>
      </c>
      <c r="F76" s="612" t="s">
        <v>34</v>
      </c>
      <c r="G76" s="612" t="s">
        <v>54</v>
      </c>
      <c r="H76" s="612" t="s">
        <v>57</v>
      </c>
      <c r="I76" s="612" t="s">
        <v>94</v>
      </c>
      <c r="J76" s="612" t="s">
        <v>42</v>
      </c>
      <c r="K76" s="612" t="s">
        <v>88</v>
      </c>
      <c r="L76" s="614">
        <v>46060</v>
      </c>
      <c r="M76" s="612" t="s">
        <v>3356</v>
      </c>
      <c r="N76" s="612" t="s">
        <v>3375</v>
      </c>
      <c r="O76" s="613"/>
      <c r="P76" s="612"/>
    </row>
    <row r="77" spans="1:16" hidden="1">
      <c r="A77" s="612" t="s">
        <v>164</v>
      </c>
      <c r="B77" s="612">
        <v>1</v>
      </c>
      <c r="C77" s="612">
        <v>21</v>
      </c>
      <c r="D77" s="612" t="s">
        <v>53</v>
      </c>
      <c r="E77" s="612">
        <v>31022</v>
      </c>
      <c r="F77" s="612" t="s">
        <v>34</v>
      </c>
      <c r="G77" s="612" t="s">
        <v>54</v>
      </c>
      <c r="H77" s="612" t="s">
        <v>57</v>
      </c>
      <c r="I77" s="612" t="s">
        <v>94</v>
      </c>
      <c r="J77" s="612" t="s">
        <v>42</v>
      </c>
      <c r="K77" s="612" t="s">
        <v>88</v>
      </c>
      <c r="L77" s="614">
        <v>46060</v>
      </c>
      <c r="M77" s="612" t="s">
        <v>3356</v>
      </c>
      <c r="N77" s="612" t="s">
        <v>3375</v>
      </c>
      <c r="O77" s="613"/>
      <c r="P77" s="612"/>
    </row>
    <row r="78" spans="1:16" hidden="1">
      <c r="A78" s="612" t="s">
        <v>164</v>
      </c>
      <c r="B78" s="612">
        <v>1</v>
      </c>
      <c r="C78" s="612">
        <v>21</v>
      </c>
      <c r="D78" s="612" t="s">
        <v>53</v>
      </c>
      <c r="E78" s="612">
        <v>31024</v>
      </c>
      <c r="F78" s="612" t="s">
        <v>34</v>
      </c>
      <c r="G78" s="612" t="s">
        <v>54</v>
      </c>
      <c r="H78" s="612" t="s">
        <v>57</v>
      </c>
      <c r="I78" s="612" t="s">
        <v>94</v>
      </c>
      <c r="J78" s="612" t="s">
        <v>42</v>
      </c>
      <c r="K78" s="612" t="s">
        <v>88</v>
      </c>
      <c r="L78" s="614">
        <v>46060</v>
      </c>
      <c r="M78" s="612" t="s">
        <v>3356</v>
      </c>
      <c r="N78" s="612" t="s">
        <v>3384</v>
      </c>
      <c r="O78" s="613"/>
      <c r="P78" s="613"/>
    </row>
    <row r="79" spans="1:16" hidden="1">
      <c r="A79" s="612" t="s">
        <v>164</v>
      </c>
      <c r="B79" s="612">
        <v>1</v>
      </c>
      <c r="C79" s="612">
        <v>21</v>
      </c>
      <c r="D79" s="612" t="s">
        <v>53</v>
      </c>
      <c r="E79" s="612">
        <v>31026</v>
      </c>
      <c r="F79" s="612" t="s">
        <v>34</v>
      </c>
      <c r="G79" s="612" t="s">
        <v>54</v>
      </c>
      <c r="H79" s="612" t="s">
        <v>35</v>
      </c>
      <c r="I79" s="612" t="s">
        <v>2177</v>
      </c>
      <c r="J79" s="612" t="s">
        <v>42</v>
      </c>
      <c r="K79" s="612" t="s">
        <v>88</v>
      </c>
      <c r="L79" s="614">
        <v>46060</v>
      </c>
      <c r="M79" s="612" t="s">
        <v>3356</v>
      </c>
      <c r="N79" s="612" t="s">
        <v>3384</v>
      </c>
      <c r="O79" s="613"/>
      <c r="P79" s="613"/>
    </row>
    <row r="80" spans="1:16" hidden="1">
      <c r="A80" s="612" t="s">
        <v>1017</v>
      </c>
      <c r="B80" s="612">
        <v>1</v>
      </c>
      <c r="C80" s="612">
        <v>21</v>
      </c>
      <c r="D80" s="612" t="s">
        <v>53</v>
      </c>
      <c r="E80" s="612">
        <v>31009</v>
      </c>
      <c r="F80" s="612" t="s">
        <v>34</v>
      </c>
      <c r="G80" s="612" t="s">
        <v>228</v>
      </c>
      <c r="H80" s="612" t="s">
        <v>57</v>
      </c>
      <c r="I80" s="612" t="s">
        <v>1437</v>
      </c>
      <c r="J80" s="612" t="s">
        <v>42</v>
      </c>
      <c r="K80" s="612" t="s">
        <v>435</v>
      </c>
      <c r="L80" s="614">
        <v>46060</v>
      </c>
      <c r="M80" s="612" t="s">
        <v>3356</v>
      </c>
      <c r="N80" s="612" t="s">
        <v>3373</v>
      </c>
      <c r="O80" s="613"/>
      <c r="P80" s="613"/>
    </row>
    <row r="81" spans="1:16" hidden="1">
      <c r="A81" s="612" t="s">
        <v>1017</v>
      </c>
      <c r="B81" s="612">
        <v>1</v>
      </c>
      <c r="C81" s="612">
        <v>21</v>
      </c>
      <c r="D81" s="612" t="s">
        <v>53</v>
      </c>
      <c r="E81" s="612">
        <v>31010</v>
      </c>
      <c r="F81" s="612" t="s">
        <v>34</v>
      </c>
      <c r="G81" s="612" t="s">
        <v>228</v>
      </c>
      <c r="H81" s="612" t="s">
        <v>57</v>
      </c>
      <c r="I81" s="612" t="s">
        <v>1050</v>
      </c>
      <c r="J81" s="612" t="s">
        <v>42</v>
      </c>
      <c r="K81" s="612" t="s">
        <v>435</v>
      </c>
      <c r="L81" s="614">
        <v>46060</v>
      </c>
      <c r="M81" s="612" t="s">
        <v>3356</v>
      </c>
      <c r="N81" s="612" t="s">
        <v>3400</v>
      </c>
      <c r="O81" s="613"/>
      <c r="P81" s="612"/>
    </row>
    <row r="82" spans="1:16" hidden="1">
      <c r="A82" s="612" t="s">
        <v>273</v>
      </c>
      <c r="B82" s="612">
        <v>1</v>
      </c>
      <c r="C82" s="612">
        <v>21</v>
      </c>
      <c r="D82" s="612" t="s">
        <v>198</v>
      </c>
      <c r="E82" s="612">
        <v>31028</v>
      </c>
      <c r="F82" s="612" t="s">
        <v>34</v>
      </c>
      <c r="G82" s="612" t="s">
        <v>103</v>
      </c>
      <c r="H82" s="612" t="s">
        <v>48</v>
      </c>
      <c r="I82" s="612" t="s">
        <v>49</v>
      </c>
      <c r="J82" s="612" t="s">
        <v>42</v>
      </c>
      <c r="K82" s="612" t="s">
        <v>274</v>
      </c>
      <c r="L82" s="614">
        <v>46060</v>
      </c>
      <c r="M82" s="612" t="s">
        <v>167</v>
      </c>
      <c r="N82" s="612" t="s">
        <v>3373</v>
      </c>
      <c r="O82" s="613"/>
      <c r="P82" s="613"/>
    </row>
    <row r="83" spans="1:16" hidden="1">
      <c r="A83" s="612" t="s">
        <v>2992</v>
      </c>
      <c r="B83" s="612">
        <v>1</v>
      </c>
      <c r="C83" s="612">
        <v>21</v>
      </c>
      <c r="D83" s="612" t="s">
        <v>2574</v>
      </c>
      <c r="E83" s="612">
        <v>31015</v>
      </c>
      <c r="F83" s="612" t="s">
        <v>56</v>
      </c>
      <c r="G83" s="612" t="s">
        <v>2991</v>
      </c>
      <c r="H83" s="612" t="s">
        <v>984</v>
      </c>
      <c r="I83" s="612" t="s">
        <v>2993</v>
      </c>
      <c r="J83" s="612" t="s">
        <v>28</v>
      </c>
      <c r="K83" s="612" t="s">
        <v>119</v>
      </c>
      <c r="L83" s="614">
        <v>46060</v>
      </c>
      <c r="M83" s="612"/>
      <c r="N83" s="612" t="s">
        <v>3401</v>
      </c>
      <c r="O83" s="613"/>
      <c r="P83" s="613"/>
    </row>
    <row r="84" spans="1:16" hidden="1">
      <c r="A84" s="612" t="s">
        <v>2996</v>
      </c>
      <c r="B84" s="612">
        <v>1</v>
      </c>
      <c r="C84" s="612">
        <v>21</v>
      </c>
      <c r="D84" s="612" t="s">
        <v>53</v>
      </c>
      <c r="E84" s="612">
        <v>31006</v>
      </c>
      <c r="F84" s="612" t="s">
        <v>34</v>
      </c>
      <c r="G84" s="612" t="s">
        <v>103</v>
      </c>
      <c r="H84" s="612" t="s">
        <v>57</v>
      </c>
      <c r="I84" s="612" t="s">
        <v>94</v>
      </c>
      <c r="J84" s="612" t="s">
        <v>42</v>
      </c>
      <c r="K84" s="612" t="s">
        <v>2997</v>
      </c>
      <c r="L84" s="614">
        <v>46060</v>
      </c>
      <c r="M84" s="612" t="s">
        <v>167</v>
      </c>
      <c r="N84" s="612" t="s">
        <v>3402</v>
      </c>
      <c r="O84" s="613"/>
      <c r="P84" s="612"/>
    </row>
    <row r="85" spans="1:16" hidden="1">
      <c r="A85" s="612" t="s">
        <v>2816</v>
      </c>
      <c r="B85" s="612">
        <v>1</v>
      </c>
      <c r="C85" s="612">
        <v>21</v>
      </c>
      <c r="D85" s="612" t="s">
        <v>268</v>
      </c>
      <c r="E85" s="612">
        <v>31002</v>
      </c>
      <c r="F85" s="612" t="s">
        <v>34</v>
      </c>
      <c r="G85" s="612" t="s">
        <v>360</v>
      </c>
      <c r="H85" s="612" t="s">
        <v>35</v>
      </c>
      <c r="I85" s="612" t="s">
        <v>36</v>
      </c>
      <c r="J85" s="612" t="s">
        <v>28</v>
      </c>
      <c r="K85" s="612" t="s">
        <v>337</v>
      </c>
      <c r="L85" s="614">
        <v>46060</v>
      </c>
      <c r="M85" s="612" t="s">
        <v>43</v>
      </c>
      <c r="N85" s="612" t="s">
        <v>390</v>
      </c>
      <c r="O85" s="613"/>
      <c r="P85" s="612"/>
    </row>
    <row r="86" spans="1:16" hidden="1">
      <c r="A86" s="612" t="s">
        <v>161</v>
      </c>
      <c r="B86" s="612">
        <v>1</v>
      </c>
      <c r="C86" s="612">
        <v>20</v>
      </c>
      <c r="D86" s="612" t="s">
        <v>53</v>
      </c>
      <c r="E86" s="612">
        <v>31044</v>
      </c>
      <c r="F86" s="612" t="s">
        <v>34</v>
      </c>
      <c r="G86" s="612" t="s">
        <v>61</v>
      </c>
      <c r="H86" s="612" t="s">
        <v>72</v>
      </c>
      <c r="I86" s="612" t="s">
        <v>73</v>
      </c>
      <c r="J86" s="612" t="s">
        <v>42</v>
      </c>
      <c r="K86" s="612" t="s">
        <v>33</v>
      </c>
      <c r="L86" s="614">
        <v>46088</v>
      </c>
      <c r="M86" s="612" t="s">
        <v>60</v>
      </c>
      <c r="N86" s="612" t="s">
        <v>3401</v>
      </c>
      <c r="O86" s="613"/>
      <c r="P86" s="613"/>
    </row>
    <row r="87" spans="1:16" hidden="1">
      <c r="A87" s="612" t="s">
        <v>161</v>
      </c>
      <c r="B87" s="612">
        <v>1</v>
      </c>
      <c r="C87" s="612">
        <v>20</v>
      </c>
      <c r="D87" s="612" t="s">
        <v>53</v>
      </c>
      <c r="E87" s="612">
        <v>31045</v>
      </c>
      <c r="F87" s="612" t="s">
        <v>34</v>
      </c>
      <c r="G87" s="612" t="s">
        <v>61</v>
      </c>
      <c r="H87" s="612" t="s">
        <v>72</v>
      </c>
      <c r="I87" s="612" t="s">
        <v>73</v>
      </c>
      <c r="J87" s="612" t="s">
        <v>42</v>
      </c>
      <c r="K87" s="612" t="s">
        <v>33</v>
      </c>
      <c r="L87" s="614">
        <v>46088</v>
      </c>
      <c r="M87" s="612" t="s">
        <v>60</v>
      </c>
      <c r="N87" s="612" t="s">
        <v>3375</v>
      </c>
      <c r="O87" s="613"/>
      <c r="P87" s="612"/>
    </row>
    <row r="88" spans="1:16" hidden="1">
      <c r="A88" s="612" t="s">
        <v>281</v>
      </c>
      <c r="B88" s="612">
        <v>1</v>
      </c>
      <c r="C88" s="612">
        <v>20</v>
      </c>
      <c r="D88" s="612" t="s">
        <v>44</v>
      </c>
      <c r="E88" s="612">
        <v>31046</v>
      </c>
      <c r="F88" s="612" t="s">
        <v>34</v>
      </c>
      <c r="G88" s="612" t="s">
        <v>158</v>
      </c>
      <c r="H88" s="612" t="s">
        <v>57</v>
      </c>
      <c r="I88" s="612" t="s">
        <v>98</v>
      </c>
      <c r="J88" s="612" t="s">
        <v>42</v>
      </c>
      <c r="K88" s="612" t="s">
        <v>63</v>
      </c>
      <c r="L88" s="614">
        <v>46088</v>
      </c>
      <c r="M88" s="612" t="s">
        <v>69</v>
      </c>
      <c r="N88" s="612" t="s">
        <v>3375</v>
      </c>
      <c r="O88" s="613"/>
      <c r="P88" s="612"/>
    </row>
    <row r="89" spans="1:16" hidden="1">
      <c r="A89" s="612" t="s">
        <v>1068</v>
      </c>
      <c r="B89" s="612">
        <v>1</v>
      </c>
      <c r="C89" s="612">
        <v>20</v>
      </c>
      <c r="D89" s="612" t="s">
        <v>53</v>
      </c>
      <c r="E89" s="612">
        <v>31037</v>
      </c>
      <c r="F89" s="612" t="s">
        <v>34</v>
      </c>
      <c r="G89" s="612" t="s">
        <v>158</v>
      </c>
      <c r="H89" s="612" t="s">
        <v>72</v>
      </c>
      <c r="I89" s="612" t="s">
        <v>151</v>
      </c>
      <c r="J89" s="612" t="s">
        <v>42</v>
      </c>
      <c r="K89" s="612" t="s">
        <v>63</v>
      </c>
      <c r="L89" s="614">
        <v>46088</v>
      </c>
      <c r="M89" s="612" t="s">
        <v>69</v>
      </c>
      <c r="N89" s="612" t="s">
        <v>3383</v>
      </c>
      <c r="O89" s="613"/>
      <c r="P89" s="613"/>
    </row>
    <row r="90" spans="1:16" hidden="1">
      <c r="A90" s="612" t="s">
        <v>208</v>
      </c>
      <c r="B90" s="612">
        <v>1</v>
      </c>
      <c r="C90" s="612">
        <v>17</v>
      </c>
      <c r="D90" s="612" t="s">
        <v>53</v>
      </c>
      <c r="E90" s="612">
        <v>31056</v>
      </c>
      <c r="F90" s="612" t="s">
        <v>34</v>
      </c>
      <c r="G90" s="612" t="s">
        <v>189</v>
      </c>
      <c r="H90" s="612" t="s">
        <v>210</v>
      </c>
      <c r="I90" s="612" t="s">
        <v>309</v>
      </c>
      <c r="J90" s="612" t="s">
        <v>42</v>
      </c>
      <c r="K90" s="612" t="s">
        <v>209</v>
      </c>
      <c r="L90" s="614">
        <v>46180</v>
      </c>
      <c r="M90" s="612" t="s">
        <v>43</v>
      </c>
      <c r="N90" s="612" t="s">
        <v>3384</v>
      </c>
      <c r="O90" s="613"/>
      <c r="P90" s="613"/>
    </row>
    <row r="91" spans="1:16" hidden="1">
      <c r="A91" s="612" t="s">
        <v>46</v>
      </c>
      <c r="B91" s="612">
        <v>1</v>
      </c>
      <c r="C91" s="612">
        <v>17</v>
      </c>
      <c r="D91" s="612" t="s">
        <v>53</v>
      </c>
      <c r="E91" s="612">
        <v>31050</v>
      </c>
      <c r="F91" s="612" t="s">
        <v>34</v>
      </c>
      <c r="G91" s="612" t="s">
        <v>45</v>
      </c>
      <c r="H91" s="612" t="s">
        <v>48</v>
      </c>
      <c r="I91" s="612" t="s">
        <v>49</v>
      </c>
      <c r="J91" s="612" t="s">
        <v>42</v>
      </c>
      <c r="K91" s="612" t="s">
        <v>47</v>
      </c>
      <c r="L91" s="614">
        <v>46180</v>
      </c>
      <c r="M91" s="612" t="s">
        <v>43</v>
      </c>
      <c r="N91" s="612" t="s">
        <v>3375</v>
      </c>
      <c r="O91" s="613"/>
      <c r="P91" s="612"/>
    </row>
    <row r="92" spans="1:16" hidden="1">
      <c r="A92" s="612" t="s">
        <v>3035</v>
      </c>
      <c r="B92" s="612">
        <v>1</v>
      </c>
      <c r="C92" s="612">
        <v>16</v>
      </c>
      <c r="D92" s="612" t="s">
        <v>616</v>
      </c>
      <c r="E92" s="612">
        <v>31067</v>
      </c>
      <c r="F92" s="612" t="s">
        <v>56</v>
      </c>
      <c r="G92" s="612" t="s">
        <v>383</v>
      </c>
      <c r="H92" s="612" t="s">
        <v>35</v>
      </c>
      <c r="I92" s="612" t="s">
        <v>176</v>
      </c>
      <c r="J92" s="612" t="s">
        <v>28</v>
      </c>
      <c r="K92" s="612" t="s">
        <v>933</v>
      </c>
      <c r="L92" s="614">
        <v>46210</v>
      </c>
      <c r="M92" s="612" t="s">
        <v>43</v>
      </c>
      <c r="N92" s="612" t="s">
        <v>3375</v>
      </c>
      <c r="O92" s="613"/>
      <c r="P92" s="612"/>
    </row>
    <row r="93" spans="1:16" hidden="1">
      <c r="A93" s="612" t="s">
        <v>3037</v>
      </c>
      <c r="B93" s="612">
        <v>1</v>
      </c>
      <c r="C93" s="612">
        <v>16</v>
      </c>
      <c r="D93" s="612" t="s">
        <v>30</v>
      </c>
      <c r="E93" s="612">
        <v>31061</v>
      </c>
      <c r="F93" s="612" t="s">
        <v>34</v>
      </c>
      <c r="G93" s="612" t="s">
        <v>31</v>
      </c>
      <c r="H93" s="612" t="s">
        <v>35</v>
      </c>
      <c r="I93" s="612" t="s">
        <v>36</v>
      </c>
      <c r="J93" s="612" t="s">
        <v>28</v>
      </c>
      <c r="K93" s="612" t="s">
        <v>3038</v>
      </c>
      <c r="L93" s="614">
        <v>46210</v>
      </c>
      <c r="M93" s="612"/>
      <c r="N93" s="612" t="s">
        <v>3375</v>
      </c>
      <c r="O93" s="613"/>
      <c r="P93" s="612"/>
    </row>
    <row r="94" spans="1:16" hidden="1">
      <c r="A94" s="612" t="s">
        <v>788</v>
      </c>
      <c r="B94" s="612">
        <v>1</v>
      </c>
      <c r="C94" s="612">
        <v>16</v>
      </c>
      <c r="D94" s="612" t="s">
        <v>3041</v>
      </c>
      <c r="E94" s="612">
        <v>31057</v>
      </c>
      <c r="F94" s="612" t="s">
        <v>56</v>
      </c>
      <c r="G94" s="612" t="s">
        <v>335</v>
      </c>
      <c r="H94" s="612" t="s">
        <v>35</v>
      </c>
      <c r="I94" s="612" t="s">
        <v>176</v>
      </c>
      <c r="J94" s="613"/>
      <c r="K94" s="612" t="s">
        <v>337</v>
      </c>
      <c r="L94" s="614">
        <v>46210</v>
      </c>
      <c r="M94" s="612" t="s">
        <v>43</v>
      </c>
      <c r="N94" s="612" t="s">
        <v>3375</v>
      </c>
      <c r="O94" s="613"/>
      <c r="P94" s="612"/>
    </row>
    <row r="95" spans="1:16" hidden="1">
      <c r="A95" s="612" t="s">
        <v>511</v>
      </c>
      <c r="B95" s="612">
        <v>1</v>
      </c>
      <c r="C95" s="612">
        <v>16</v>
      </c>
      <c r="D95" s="612" t="s">
        <v>514</v>
      </c>
      <c r="E95" s="612">
        <v>31081</v>
      </c>
      <c r="F95" s="612" t="s">
        <v>34</v>
      </c>
      <c r="G95" s="612" t="s">
        <v>360</v>
      </c>
      <c r="H95" s="612" t="s">
        <v>35</v>
      </c>
      <c r="I95" s="612" t="s">
        <v>362</v>
      </c>
      <c r="J95" s="612" t="s">
        <v>171</v>
      </c>
      <c r="K95" s="612" t="s">
        <v>512</v>
      </c>
      <c r="L95" s="614">
        <v>46210</v>
      </c>
      <c r="M95" s="612" t="s">
        <v>43</v>
      </c>
      <c r="N95" s="612" t="s">
        <v>3375</v>
      </c>
      <c r="O95" s="613"/>
      <c r="P95" s="612"/>
    </row>
    <row r="96" spans="1:16" hidden="1">
      <c r="A96" s="612" t="s">
        <v>204</v>
      </c>
      <c r="B96" s="612">
        <v>1</v>
      </c>
      <c r="C96" s="612">
        <v>16</v>
      </c>
      <c r="D96" s="612" t="s">
        <v>202</v>
      </c>
      <c r="E96" s="612">
        <v>31074</v>
      </c>
      <c r="F96" s="612" t="s">
        <v>56</v>
      </c>
      <c r="G96" s="612" t="s">
        <v>2936</v>
      </c>
      <c r="H96" s="612" t="s">
        <v>35</v>
      </c>
      <c r="I96" s="612" t="s">
        <v>176</v>
      </c>
      <c r="J96" s="612" t="s">
        <v>28</v>
      </c>
      <c r="K96" s="612" t="s">
        <v>205</v>
      </c>
      <c r="L96" s="614">
        <v>46210</v>
      </c>
      <c r="M96" s="612"/>
      <c r="N96" s="612" t="s">
        <v>3375</v>
      </c>
      <c r="O96" s="613"/>
      <c r="P96" s="612"/>
    </row>
    <row r="97" spans="1:16" hidden="1">
      <c r="A97" s="612" t="s">
        <v>769</v>
      </c>
      <c r="B97" s="612">
        <v>1</v>
      </c>
      <c r="C97" s="612">
        <v>16</v>
      </c>
      <c r="D97" s="612" t="s">
        <v>53</v>
      </c>
      <c r="E97" s="612">
        <v>31065</v>
      </c>
      <c r="F97" s="612" t="s">
        <v>34</v>
      </c>
      <c r="G97" s="612" t="s">
        <v>70</v>
      </c>
      <c r="H97" s="612" t="s">
        <v>48</v>
      </c>
      <c r="I97" s="612" t="s">
        <v>3063</v>
      </c>
      <c r="J97" s="612" t="s">
        <v>42</v>
      </c>
      <c r="K97" s="612" t="s">
        <v>63</v>
      </c>
      <c r="L97" s="614">
        <v>46210</v>
      </c>
      <c r="M97" s="612" t="s">
        <v>69</v>
      </c>
      <c r="N97" s="612" t="s">
        <v>3384</v>
      </c>
      <c r="O97" s="613"/>
      <c r="P97" s="613"/>
    </row>
    <row r="98" spans="1:16" hidden="1">
      <c r="A98" s="612" t="s">
        <v>194</v>
      </c>
      <c r="B98" s="612">
        <v>1</v>
      </c>
      <c r="C98" s="612">
        <v>16</v>
      </c>
      <c r="D98" s="612" t="s">
        <v>53</v>
      </c>
      <c r="E98" s="612">
        <v>31053</v>
      </c>
      <c r="F98" s="612" t="s">
        <v>34</v>
      </c>
      <c r="G98" s="612" t="s">
        <v>103</v>
      </c>
      <c r="H98" s="612" t="s">
        <v>72</v>
      </c>
      <c r="I98" s="612" t="s">
        <v>223</v>
      </c>
      <c r="J98" s="612" t="s">
        <v>42</v>
      </c>
      <c r="K98" s="612" t="s">
        <v>63</v>
      </c>
      <c r="L98" s="614">
        <v>46210</v>
      </c>
      <c r="M98" s="612" t="s">
        <v>167</v>
      </c>
      <c r="N98" s="612" t="s">
        <v>3376</v>
      </c>
      <c r="O98" s="613"/>
      <c r="P98" s="612"/>
    </row>
    <row r="99" spans="1:16" hidden="1">
      <c r="A99" s="612" t="s">
        <v>194</v>
      </c>
      <c r="B99" s="612">
        <v>1</v>
      </c>
      <c r="C99" s="612">
        <v>16</v>
      </c>
      <c r="D99" s="612" t="s">
        <v>53</v>
      </c>
      <c r="E99" s="612">
        <v>31054</v>
      </c>
      <c r="F99" s="612" t="s">
        <v>34</v>
      </c>
      <c r="G99" s="612" t="s">
        <v>103</v>
      </c>
      <c r="H99" s="612" t="s">
        <v>72</v>
      </c>
      <c r="I99" s="612" t="s">
        <v>223</v>
      </c>
      <c r="J99" s="612" t="s">
        <v>42</v>
      </c>
      <c r="K99" s="612" t="s">
        <v>63</v>
      </c>
      <c r="L99" s="614">
        <v>46210</v>
      </c>
      <c r="M99" s="612" t="s">
        <v>167</v>
      </c>
      <c r="N99" s="612" t="s">
        <v>3376</v>
      </c>
      <c r="O99" s="613"/>
      <c r="P99" s="612"/>
    </row>
    <row r="100" spans="1:16" hidden="1">
      <c r="A100" s="612" t="s">
        <v>684</v>
      </c>
      <c r="B100" s="612">
        <v>1</v>
      </c>
      <c r="C100" s="612">
        <v>15</v>
      </c>
      <c r="D100" s="612" t="s">
        <v>683</v>
      </c>
      <c r="E100" s="612">
        <v>31085</v>
      </c>
      <c r="F100" s="612" t="s">
        <v>34</v>
      </c>
      <c r="G100" s="612" t="s">
        <v>423</v>
      </c>
      <c r="H100" s="612" t="s">
        <v>35</v>
      </c>
      <c r="I100" s="612" t="s">
        <v>36</v>
      </c>
      <c r="J100" s="612" t="s">
        <v>28</v>
      </c>
      <c r="K100" s="612" t="s">
        <v>63</v>
      </c>
      <c r="L100" s="614">
        <v>46241</v>
      </c>
      <c r="M100" s="612" t="s">
        <v>240</v>
      </c>
      <c r="N100" s="612" t="s">
        <v>3375</v>
      </c>
      <c r="O100" s="613"/>
      <c r="P100" s="612"/>
    </row>
    <row r="101" spans="1:16" hidden="1">
      <c r="A101" s="612" t="s">
        <v>434</v>
      </c>
      <c r="B101" s="612">
        <v>1</v>
      </c>
      <c r="C101" s="612">
        <v>15</v>
      </c>
      <c r="D101" s="612" t="s">
        <v>53</v>
      </c>
      <c r="E101" s="612">
        <v>30968</v>
      </c>
      <c r="F101" s="612" t="s">
        <v>34</v>
      </c>
      <c r="G101" s="612" t="s">
        <v>54</v>
      </c>
      <c r="H101" s="612" t="s">
        <v>57</v>
      </c>
      <c r="I101" s="612" t="s">
        <v>1437</v>
      </c>
      <c r="J101" s="612" t="s">
        <v>42</v>
      </c>
      <c r="K101" s="612" t="s">
        <v>435</v>
      </c>
      <c r="L101" s="614">
        <v>46241</v>
      </c>
      <c r="M101" s="612" t="s">
        <v>3356</v>
      </c>
      <c r="N101" s="612" t="s">
        <v>3392</v>
      </c>
      <c r="O101" s="613"/>
      <c r="P101" s="613"/>
    </row>
    <row r="102" spans="1:16" hidden="1">
      <c r="A102" s="612" t="s">
        <v>2683</v>
      </c>
      <c r="B102" s="612">
        <v>1</v>
      </c>
      <c r="C102" s="612">
        <v>15</v>
      </c>
      <c r="D102" s="612" t="s">
        <v>586</v>
      </c>
      <c r="E102" s="612">
        <v>31100</v>
      </c>
      <c r="F102" s="612" t="s">
        <v>34</v>
      </c>
      <c r="G102" s="612" t="s">
        <v>371</v>
      </c>
      <c r="H102" s="612" t="s">
        <v>35</v>
      </c>
      <c r="I102" s="612" t="s">
        <v>36</v>
      </c>
      <c r="J102" s="612" t="s">
        <v>28</v>
      </c>
      <c r="K102" s="612" t="s">
        <v>391</v>
      </c>
      <c r="L102" s="614">
        <v>46241</v>
      </c>
      <c r="M102" s="612" t="s">
        <v>167</v>
      </c>
      <c r="N102" s="612" t="s">
        <v>3384</v>
      </c>
      <c r="O102" s="613"/>
      <c r="P102" s="613"/>
    </row>
    <row r="103" spans="1:16" hidden="1">
      <c r="A103" s="612" t="s">
        <v>556</v>
      </c>
      <c r="B103" s="612">
        <v>1</v>
      </c>
      <c r="C103" s="612">
        <v>13</v>
      </c>
      <c r="D103" s="612" t="s">
        <v>53</v>
      </c>
      <c r="E103" s="612">
        <v>31118</v>
      </c>
      <c r="F103" s="612" t="s">
        <v>34</v>
      </c>
      <c r="G103" s="612" t="s">
        <v>61</v>
      </c>
      <c r="H103" s="612" t="s">
        <v>72</v>
      </c>
      <c r="I103" s="612" t="s">
        <v>633</v>
      </c>
      <c r="J103" s="612" t="s">
        <v>42</v>
      </c>
      <c r="K103" s="612" t="s">
        <v>63</v>
      </c>
      <c r="L103" s="614">
        <v>46302</v>
      </c>
      <c r="M103" s="612" t="s">
        <v>60</v>
      </c>
      <c r="N103" s="612" t="s">
        <v>3375</v>
      </c>
      <c r="O103" s="613"/>
      <c r="P103" s="612"/>
    </row>
    <row r="104" spans="1:16" hidden="1">
      <c r="A104" s="612" t="s">
        <v>307</v>
      </c>
      <c r="B104" s="612">
        <v>1</v>
      </c>
      <c r="C104" s="612">
        <v>13</v>
      </c>
      <c r="D104" s="612" t="s">
        <v>53</v>
      </c>
      <c r="E104" s="612">
        <v>31106</v>
      </c>
      <c r="F104" s="612" t="s">
        <v>34</v>
      </c>
      <c r="G104" s="612" t="s">
        <v>241</v>
      </c>
      <c r="H104" s="612" t="s">
        <v>57</v>
      </c>
      <c r="I104" s="612" t="s">
        <v>308</v>
      </c>
      <c r="J104" s="612" t="s">
        <v>42</v>
      </c>
      <c r="K104" s="612" t="s">
        <v>243</v>
      </c>
      <c r="L104" s="614">
        <v>46302</v>
      </c>
      <c r="M104" s="612" t="s">
        <v>240</v>
      </c>
      <c r="N104" s="612" t="s">
        <v>3376</v>
      </c>
      <c r="O104" s="613"/>
      <c r="P104" s="612"/>
    </row>
    <row r="105" spans="1:16" hidden="1">
      <c r="A105" s="612" t="s">
        <v>618</v>
      </c>
      <c r="B105" s="612">
        <v>1</v>
      </c>
      <c r="C105" s="612">
        <v>13</v>
      </c>
      <c r="D105" s="612" t="s">
        <v>268</v>
      </c>
      <c r="E105" s="612">
        <v>31107</v>
      </c>
      <c r="F105" s="612" t="s">
        <v>34</v>
      </c>
      <c r="G105" s="612" t="s">
        <v>563</v>
      </c>
      <c r="H105" s="612" t="s">
        <v>35</v>
      </c>
      <c r="I105" s="612" t="s">
        <v>36</v>
      </c>
      <c r="J105" s="612" t="s">
        <v>28</v>
      </c>
      <c r="K105" s="612" t="s">
        <v>63</v>
      </c>
      <c r="L105" s="614">
        <v>46302</v>
      </c>
      <c r="M105" s="612" t="s">
        <v>102</v>
      </c>
      <c r="N105" s="612" t="s">
        <v>3379</v>
      </c>
      <c r="O105" s="613"/>
      <c r="P105" s="613"/>
    </row>
    <row r="106" spans="1:16" hidden="1">
      <c r="A106" s="612" t="s">
        <v>3144</v>
      </c>
      <c r="B106" s="612">
        <v>1</v>
      </c>
      <c r="C106" s="612">
        <v>13</v>
      </c>
      <c r="D106" s="612" t="s">
        <v>1197</v>
      </c>
      <c r="E106" s="612">
        <v>31109</v>
      </c>
      <c r="F106" s="612" t="s">
        <v>34</v>
      </c>
      <c r="G106" s="612" t="s">
        <v>31</v>
      </c>
      <c r="H106" s="612" t="s">
        <v>48</v>
      </c>
      <c r="I106" s="612" t="s">
        <v>441</v>
      </c>
      <c r="J106" s="612" t="s">
        <v>28</v>
      </c>
      <c r="K106" s="612" t="s">
        <v>3145</v>
      </c>
      <c r="L106" s="614">
        <v>46302</v>
      </c>
      <c r="M106" s="612"/>
      <c r="N106" s="612" t="s">
        <v>3384</v>
      </c>
      <c r="O106" s="613"/>
      <c r="P106" s="613"/>
    </row>
    <row r="107" spans="1:16" hidden="1">
      <c r="A107" s="612" t="s">
        <v>639</v>
      </c>
      <c r="B107" s="612">
        <v>1</v>
      </c>
      <c r="C107" s="612">
        <v>13</v>
      </c>
      <c r="D107" s="612" t="s">
        <v>163</v>
      </c>
      <c r="E107" s="612">
        <v>31101</v>
      </c>
      <c r="F107" s="612" t="s">
        <v>34</v>
      </c>
      <c r="G107" s="612" t="s">
        <v>70</v>
      </c>
      <c r="H107" s="612" t="s">
        <v>57</v>
      </c>
      <c r="I107" s="612" t="s">
        <v>64</v>
      </c>
      <c r="J107" s="612" t="s">
        <v>42</v>
      </c>
      <c r="K107" s="612" t="s">
        <v>63</v>
      </c>
      <c r="L107" s="614">
        <v>46302</v>
      </c>
      <c r="M107" s="612" t="s">
        <v>69</v>
      </c>
      <c r="N107" s="612" t="s">
        <v>3375</v>
      </c>
      <c r="O107" s="613"/>
      <c r="P107" s="612"/>
    </row>
    <row r="108" spans="1:16" hidden="1">
      <c r="A108" s="612" t="s">
        <v>62</v>
      </c>
      <c r="B108" s="612">
        <v>1</v>
      </c>
      <c r="C108" s="612">
        <v>13</v>
      </c>
      <c r="D108" s="612" t="s">
        <v>53</v>
      </c>
      <c r="E108" s="612">
        <v>31117</v>
      </c>
      <c r="F108" s="612" t="s">
        <v>34</v>
      </c>
      <c r="G108" s="612" t="s">
        <v>61</v>
      </c>
      <c r="H108" s="612" t="s">
        <v>219</v>
      </c>
      <c r="I108" s="612" t="s">
        <v>244</v>
      </c>
      <c r="J108" s="612" t="s">
        <v>42</v>
      </c>
      <c r="K108" s="612" t="s">
        <v>63</v>
      </c>
      <c r="L108" s="614">
        <v>46302</v>
      </c>
      <c r="M108" s="612" t="s">
        <v>60</v>
      </c>
      <c r="N108" s="612" t="s">
        <v>3375</v>
      </c>
      <c r="O108" s="613"/>
      <c r="P108" s="612"/>
    </row>
    <row r="109" spans="1:16" hidden="1">
      <c r="A109" s="612" t="s">
        <v>2057</v>
      </c>
      <c r="B109" s="612">
        <v>1</v>
      </c>
      <c r="C109" s="612">
        <v>13</v>
      </c>
      <c r="D109" s="612" t="s">
        <v>53</v>
      </c>
      <c r="E109" s="612">
        <v>31119</v>
      </c>
      <c r="F109" s="612" t="s">
        <v>34</v>
      </c>
      <c r="G109" s="612" t="s">
        <v>2889</v>
      </c>
      <c r="H109" s="612" t="s">
        <v>48</v>
      </c>
      <c r="I109" s="612" t="s">
        <v>49</v>
      </c>
      <c r="J109" s="612" t="s">
        <v>42</v>
      </c>
      <c r="K109" s="612" t="s">
        <v>611</v>
      </c>
      <c r="L109" s="614">
        <v>46302</v>
      </c>
      <c r="M109" s="612"/>
      <c r="N109" s="612" t="s">
        <v>3375</v>
      </c>
      <c r="O109" s="613"/>
      <c r="P109" s="612"/>
    </row>
    <row r="110" spans="1:16" hidden="1">
      <c r="A110" s="612" t="s">
        <v>1068</v>
      </c>
      <c r="B110" s="612">
        <v>1</v>
      </c>
      <c r="C110" s="612">
        <v>13</v>
      </c>
      <c r="D110" s="612" t="s">
        <v>3152</v>
      </c>
      <c r="E110" s="612">
        <v>31099</v>
      </c>
      <c r="F110" s="612" t="s">
        <v>34</v>
      </c>
      <c r="G110" s="612" t="s">
        <v>158</v>
      </c>
      <c r="H110" s="612" t="s">
        <v>210</v>
      </c>
      <c r="I110" s="612" t="s">
        <v>151</v>
      </c>
      <c r="J110" s="612" t="s">
        <v>42</v>
      </c>
      <c r="K110" s="612" t="s">
        <v>63</v>
      </c>
      <c r="L110" s="614">
        <v>46302</v>
      </c>
      <c r="M110" s="612" t="s">
        <v>69</v>
      </c>
      <c r="N110" s="612" t="s">
        <v>3376</v>
      </c>
      <c r="O110" s="613"/>
      <c r="P110" s="612"/>
    </row>
    <row r="111" spans="1:16" hidden="1">
      <c r="A111" s="612" t="s">
        <v>3155</v>
      </c>
      <c r="B111" s="612">
        <v>1</v>
      </c>
      <c r="C111" s="612">
        <v>10</v>
      </c>
      <c r="D111" s="612" t="s">
        <v>3154</v>
      </c>
      <c r="E111" s="612">
        <v>31150</v>
      </c>
      <c r="F111" s="612" t="s">
        <v>34</v>
      </c>
      <c r="G111" s="612" t="s">
        <v>189</v>
      </c>
      <c r="H111" s="612" t="s">
        <v>48</v>
      </c>
      <c r="I111" s="612" t="s">
        <v>120</v>
      </c>
      <c r="J111" s="612" t="s">
        <v>42</v>
      </c>
      <c r="K111" s="612" t="s">
        <v>391</v>
      </c>
      <c r="L111" s="612" t="s">
        <v>3372</v>
      </c>
      <c r="M111" s="612" t="s">
        <v>43</v>
      </c>
      <c r="N111" s="612" t="s">
        <v>3384</v>
      </c>
      <c r="O111" s="613"/>
      <c r="P111" s="613"/>
    </row>
    <row r="112" spans="1:16" hidden="1">
      <c r="A112" s="612" t="s">
        <v>554</v>
      </c>
      <c r="B112" s="612">
        <v>1</v>
      </c>
      <c r="C112" s="612">
        <v>10</v>
      </c>
      <c r="D112" s="612" t="s">
        <v>53</v>
      </c>
      <c r="E112" s="612">
        <v>31158</v>
      </c>
      <c r="F112" s="612" t="s">
        <v>34</v>
      </c>
      <c r="G112" s="612" t="s">
        <v>553</v>
      </c>
      <c r="H112" s="612" t="s">
        <v>57</v>
      </c>
      <c r="I112" s="612" t="s">
        <v>98</v>
      </c>
      <c r="J112" s="612" t="s">
        <v>42</v>
      </c>
      <c r="K112" s="613"/>
      <c r="L112" s="612" t="s">
        <v>3372</v>
      </c>
      <c r="M112" s="612" t="s">
        <v>552</v>
      </c>
      <c r="N112" s="612" t="s">
        <v>3386</v>
      </c>
      <c r="O112" s="613"/>
      <c r="P112" s="613"/>
    </row>
    <row r="113" spans="1:16" hidden="1">
      <c r="A113" s="612" t="s">
        <v>554</v>
      </c>
      <c r="B113" s="612">
        <v>1</v>
      </c>
      <c r="C113" s="612">
        <v>10</v>
      </c>
      <c r="D113" s="612" t="s">
        <v>53</v>
      </c>
      <c r="E113" s="612">
        <v>31159</v>
      </c>
      <c r="F113" s="612" t="s">
        <v>34</v>
      </c>
      <c r="G113" s="612" t="s">
        <v>553</v>
      </c>
      <c r="H113" s="612" t="s">
        <v>57</v>
      </c>
      <c r="I113" s="612" t="s">
        <v>98</v>
      </c>
      <c r="J113" s="612" t="s">
        <v>42</v>
      </c>
      <c r="K113" s="613"/>
      <c r="L113" s="612" t="s">
        <v>3372</v>
      </c>
      <c r="M113" s="612" t="s">
        <v>552</v>
      </c>
      <c r="N113" s="612" t="s">
        <v>390</v>
      </c>
      <c r="O113" s="613"/>
      <c r="P113" s="612"/>
    </row>
    <row r="114" spans="1:16" hidden="1">
      <c r="A114" s="612" t="s">
        <v>32</v>
      </c>
      <c r="B114" s="612">
        <v>1</v>
      </c>
      <c r="C114" s="612">
        <v>10</v>
      </c>
      <c r="D114" s="612" t="s">
        <v>172</v>
      </c>
      <c r="E114" s="612">
        <v>31120</v>
      </c>
      <c r="F114" s="612" t="s">
        <v>34</v>
      </c>
      <c r="G114" s="612" t="s">
        <v>31</v>
      </c>
      <c r="H114" s="612" t="s">
        <v>35</v>
      </c>
      <c r="I114" s="612" t="s">
        <v>36</v>
      </c>
      <c r="J114" s="612" t="s">
        <v>171</v>
      </c>
      <c r="K114" s="612" t="s">
        <v>33</v>
      </c>
      <c r="L114" s="612" t="s">
        <v>3372</v>
      </c>
      <c r="M114" s="612"/>
      <c r="N114" s="612" t="s">
        <v>3384</v>
      </c>
      <c r="O114" s="613"/>
      <c r="P114" s="613"/>
    </row>
    <row r="115" spans="1:16" hidden="1">
      <c r="A115" s="612" t="s">
        <v>506</v>
      </c>
      <c r="B115" s="612">
        <v>1</v>
      </c>
      <c r="C115" s="612">
        <v>10</v>
      </c>
      <c r="D115" s="612" t="s">
        <v>53</v>
      </c>
      <c r="E115" s="612">
        <v>31143</v>
      </c>
      <c r="F115" s="612" t="s">
        <v>34</v>
      </c>
      <c r="G115" s="612" t="s">
        <v>61</v>
      </c>
      <c r="H115" s="612" t="s">
        <v>219</v>
      </c>
      <c r="I115" s="612" t="s">
        <v>581</v>
      </c>
      <c r="J115" s="612" t="s">
        <v>42</v>
      </c>
      <c r="K115" s="612" t="s">
        <v>63</v>
      </c>
      <c r="L115" s="612" t="s">
        <v>3372</v>
      </c>
      <c r="M115" s="612" t="s">
        <v>60</v>
      </c>
      <c r="N115" s="612" t="s">
        <v>3375</v>
      </c>
      <c r="O115" s="613"/>
      <c r="P115" s="612"/>
    </row>
    <row r="116" spans="1:16" hidden="1">
      <c r="A116" s="612" t="s">
        <v>3119</v>
      </c>
      <c r="B116" s="612">
        <v>1</v>
      </c>
      <c r="C116" s="612">
        <v>10</v>
      </c>
      <c r="D116" s="612" t="s">
        <v>586</v>
      </c>
      <c r="E116" s="612">
        <v>31139</v>
      </c>
      <c r="F116" s="612" t="s">
        <v>34</v>
      </c>
      <c r="G116" s="612" t="s">
        <v>371</v>
      </c>
      <c r="H116" s="612" t="s">
        <v>35</v>
      </c>
      <c r="I116" s="612" t="s">
        <v>36</v>
      </c>
      <c r="J116" s="612" t="s">
        <v>28</v>
      </c>
      <c r="K116" s="612" t="s">
        <v>63</v>
      </c>
      <c r="L116" s="612" t="s">
        <v>3372</v>
      </c>
      <c r="M116" s="612" t="s">
        <v>167</v>
      </c>
      <c r="N116" s="612" t="s">
        <v>3375</v>
      </c>
      <c r="O116" s="613"/>
      <c r="P116" s="612"/>
    </row>
    <row r="117" spans="1:16" hidden="1">
      <c r="A117" s="612" t="s">
        <v>921</v>
      </c>
      <c r="B117" s="612">
        <v>1</v>
      </c>
      <c r="C117" s="612">
        <v>10</v>
      </c>
      <c r="D117" s="612" t="s">
        <v>514</v>
      </c>
      <c r="E117" s="612">
        <v>31110</v>
      </c>
      <c r="F117" s="612" t="s">
        <v>34</v>
      </c>
      <c r="G117" s="612" t="s">
        <v>371</v>
      </c>
      <c r="H117" s="612" t="s">
        <v>35</v>
      </c>
      <c r="I117" s="612" t="s">
        <v>36</v>
      </c>
      <c r="J117" s="612" t="s">
        <v>171</v>
      </c>
      <c r="K117" s="612" t="s">
        <v>672</v>
      </c>
      <c r="L117" s="612" t="s">
        <v>3372</v>
      </c>
      <c r="M117" s="612" t="s">
        <v>167</v>
      </c>
      <c r="N117" s="612" t="s">
        <v>3375</v>
      </c>
      <c r="O117" s="613"/>
      <c r="P117" s="612"/>
    </row>
    <row r="118" spans="1:16" hidden="1">
      <c r="A118" s="612" t="s">
        <v>3171</v>
      </c>
      <c r="B118" s="612">
        <v>1</v>
      </c>
      <c r="C118" s="612">
        <v>10</v>
      </c>
      <c r="D118" s="612" t="s">
        <v>53</v>
      </c>
      <c r="E118" s="612">
        <v>31136</v>
      </c>
      <c r="F118" s="612" t="s">
        <v>34</v>
      </c>
      <c r="G118" s="612" t="s">
        <v>189</v>
      </c>
      <c r="H118" s="612" t="s">
        <v>57</v>
      </c>
      <c r="I118" s="612" t="s">
        <v>3172</v>
      </c>
      <c r="J118" s="612" t="s">
        <v>42</v>
      </c>
      <c r="K118" s="612" t="s">
        <v>337</v>
      </c>
      <c r="L118" s="612" t="s">
        <v>3372</v>
      </c>
      <c r="M118" s="612" t="s">
        <v>43</v>
      </c>
      <c r="N118" s="612" t="s">
        <v>3375</v>
      </c>
      <c r="O118" s="613"/>
      <c r="P118" s="612"/>
    </row>
    <row r="119" spans="1:16" hidden="1">
      <c r="A119" s="612" t="s">
        <v>1173</v>
      </c>
      <c r="B119" s="612">
        <v>1</v>
      </c>
      <c r="C119" s="612">
        <v>10</v>
      </c>
      <c r="D119" s="612" t="s">
        <v>586</v>
      </c>
      <c r="E119" s="612">
        <v>31147</v>
      </c>
      <c r="F119" s="612" t="s">
        <v>56</v>
      </c>
      <c r="G119" s="612" t="s">
        <v>318</v>
      </c>
      <c r="H119" s="612" t="s">
        <v>35</v>
      </c>
      <c r="I119" s="612" t="s">
        <v>176</v>
      </c>
      <c r="J119" s="612" t="s">
        <v>28</v>
      </c>
      <c r="K119" s="612" t="s">
        <v>1174</v>
      </c>
      <c r="L119" s="612" t="s">
        <v>3372</v>
      </c>
      <c r="M119" s="612" t="s">
        <v>60</v>
      </c>
      <c r="N119" s="612" t="s">
        <v>3376</v>
      </c>
      <c r="O119" s="613"/>
      <c r="P119" s="612"/>
    </row>
    <row r="120" spans="1:16" hidden="1">
      <c r="A120" s="612" t="s">
        <v>92</v>
      </c>
      <c r="B120" s="612">
        <v>1</v>
      </c>
      <c r="C120" s="612">
        <v>10</v>
      </c>
      <c r="D120" s="612" t="s">
        <v>53</v>
      </c>
      <c r="E120" s="612">
        <v>31138</v>
      </c>
      <c r="F120" s="612" t="s">
        <v>34</v>
      </c>
      <c r="G120" s="612" t="s">
        <v>228</v>
      </c>
      <c r="H120" s="612" t="s">
        <v>57</v>
      </c>
      <c r="I120" s="612" t="s">
        <v>94</v>
      </c>
      <c r="J120" s="612" t="s">
        <v>42</v>
      </c>
      <c r="K120" s="612" t="s">
        <v>93</v>
      </c>
      <c r="L120" s="612" t="s">
        <v>3372</v>
      </c>
      <c r="M120" s="612" t="s">
        <v>3356</v>
      </c>
      <c r="N120" s="612" t="s">
        <v>3379</v>
      </c>
      <c r="O120" s="613"/>
      <c r="P120" s="613"/>
    </row>
    <row r="121" spans="1:16" hidden="1">
      <c r="A121" s="612" t="s">
        <v>255</v>
      </c>
      <c r="B121" s="612">
        <v>1</v>
      </c>
      <c r="C121" s="612">
        <v>10</v>
      </c>
      <c r="D121" s="612" t="s">
        <v>53</v>
      </c>
      <c r="E121" s="612">
        <v>31144</v>
      </c>
      <c r="F121" s="612" t="s">
        <v>34</v>
      </c>
      <c r="G121" s="612" t="s">
        <v>61</v>
      </c>
      <c r="H121" s="612" t="s">
        <v>219</v>
      </c>
      <c r="I121" s="612" t="s">
        <v>73</v>
      </c>
      <c r="J121" s="612" t="s">
        <v>42</v>
      </c>
      <c r="K121" s="612" t="s">
        <v>63</v>
      </c>
      <c r="L121" s="612" t="s">
        <v>3372</v>
      </c>
      <c r="M121" s="612" t="s">
        <v>60</v>
      </c>
      <c r="N121" s="612" t="s">
        <v>3375</v>
      </c>
      <c r="O121" s="613"/>
      <c r="P121" s="612"/>
    </row>
    <row r="122" spans="1:16" hidden="1">
      <c r="A122" s="612" t="s">
        <v>62</v>
      </c>
      <c r="B122" s="612">
        <v>1</v>
      </c>
      <c r="C122" s="612">
        <v>10</v>
      </c>
      <c r="D122" s="612" t="s">
        <v>53</v>
      </c>
      <c r="E122" s="612">
        <v>31142</v>
      </c>
      <c r="F122" s="612" t="s">
        <v>34</v>
      </c>
      <c r="G122" s="612" t="s">
        <v>61</v>
      </c>
      <c r="H122" s="612" t="s">
        <v>219</v>
      </c>
      <c r="I122" s="612" t="s">
        <v>244</v>
      </c>
      <c r="J122" s="612" t="s">
        <v>42</v>
      </c>
      <c r="K122" s="612" t="s">
        <v>63</v>
      </c>
      <c r="L122" s="612" t="s">
        <v>3372</v>
      </c>
      <c r="M122" s="612" t="s">
        <v>60</v>
      </c>
      <c r="N122" s="612" t="s">
        <v>3379</v>
      </c>
      <c r="O122" s="613"/>
      <c r="P122" s="613"/>
    </row>
    <row r="123" spans="1:16" hidden="1">
      <c r="A123" s="612" t="s">
        <v>3188</v>
      </c>
      <c r="B123" s="612">
        <v>1</v>
      </c>
      <c r="C123" s="612">
        <v>10</v>
      </c>
      <c r="D123" s="612" t="s">
        <v>53</v>
      </c>
      <c r="E123" s="612">
        <v>31154</v>
      </c>
      <c r="F123" s="612" t="s">
        <v>34</v>
      </c>
      <c r="G123" s="612" t="s">
        <v>2889</v>
      </c>
      <c r="H123" s="612" t="s">
        <v>48</v>
      </c>
      <c r="I123" s="612" t="s">
        <v>49</v>
      </c>
      <c r="J123" s="612" t="s">
        <v>42</v>
      </c>
      <c r="K123" s="612" t="s">
        <v>88</v>
      </c>
      <c r="L123" s="612" t="s">
        <v>3372</v>
      </c>
      <c r="M123" s="612"/>
      <c r="N123" s="612" t="s">
        <v>3384</v>
      </c>
      <c r="O123" s="613"/>
      <c r="P123" s="613"/>
    </row>
    <row r="124" spans="1:16" hidden="1">
      <c r="A124" s="612" t="s">
        <v>1827</v>
      </c>
      <c r="B124" s="612">
        <v>1</v>
      </c>
      <c r="C124" s="612">
        <v>9</v>
      </c>
      <c r="D124" s="612" t="s">
        <v>146</v>
      </c>
      <c r="E124" s="612">
        <v>31178</v>
      </c>
      <c r="F124" s="612" t="s">
        <v>56</v>
      </c>
      <c r="G124" s="612" t="s">
        <v>2936</v>
      </c>
      <c r="H124" s="612" t="s">
        <v>35</v>
      </c>
      <c r="I124" s="612" t="s">
        <v>176</v>
      </c>
      <c r="J124" s="612" t="s">
        <v>28</v>
      </c>
      <c r="K124" s="612" t="s">
        <v>148</v>
      </c>
      <c r="L124" s="612" t="s">
        <v>3403</v>
      </c>
      <c r="M124" s="612"/>
      <c r="N124" s="612" t="s">
        <v>3379</v>
      </c>
      <c r="O124" s="613"/>
      <c r="P124" s="613"/>
    </row>
    <row r="125" spans="1:16" hidden="1">
      <c r="A125" s="612" t="s">
        <v>386</v>
      </c>
      <c r="B125" s="612">
        <v>1</v>
      </c>
      <c r="C125" s="612">
        <v>9</v>
      </c>
      <c r="D125" s="612" t="s">
        <v>163</v>
      </c>
      <c r="E125" s="612">
        <v>31170</v>
      </c>
      <c r="F125" s="612" t="s">
        <v>34</v>
      </c>
      <c r="G125" s="612" t="s">
        <v>45</v>
      </c>
      <c r="H125" s="612" t="s">
        <v>57</v>
      </c>
      <c r="I125" s="612" t="s">
        <v>1437</v>
      </c>
      <c r="J125" s="612" t="s">
        <v>42</v>
      </c>
      <c r="K125" s="612" t="s">
        <v>243</v>
      </c>
      <c r="L125" s="612" t="s">
        <v>3403</v>
      </c>
      <c r="M125" s="612" t="s">
        <v>43</v>
      </c>
      <c r="N125" s="612" t="s">
        <v>390</v>
      </c>
      <c r="O125" s="613"/>
      <c r="P125" s="612"/>
    </row>
    <row r="126" spans="1:16" hidden="1">
      <c r="A126" s="612" t="s">
        <v>605</v>
      </c>
      <c r="B126" s="612">
        <v>1</v>
      </c>
      <c r="C126" s="612">
        <v>9</v>
      </c>
      <c r="D126" s="612" t="s">
        <v>268</v>
      </c>
      <c r="E126" s="612">
        <v>31167</v>
      </c>
      <c r="F126" s="612" t="s">
        <v>34</v>
      </c>
      <c r="G126" s="612" t="s">
        <v>330</v>
      </c>
      <c r="H126" s="612" t="s">
        <v>35</v>
      </c>
      <c r="I126" s="612" t="s">
        <v>36</v>
      </c>
      <c r="J126" s="612" t="s">
        <v>28</v>
      </c>
      <c r="K126" s="612" t="s">
        <v>63</v>
      </c>
      <c r="L126" s="612" t="s">
        <v>3403</v>
      </c>
      <c r="M126" s="612" t="s">
        <v>60</v>
      </c>
      <c r="N126" s="612" t="s">
        <v>3375</v>
      </c>
      <c r="O126" s="613"/>
      <c r="P126" s="612"/>
    </row>
    <row r="127" spans="1:16" hidden="1">
      <c r="A127" s="612" t="s">
        <v>3201</v>
      </c>
      <c r="B127" s="612">
        <v>1</v>
      </c>
      <c r="C127" s="612">
        <v>9</v>
      </c>
      <c r="D127" s="612" t="s">
        <v>172</v>
      </c>
      <c r="E127" s="612">
        <v>31185</v>
      </c>
      <c r="F127" s="612" t="s">
        <v>34</v>
      </c>
      <c r="G127" s="612" t="s">
        <v>2991</v>
      </c>
      <c r="H127" s="612" t="s">
        <v>35</v>
      </c>
      <c r="I127" s="612" t="s">
        <v>36</v>
      </c>
      <c r="J127" s="612" t="s">
        <v>171</v>
      </c>
      <c r="K127" s="612" t="s">
        <v>63</v>
      </c>
      <c r="L127" s="612" t="s">
        <v>3403</v>
      </c>
      <c r="M127" s="612"/>
      <c r="N127" s="612" t="s">
        <v>390</v>
      </c>
      <c r="O127" s="613"/>
      <c r="P127" s="612"/>
    </row>
    <row r="128" spans="1:16" hidden="1">
      <c r="A128" s="612" t="s">
        <v>3201</v>
      </c>
      <c r="B128" s="612">
        <v>1</v>
      </c>
      <c r="C128" s="612">
        <v>9</v>
      </c>
      <c r="D128" s="612" t="s">
        <v>172</v>
      </c>
      <c r="E128" s="612">
        <v>31186</v>
      </c>
      <c r="F128" s="612" t="s">
        <v>34</v>
      </c>
      <c r="G128" s="612" t="s">
        <v>2991</v>
      </c>
      <c r="H128" s="612" t="s">
        <v>35</v>
      </c>
      <c r="I128" s="612" t="s">
        <v>36</v>
      </c>
      <c r="J128" s="612" t="s">
        <v>171</v>
      </c>
      <c r="K128" s="612" t="s">
        <v>63</v>
      </c>
      <c r="L128" s="612" t="s">
        <v>3403</v>
      </c>
      <c r="M128" s="612"/>
      <c r="N128" s="612" t="s">
        <v>390</v>
      </c>
      <c r="O128" s="613"/>
      <c r="P128" s="612"/>
    </row>
    <row r="129" spans="1:16" hidden="1">
      <c r="A129" s="612" t="s">
        <v>3201</v>
      </c>
      <c r="B129" s="612">
        <v>1</v>
      </c>
      <c r="C129" s="612">
        <v>9</v>
      </c>
      <c r="D129" s="612" t="s">
        <v>172</v>
      </c>
      <c r="E129" s="612">
        <v>31191</v>
      </c>
      <c r="F129" s="612" t="s">
        <v>34</v>
      </c>
      <c r="G129" s="612" t="s">
        <v>2991</v>
      </c>
      <c r="H129" s="612" t="s">
        <v>35</v>
      </c>
      <c r="I129" s="612" t="s">
        <v>36</v>
      </c>
      <c r="J129" s="612" t="s">
        <v>171</v>
      </c>
      <c r="K129" s="612" t="s">
        <v>63</v>
      </c>
      <c r="L129" s="612" t="s">
        <v>3403</v>
      </c>
      <c r="M129" s="612"/>
      <c r="N129" s="612" t="s">
        <v>390</v>
      </c>
      <c r="O129" s="613"/>
      <c r="P129" s="612"/>
    </row>
    <row r="130" spans="1:16" hidden="1">
      <c r="A130" s="612" t="s">
        <v>3201</v>
      </c>
      <c r="B130" s="612">
        <v>1</v>
      </c>
      <c r="C130" s="612">
        <v>9</v>
      </c>
      <c r="D130" s="612" t="s">
        <v>172</v>
      </c>
      <c r="E130" s="612">
        <v>31192</v>
      </c>
      <c r="F130" s="612" t="s">
        <v>34</v>
      </c>
      <c r="G130" s="612" t="s">
        <v>2991</v>
      </c>
      <c r="H130" s="612" t="s">
        <v>35</v>
      </c>
      <c r="I130" s="612" t="s">
        <v>36</v>
      </c>
      <c r="J130" s="612" t="s">
        <v>171</v>
      </c>
      <c r="K130" s="612" t="s">
        <v>63</v>
      </c>
      <c r="L130" s="612" t="s">
        <v>3403</v>
      </c>
      <c r="M130" s="612"/>
      <c r="N130" s="612" t="s">
        <v>390</v>
      </c>
      <c r="O130" s="613"/>
      <c r="P130" s="612"/>
    </row>
    <row r="131" spans="1:16" hidden="1">
      <c r="A131" s="612" t="s">
        <v>3201</v>
      </c>
      <c r="B131" s="612">
        <v>1</v>
      </c>
      <c r="C131" s="612">
        <v>9</v>
      </c>
      <c r="D131" s="612" t="s">
        <v>172</v>
      </c>
      <c r="E131" s="612">
        <v>31187</v>
      </c>
      <c r="F131" s="612" t="s">
        <v>56</v>
      </c>
      <c r="G131" s="612" t="s">
        <v>2991</v>
      </c>
      <c r="H131" s="612" t="s">
        <v>35</v>
      </c>
      <c r="I131" s="612" t="s">
        <v>176</v>
      </c>
      <c r="J131" s="612" t="s">
        <v>171</v>
      </c>
      <c r="K131" s="612" t="s">
        <v>63</v>
      </c>
      <c r="L131" s="612" t="s">
        <v>3403</v>
      </c>
      <c r="M131" s="612"/>
      <c r="N131" s="612" t="s">
        <v>390</v>
      </c>
      <c r="O131" s="613"/>
      <c r="P131" s="612"/>
    </row>
    <row r="132" spans="1:16" hidden="1">
      <c r="A132" s="612" t="s">
        <v>3201</v>
      </c>
      <c r="B132" s="612">
        <v>1</v>
      </c>
      <c r="C132" s="612">
        <v>9</v>
      </c>
      <c r="D132" s="612" t="s">
        <v>172</v>
      </c>
      <c r="E132" s="612">
        <v>31188</v>
      </c>
      <c r="F132" s="612" t="s">
        <v>56</v>
      </c>
      <c r="G132" s="612" t="s">
        <v>2991</v>
      </c>
      <c r="H132" s="612" t="s">
        <v>35</v>
      </c>
      <c r="I132" s="612" t="s">
        <v>176</v>
      </c>
      <c r="J132" s="612" t="s">
        <v>171</v>
      </c>
      <c r="K132" s="612" t="s">
        <v>63</v>
      </c>
      <c r="L132" s="612" t="s">
        <v>3403</v>
      </c>
      <c r="M132" s="612"/>
      <c r="N132" s="612" t="s">
        <v>390</v>
      </c>
      <c r="O132" s="613"/>
      <c r="P132" s="612"/>
    </row>
    <row r="133" spans="1:16" hidden="1">
      <c r="A133" s="612" t="s">
        <v>3201</v>
      </c>
      <c r="B133" s="612">
        <v>1</v>
      </c>
      <c r="C133" s="612">
        <v>9</v>
      </c>
      <c r="D133" s="612" t="s">
        <v>172</v>
      </c>
      <c r="E133" s="612">
        <v>31189</v>
      </c>
      <c r="F133" s="612" t="s">
        <v>56</v>
      </c>
      <c r="G133" s="612" t="s">
        <v>2991</v>
      </c>
      <c r="H133" s="612" t="s">
        <v>35</v>
      </c>
      <c r="I133" s="612" t="s">
        <v>176</v>
      </c>
      <c r="J133" s="612" t="s">
        <v>171</v>
      </c>
      <c r="K133" s="612" t="s">
        <v>63</v>
      </c>
      <c r="L133" s="612" t="s">
        <v>3403</v>
      </c>
      <c r="M133" s="612"/>
      <c r="N133" s="612" t="s">
        <v>390</v>
      </c>
      <c r="O133" s="613"/>
      <c r="P133" s="612"/>
    </row>
    <row r="134" spans="1:16" hidden="1">
      <c r="A134" s="612" t="s">
        <v>3201</v>
      </c>
      <c r="B134" s="612">
        <v>1</v>
      </c>
      <c r="C134" s="612">
        <v>9</v>
      </c>
      <c r="D134" s="612" t="s">
        <v>172</v>
      </c>
      <c r="E134" s="612">
        <v>31190</v>
      </c>
      <c r="F134" s="612" t="s">
        <v>56</v>
      </c>
      <c r="G134" s="612" t="s">
        <v>2991</v>
      </c>
      <c r="H134" s="612" t="s">
        <v>35</v>
      </c>
      <c r="I134" s="612" t="s">
        <v>176</v>
      </c>
      <c r="J134" s="612" t="s">
        <v>171</v>
      </c>
      <c r="K134" s="612" t="s">
        <v>63</v>
      </c>
      <c r="L134" s="612" t="s">
        <v>3403</v>
      </c>
      <c r="M134" s="612"/>
      <c r="N134" s="612" t="s">
        <v>390</v>
      </c>
      <c r="O134" s="613"/>
      <c r="P134" s="612"/>
    </row>
    <row r="135" spans="1:16" hidden="1">
      <c r="A135" s="612" t="s">
        <v>528</v>
      </c>
      <c r="B135" s="612">
        <v>1</v>
      </c>
      <c r="C135" s="612">
        <v>9</v>
      </c>
      <c r="D135" s="612" t="s">
        <v>172</v>
      </c>
      <c r="E135" s="612">
        <v>31173</v>
      </c>
      <c r="F135" s="612" t="s">
        <v>34</v>
      </c>
      <c r="G135" s="612" t="s">
        <v>1808</v>
      </c>
      <c r="H135" s="612" t="s">
        <v>48</v>
      </c>
      <c r="I135" s="612" t="s">
        <v>79</v>
      </c>
      <c r="J135" s="612" t="s">
        <v>171</v>
      </c>
      <c r="K135" s="612" t="s">
        <v>529</v>
      </c>
      <c r="L135" s="612" t="s">
        <v>3403</v>
      </c>
      <c r="M135" s="612"/>
      <c r="N135" s="612" t="s">
        <v>3392</v>
      </c>
      <c r="O135" s="613"/>
      <c r="P135" s="613"/>
    </row>
    <row r="136" spans="1:16" hidden="1">
      <c r="A136" s="612" t="s">
        <v>2270</v>
      </c>
      <c r="B136" s="612">
        <v>1</v>
      </c>
      <c r="C136" s="612">
        <v>9</v>
      </c>
      <c r="D136" s="612" t="s">
        <v>146</v>
      </c>
      <c r="E136" s="612">
        <v>31180</v>
      </c>
      <c r="F136" s="612" t="s">
        <v>56</v>
      </c>
      <c r="G136" s="612" t="s">
        <v>614</v>
      </c>
      <c r="H136" s="612" t="s">
        <v>35</v>
      </c>
      <c r="I136" s="612" t="s">
        <v>176</v>
      </c>
      <c r="J136" s="612" t="s">
        <v>28</v>
      </c>
      <c r="K136" s="612" t="s">
        <v>2092</v>
      </c>
      <c r="L136" s="612" t="s">
        <v>3403</v>
      </c>
      <c r="M136" s="612"/>
      <c r="N136" s="612" t="s">
        <v>3383</v>
      </c>
      <c r="O136" s="613"/>
      <c r="P136" s="613"/>
    </row>
    <row r="137" spans="1:16" hidden="1">
      <c r="A137" s="612" t="s">
        <v>836</v>
      </c>
      <c r="B137" s="612">
        <v>1</v>
      </c>
      <c r="C137" s="612">
        <v>8</v>
      </c>
      <c r="D137" s="612" t="s">
        <v>826</v>
      </c>
      <c r="E137" s="612">
        <v>31216</v>
      </c>
      <c r="F137" s="612" t="s">
        <v>34</v>
      </c>
      <c r="G137" s="612" t="s">
        <v>835</v>
      </c>
      <c r="H137" s="612" t="s">
        <v>3221</v>
      </c>
      <c r="I137" s="612" t="s">
        <v>3222</v>
      </c>
      <c r="J137" s="612" t="s">
        <v>119</v>
      </c>
      <c r="K137" s="612" t="s">
        <v>119</v>
      </c>
      <c r="L137" s="612" t="s">
        <v>3404</v>
      </c>
      <c r="M137" s="612" t="s">
        <v>3324</v>
      </c>
      <c r="N137" s="612" t="s">
        <v>2526</v>
      </c>
      <c r="O137" s="613"/>
      <c r="P137" s="612"/>
    </row>
    <row r="138" spans="1:16" hidden="1">
      <c r="A138" s="612" t="s">
        <v>156</v>
      </c>
      <c r="B138" s="612">
        <v>1</v>
      </c>
      <c r="C138" s="612">
        <v>8</v>
      </c>
      <c r="D138" s="612" t="s">
        <v>53</v>
      </c>
      <c r="E138" s="612">
        <v>31204</v>
      </c>
      <c r="F138" s="612" t="s">
        <v>34</v>
      </c>
      <c r="G138" s="612" t="s">
        <v>45</v>
      </c>
      <c r="H138" s="612" t="s">
        <v>57</v>
      </c>
      <c r="I138" s="612" t="s">
        <v>308</v>
      </c>
      <c r="J138" s="612" t="s">
        <v>42</v>
      </c>
      <c r="K138" s="612" t="s">
        <v>97</v>
      </c>
      <c r="L138" s="612" t="s">
        <v>3404</v>
      </c>
      <c r="M138" s="612" t="s">
        <v>43</v>
      </c>
      <c r="N138" s="612" t="s">
        <v>3375</v>
      </c>
      <c r="O138" s="613"/>
      <c r="P138" s="612"/>
    </row>
    <row r="139" spans="1:16" hidden="1">
      <c r="A139" s="612" t="s">
        <v>3226</v>
      </c>
      <c r="B139" s="612">
        <v>2</v>
      </c>
      <c r="C139" s="612">
        <v>8</v>
      </c>
      <c r="D139" s="612" t="s">
        <v>53</v>
      </c>
      <c r="E139" s="612">
        <v>31160</v>
      </c>
      <c r="F139" s="612" t="s">
        <v>34</v>
      </c>
      <c r="G139" s="612" t="s">
        <v>699</v>
      </c>
      <c r="H139" s="612" t="s">
        <v>35</v>
      </c>
      <c r="I139" s="612" t="s">
        <v>711</v>
      </c>
      <c r="J139" s="612" t="s">
        <v>42</v>
      </c>
      <c r="K139" s="612" t="s">
        <v>63</v>
      </c>
      <c r="L139" s="612" t="s">
        <v>3404</v>
      </c>
      <c r="M139" s="612" t="s">
        <v>167</v>
      </c>
      <c r="N139" s="612" t="s">
        <v>3405</v>
      </c>
      <c r="O139" s="613"/>
      <c r="P139" s="612"/>
    </row>
    <row r="140" spans="1:16" hidden="1">
      <c r="A140" s="612" t="s">
        <v>3226</v>
      </c>
      <c r="B140" s="612">
        <v>2</v>
      </c>
      <c r="C140" s="612">
        <v>8</v>
      </c>
      <c r="D140" s="612" t="s">
        <v>53</v>
      </c>
      <c r="E140" s="612">
        <v>31162</v>
      </c>
      <c r="F140" s="612" t="s">
        <v>34</v>
      </c>
      <c r="G140" s="612" t="s">
        <v>699</v>
      </c>
      <c r="H140" s="612" t="s">
        <v>35</v>
      </c>
      <c r="I140" s="612" t="s">
        <v>36</v>
      </c>
      <c r="J140" s="612" t="s">
        <v>42</v>
      </c>
      <c r="K140" s="612" t="s">
        <v>63</v>
      </c>
      <c r="L140" s="612" t="s">
        <v>3404</v>
      </c>
      <c r="M140" s="612" t="s">
        <v>167</v>
      </c>
      <c r="N140" s="612" t="s">
        <v>3405</v>
      </c>
      <c r="O140" s="613"/>
      <c r="P140" s="612"/>
    </row>
    <row r="141" spans="1:16" hidden="1">
      <c r="A141" s="612" t="s">
        <v>3226</v>
      </c>
      <c r="B141" s="612">
        <v>2</v>
      </c>
      <c r="C141" s="612">
        <v>8</v>
      </c>
      <c r="D141" s="612" t="s">
        <v>53</v>
      </c>
      <c r="E141" s="612">
        <v>31165</v>
      </c>
      <c r="F141" s="612" t="s">
        <v>34</v>
      </c>
      <c r="G141" s="612" t="s">
        <v>699</v>
      </c>
      <c r="H141" s="612" t="s">
        <v>48</v>
      </c>
      <c r="I141" s="612" t="s">
        <v>49</v>
      </c>
      <c r="J141" s="612" t="s">
        <v>42</v>
      </c>
      <c r="K141" s="612" t="s">
        <v>63</v>
      </c>
      <c r="L141" s="612" t="s">
        <v>3404</v>
      </c>
      <c r="M141" s="612" t="s">
        <v>167</v>
      </c>
      <c r="N141" s="612" t="s">
        <v>3405</v>
      </c>
      <c r="O141" s="613"/>
      <c r="P141" s="612"/>
    </row>
    <row r="142" spans="1:16" hidden="1">
      <c r="A142" s="612" t="s">
        <v>3226</v>
      </c>
      <c r="B142" s="612">
        <v>2</v>
      </c>
      <c r="C142" s="612">
        <v>8</v>
      </c>
      <c r="D142" s="612" t="s">
        <v>53</v>
      </c>
      <c r="E142" s="612">
        <v>31161</v>
      </c>
      <c r="F142" s="612" t="s">
        <v>56</v>
      </c>
      <c r="G142" s="612" t="s">
        <v>699</v>
      </c>
      <c r="H142" s="612" t="s">
        <v>35</v>
      </c>
      <c r="I142" s="612" t="s">
        <v>176</v>
      </c>
      <c r="J142" s="612" t="s">
        <v>42</v>
      </c>
      <c r="K142" s="612" t="s">
        <v>63</v>
      </c>
      <c r="L142" s="612" t="s">
        <v>3404</v>
      </c>
      <c r="M142" s="612" t="s">
        <v>167</v>
      </c>
      <c r="N142" s="612" t="s">
        <v>3405</v>
      </c>
      <c r="O142" s="613"/>
      <c r="P142" s="612"/>
    </row>
    <row r="143" spans="1:16" hidden="1">
      <c r="A143" s="612" t="s">
        <v>3226</v>
      </c>
      <c r="B143" s="612">
        <v>2</v>
      </c>
      <c r="C143" s="612">
        <v>8</v>
      </c>
      <c r="D143" s="612" t="s">
        <v>53</v>
      </c>
      <c r="E143" s="612">
        <v>31163</v>
      </c>
      <c r="F143" s="612" t="s">
        <v>56</v>
      </c>
      <c r="G143" s="612" t="s">
        <v>699</v>
      </c>
      <c r="H143" s="612" t="s">
        <v>35</v>
      </c>
      <c r="I143" s="612" t="s">
        <v>176</v>
      </c>
      <c r="J143" s="612" t="s">
        <v>42</v>
      </c>
      <c r="K143" s="612" t="s">
        <v>63</v>
      </c>
      <c r="L143" s="612" t="s">
        <v>3404</v>
      </c>
      <c r="M143" s="612" t="s">
        <v>167</v>
      </c>
      <c r="N143" s="612" t="s">
        <v>3405</v>
      </c>
      <c r="O143" s="613"/>
      <c r="P143" s="612"/>
    </row>
    <row r="144" spans="1:16" hidden="1">
      <c r="A144" s="612" t="s">
        <v>3226</v>
      </c>
      <c r="B144" s="612">
        <v>1</v>
      </c>
      <c r="C144" s="612">
        <v>8</v>
      </c>
      <c r="D144" s="612" t="s">
        <v>163</v>
      </c>
      <c r="E144" s="612">
        <v>31164</v>
      </c>
      <c r="F144" s="612" t="s">
        <v>34</v>
      </c>
      <c r="G144" s="612" t="s">
        <v>699</v>
      </c>
      <c r="H144" s="612" t="s">
        <v>48</v>
      </c>
      <c r="I144" s="612" t="s">
        <v>49</v>
      </c>
      <c r="J144" s="612" t="s">
        <v>42</v>
      </c>
      <c r="K144" s="612" t="s">
        <v>63</v>
      </c>
      <c r="L144" s="612" t="s">
        <v>3404</v>
      </c>
      <c r="M144" s="612" t="s">
        <v>167</v>
      </c>
      <c r="N144" s="612" t="s">
        <v>3405</v>
      </c>
      <c r="O144" s="613"/>
      <c r="P144" s="612"/>
    </row>
    <row r="145" spans="1:16" hidden="1">
      <c r="A145" s="612" t="s">
        <v>869</v>
      </c>
      <c r="B145" s="612">
        <v>1</v>
      </c>
      <c r="C145" s="612">
        <v>8</v>
      </c>
      <c r="D145" s="612" t="s">
        <v>53</v>
      </c>
      <c r="E145" s="612">
        <v>31174</v>
      </c>
      <c r="F145" s="612" t="s">
        <v>34</v>
      </c>
      <c r="G145" s="612" t="s">
        <v>189</v>
      </c>
      <c r="H145" s="612" t="s">
        <v>48</v>
      </c>
      <c r="I145" s="612" t="s">
        <v>131</v>
      </c>
      <c r="J145" s="612" t="s">
        <v>42</v>
      </c>
      <c r="K145" s="612" t="s">
        <v>337</v>
      </c>
      <c r="L145" s="612" t="s">
        <v>3404</v>
      </c>
      <c r="M145" s="612" t="s">
        <v>43</v>
      </c>
      <c r="N145" s="612" t="s">
        <v>390</v>
      </c>
      <c r="O145" s="613"/>
      <c r="P145" s="612"/>
    </row>
    <row r="146" spans="1:16" hidden="1">
      <c r="A146" s="612" t="s">
        <v>3236</v>
      </c>
      <c r="B146" s="612">
        <v>1</v>
      </c>
      <c r="C146" s="612">
        <v>8</v>
      </c>
      <c r="D146" s="612" t="s">
        <v>53</v>
      </c>
      <c r="E146" s="612">
        <v>31196</v>
      </c>
      <c r="F146" s="612" t="s">
        <v>34</v>
      </c>
      <c r="G146" s="612" t="s">
        <v>699</v>
      </c>
      <c r="H146" s="612" t="s">
        <v>57</v>
      </c>
      <c r="I146" s="612" t="s">
        <v>1437</v>
      </c>
      <c r="J146" s="612" t="s">
        <v>42</v>
      </c>
      <c r="K146" s="612" t="s">
        <v>63</v>
      </c>
      <c r="L146" s="612" t="s">
        <v>3404</v>
      </c>
      <c r="M146" s="612" t="s">
        <v>167</v>
      </c>
      <c r="N146" s="612" t="s">
        <v>3405</v>
      </c>
      <c r="O146" s="613"/>
      <c r="P146" s="612"/>
    </row>
    <row r="147" spans="1:16" hidden="1">
      <c r="A147" s="612" t="s">
        <v>3236</v>
      </c>
      <c r="B147" s="612">
        <v>3</v>
      </c>
      <c r="C147" s="612">
        <v>8</v>
      </c>
      <c r="D147" s="612" t="s">
        <v>116</v>
      </c>
      <c r="E147" s="612">
        <v>31194</v>
      </c>
      <c r="F147" s="612" t="s">
        <v>34</v>
      </c>
      <c r="G147" s="612" t="s">
        <v>699</v>
      </c>
      <c r="H147" s="612" t="s">
        <v>48</v>
      </c>
      <c r="I147" s="612" t="s">
        <v>414</v>
      </c>
      <c r="J147" s="612" t="s">
        <v>42</v>
      </c>
      <c r="K147" s="612" t="s">
        <v>63</v>
      </c>
      <c r="L147" s="612" t="s">
        <v>3404</v>
      </c>
      <c r="M147" s="612" t="s">
        <v>167</v>
      </c>
      <c r="N147" s="612" t="s">
        <v>3405</v>
      </c>
      <c r="O147" s="613"/>
      <c r="P147" s="612"/>
    </row>
    <row r="148" spans="1:16" hidden="1">
      <c r="A148" s="612" t="s">
        <v>3236</v>
      </c>
      <c r="B148" s="612">
        <v>1</v>
      </c>
      <c r="C148" s="612">
        <v>8</v>
      </c>
      <c r="D148" s="612" t="s">
        <v>116</v>
      </c>
      <c r="E148" s="612">
        <v>31195</v>
      </c>
      <c r="F148" s="612" t="s">
        <v>34</v>
      </c>
      <c r="G148" s="612" t="s">
        <v>699</v>
      </c>
      <c r="H148" s="612" t="s">
        <v>48</v>
      </c>
      <c r="I148" s="612" t="s">
        <v>414</v>
      </c>
      <c r="J148" s="612" t="s">
        <v>42</v>
      </c>
      <c r="K148" s="612" t="s">
        <v>63</v>
      </c>
      <c r="L148" s="612" t="s">
        <v>3404</v>
      </c>
      <c r="M148" s="612" t="s">
        <v>167</v>
      </c>
      <c r="N148" s="612" t="s">
        <v>3405</v>
      </c>
      <c r="O148" s="613"/>
      <c r="P148" s="612"/>
    </row>
    <row r="149" spans="1:16" hidden="1">
      <c r="A149" s="612" t="s">
        <v>3236</v>
      </c>
      <c r="B149" s="612">
        <v>1</v>
      </c>
      <c r="C149" s="612">
        <v>8</v>
      </c>
      <c r="D149" s="612" t="s">
        <v>268</v>
      </c>
      <c r="E149" s="612">
        <v>31128</v>
      </c>
      <c r="F149" s="612" t="s">
        <v>34</v>
      </c>
      <c r="G149" s="612" t="s">
        <v>699</v>
      </c>
      <c r="H149" s="612" t="s">
        <v>48</v>
      </c>
      <c r="I149" s="612" t="s">
        <v>3243</v>
      </c>
      <c r="J149" s="612" t="s">
        <v>28</v>
      </c>
      <c r="K149" s="612" t="s">
        <v>63</v>
      </c>
      <c r="L149" s="612" t="s">
        <v>3404</v>
      </c>
      <c r="M149" s="612" t="s">
        <v>167</v>
      </c>
      <c r="N149" s="612" t="s">
        <v>3405</v>
      </c>
      <c r="O149" s="613"/>
      <c r="P149" s="612"/>
    </row>
    <row r="150" spans="1:16" hidden="1">
      <c r="A150" s="612" t="s">
        <v>3236</v>
      </c>
      <c r="B150" s="612">
        <v>2</v>
      </c>
      <c r="C150" s="612">
        <v>8</v>
      </c>
      <c r="D150" s="612" t="s">
        <v>268</v>
      </c>
      <c r="E150" s="612">
        <v>31129</v>
      </c>
      <c r="F150" s="612" t="s">
        <v>34</v>
      </c>
      <c r="G150" s="612" t="s">
        <v>699</v>
      </c>
      <c r="H150" s="612" t="s">
        <v>35</v>
      </c>
      <c r="I150" s="612" t="s">
        <v>36</v>
      </c>
      <c r="J150" s="612" t="s">
        <v>28</v>
      </c>
      <c r="K150" s="612" t="s">
        <v>63</v>
      </c>
      <c r="L150" s="612" t="s">
        <v>3404</v>
      </c>
      <c r="M150" s="612" t="s">
        <v>167</v>
      </c>
      <c r="N150" s="612" t="s">
        <v>3405</v>
      </c>
      <c r="O150" s="613"/>
      <c r="P150" s="612"/>
    </row>
    <row r="151" spans="1:16" hidden="1">
      <c r="A151" s="612" t="s">
        <v>3236</v>
      </c>
      <c r="B151" s="612">
        <v>2</v>
      </c>
      <c r="C151" s="612">
        <v>8</v>
      </c>
      <c r="D151" s="612" t="s">
        <v>268</v>
      </c>
      <c r="E151" s="612">
        <v>31130</v>
      </c>
      <c r="F151" s="612" t="s">
        <v>56</v>
      </c>
      <c r="G151" s="612" t="s">
        <v>699</v>
      </c>
      <c r="H151" s="612" t="s">
        <v>35</v>
      </c>
      <c r="I151" s="612" t="s">
        <v>176</v>
      </c>
      <c r="J151" s="612" t="s">
        <v>28</v>
      </c>
      <c r="K151" s="612" t="s">
        <v>63</v>
      </c>
      <c r="L151" s="612" t="s">
        <v>3404</v>
      </c>
      <c r="M151" s="612" t="s">
        <v>167</v>
      </c>
      <c r="N151" s="612" t="s">
        <v>3405</v>
      </c>
      <c r="O151" s="613"/>
      <c r="P151" s="612"/>
    </row>
    <row r="152" spans="1:16" hidden="1">
      <c r="A152" s="612" t="s">
        <v>3236</v>
      </c>
      <c r="B152" s="612">
        <v>2</v>
      </c>
      <c r="C152" s="612">
        <v>8</v>
      </c>
      <c r="D152" s="612" t="s">
        <v>616</v>
      </c>
      <c r="E152" s="612">
        <v>31131</v>
      </c>
      <c r="F152" s="612" t="s">
        <v>34</v>
      </c>
      <c r="G152" s="612" t="s">
        <v>699</v>
      </c>
      <c r="H152" s="612" t="s">
        <v>35</v>
      </c>
      <c r="I152" s="612" t="s">
        <v>612</v>
      </c>
      <c r="J152" s="612" t="s">
        <v>28</v>
      </c>
      <c r="K152" s="612" t="s">
        <v>63</v>
      </c>
      <c r="L152" s="612" t="s">
        <v>3404</v>
      </c>
      <c r="M152" s="612" t="s">
        <v>167</v>
      </c>
      <c r="N152" s="612" t="s">
        <v>3405</v>
      </c>
      <c r="O152" s="613"/>
      <c r="P152" s="612"/>
    </row>
    <row r="153" spans="1:16" hidden="1">
      <c r="A153" s="612" t="s">
        <v>3236</v>
      </c>
      <c r="B153" s="612">
        <v>2</v>
      </c>
      <c r="C153" s="612">
        <v>8</v>
      </c>
      <c r="D153" s="612" t="s">
        <v>616</v>
      </c>
      <c r="E153" s="612">
        <v>31132</v>
      </c>
      <c r="F153" s="612" t="s">
        <v>56</v>
      </c>
      <c r="G153" s="612" t="s">
        <v>699</v>
      </c>
      <c r="H153" s="612" t="s">
        <v>35</v>
      </c>
      <c r="I153" s="612" t="s">
        <v>760</v>
      </c>
      <c r="J153" s="612" t="s">
        <v>28</v>
      </c>
      <c r="K153" s="612" t="s">
        <v>63</v>
      </c>
      <c r="L153" s="612" t="s">
        <v>3404</v>
      </c>
      <c r="M153" s="612" t="s">
        <v>167</v>
      </c>
      <c r="N153" s="612" t="s">
        <v>3405</v>
      </c>
      <c r="O153" s="613"/>
      <c r="P153" s="612"/>
    </row>
    <row r="154" spans="1:16" hidden="1">
      <c r="A154" s="612" t="s">
        <v>3236</v>
      </c>
      <c r="B154" s="612">
        <v>1</v>
      </c>
      <c r="C154" s="612">
        <v>8</v>
      </c>
      <c r="D154" s="612" t="s">
        <v>3253</v>
      </c>
      <c r="E154" s="612">
        <v>31197</v>
      </c>
      <c r="F154" s="612" t="s">
        <v>34</v>
      </c>
      <c r="G154" s="612" t="s">
        <v>699</v>
      </c>
      <c r="H154" s="612" t="s">
        <v>48</v>
      </c>
      <c r="I154" s="612" t="s">
        <v>414</v>
      </c>
      <c r="J154" s="613"/>
      <c r="K154" s="612" t="s">
        <v>63</v>
      </c>
      <c r="L154" s="612" t="s">
        <v>3404</v>
      </c>
      <c r="M154" s="612" t="s">
        <v>167</v>
      </c>
      <c r="N154" s="612" t="s">
        <v>3405</v>
      </c>
      <c r="O154" s="613"/>
      <c r="P154" s="612"/>
    </row>
    <row r="155" spans="1:16" hidden="1">
      <c r="A155" s="612" t="s">
        <v>2606</v>
      </c>
      <c r="B155" s="612">
        <v>1</v>
      </c>
      <c r="C155" s="612">
        <v>8</v>
      </c>
      <c r="D155" s="612" t="s">
        <v>44</v>
      </c>
      <c r="E155" s="612">
        <v>31172</v>
      </c>
      <c r="F155" s="612" t="s">
        <v>34</v>
      </c>
      <c r="G155" s="612" t="s">
        <v>103</v>
      </c>
      <c r="H155" s="612" t="s">
        <v>48</v>
      </c>
      <c r="I155" s="612" t="s">
        <v>120</v>
      </c>
      <c r="J155" s="612" t="s">
        <v>42</v>
      </c>
      <c r="K155" s="612" t="s">
        <v>391</v>
      </c>
      <c r="L155" s="612" t="s">
        <v>3404</v>
      </c>
      <c r="M155" s="612" t="s">
        <v>167</v>
      </c>
      <c r="N155" s="612" t="s">
        <v>3379</v>
      </c>
      <c r="O155" s="613"/>
      <c r="P155" s="613"/>
    </row>
    <row r="156" spans="1:16" hidden="1">
      <c r="A156" s="612" t="s">
        <v>921</v>
      </c>
      <c r="B156" s="612">
        <v>1</v>
      </c>
      <c r="C156" s="612">
        <v>8</v>
      </c>
      <c r="D156" s="612" t="s">
        <v>116</v>
      </c>
      <c r="E156" s="612">
        <v>31193</v>
      </c>
      <c r="F156" s="612" t="s">
        <v>34</v>
      </c>
      <c r="G156" s="612" t="s">
        <v>158</v>
      </c>
      <c r="H156" s="612" t="s">
        <v>57</v>
      </c>
      <c r="I156" s="612" t="s">
        <v>3257</v>
      </c>
      <c r="J156" s="612" t="s">
        <v>42</v>
      </c>
      <c r="K156" s="612" t="s">
        <v>672</v>
      </c>
      <c r="L156" s="612" t="s">
        <v>3404</v>
      </c>
      <c r="M156" s="612" t="s">
        <v>69</v>
      </c>
      <c r="N156" s="612" t="s">
        <v>3401</v>
      </c>
      <c r="O156" s="613"/>
      <c r="P156" s="613"/>
    </row>
    <row r="157" spans="1:16" hidden="1">
      <c r="A157" s="612" t="s">
        <v>590</v>
      </c>
      <c r="B157" s="612">
        <v>1</v>
      </c>
      <c r="C157" s="612">
        <v>8</v>
      </c>
      <c r="D157" s="612" t="s">
        <v>53</v>
      </c>
      <c r="E157" s="612">
        <v>31201</v>
      </c>
      <c r="F157" s="612" t="s">
        <v>34</v>
      </c>
      <c r="G157" s="612" t="s">
        <v>61</v>
      </c>
      <c r="H157" s="612" t="s">
        <v>219</v>
      </c>
      <c r="I157" s="612" t="s">
        <v>247</v>
      </c>
      <c r="J157" s="612" t="s">
        <v>42</v>
      </c>
      <c r="K157" s="612" t="s">
        <v>63</v>
      </c>
      <c r="L157" s="612" t="s">
        <v>3404</v>
      </c>
      <c r="M157" s="612" t="s">
        <v>60</v>
      </c>
      <c r="N157" s="612" t="s">
        <v>3375</v>
      </c>
      <c r="O157" s="613"/>
      <c r="P157" s="612"/>
    </row>
    <row r="158" spans="1:16" hidden="1">
      <c r="A158" s="612" t="s">
        <v>3259</v>
      </c>
      <c r="B158" s="612">
        <v>1</v>
      </c>
      <c r="C158" s="612">
        <v>8</v>
      </c>
      <c r="D158" s="612" t="s">
        <v>53</v>
      </c>
      <c r="E158" s="612">
        <v>31202</v>
      </c>
      <c r="F158" s="612" t="s">
        <v>34</v>
      </c>
      <c r="G158" s="612" t="s">
        <v>103</v>
      </c>
      <c r="H158" s="612" t="s">
        <v>48</v>
      </c>
      <c r="I158" s="612" t="s">
        <v>414</v>
      </c>
      <c r="J158" s="612" t="s">
        <v>42</v>
      </c>
      <c r="K158" s="612" t="s">
        <v>2997</v>
      </c>
      <c r="L158" s="612" t="s">
        <v>3404</v>
      </c>
      <c r="M158" s="612" t="s">
        <v>167</v>
      </c>
      <c r="N158" s="612" t="s">
        <v>3375</v>
      </c>
      <c r="O158" s="613"/>
      <c r="P158" s="612"/>
    </row>
    <row r="159" spans="1:16" hidden="1">
      <c r="A159" s="612" t="s">
        <v>1200</v>
      </c>
      <c r="B159" s="612">
        <v>1</v>
      </c>
      <c r="C159" s="612">
        <v>8</v>
      </c>
      <c r="D159" s="612" t="s">
        <v>586</v>
      </c>
      <c r="E159" s="612">
        <v>31199</v>
      </c>
      <c r="F159" s="612" t="s">
        <v>34</v>
      </c>
      <c r="G159" s="612" t="s">
        <v>31</v>
      </c>
      <c r="H159" s="612" t="s">
        <v>48</v>
      </c>
      <c r="I159" s="612" t="s">
        <v>2831</v>
      </c>
      <c r="J159" s="612" t="s">
        <v>28</v>
      </c>
      <c r="K159" s="612" t="s">
        <v>88</v>
      </c>
      <c r="L159" s="612" t="s">
        <v>3404</v>
      </c>
      <c r="M159" s="612"/>
      <c r="N159" s="612" t="s">
        <v>3384</v>
      </c>
      <c r="O159" s="613"/>
      <c r="P159" s="613"/>
    </row>
    <row r="160" spans="1:16" hidden="1">
      <c r="A160" s="612" t="s">
        <v>1173</v>
      </c>
      <c r="B160" s="612">
        <v>1</v>
      </c>
      <c r="C160" s="612">
        <v>8</v>
      </c>
      <c r="D160" s="612" t="s">
        <v>346</v>
      </c>
      <c r="E160" s="612">
        <v>31206</v>
      </c>
      <c r="F160" s="612" t="s">
        <v>34</v>
      </c>
      <c r="G160" s="612" t="s">
        <v>103</v>
      </c>
      <c r="H160" s="612" t="s">
        <v>35</v>
      </c>
      <c r="I160" s="612" t="s">
        <v>36</v>
      </c>
      <c r="J160" s="612" t="s">
        <v>42</v>
      </c>
      <c r="K160" s="612" t="s">
        <v>1174</v>
      </c>
      <c r="L160" s="612" t="s">
        <v>3404</v>
      </c>
      <c r="M160" s="612" t="s">
        <v>167</v>
      </c>
      <c r="N160" s="612" t="s">
        <v>3379</v>
      </c>
      <c r="O160" s="613"/>
      <c r="P160" s="613"/>
    </row>
    <row r="161" spans="1:16" hidden="1">
      <c r="A161" s="612" t="s">
        <v>1173</v>
      </c>
      <c r="B161" s="612">
        <v>1</v>
      </c>
      <c r="C161" s="612">
        <v>8</v>
      </c>
      <c r="D161" s="612" t="s">
        <v>1049</v>
      </c>
      <c r="E161" s="612">
        <v>31209</v>
      </c>
      <c r="F161" s="612" t="s">
        <v>34</v>
      </c>
      <c r="G161" s="612" t="s">
        <v>103</v>
      </c>
      <c r="H161" s="612" t="s">
        <v>48</v>
      </c>
      <c r="I161" s="612" t="s">
        <v>79</v>
      </c>
      <c r="J161" s="612" t="s">
        <v>42</v>
      </c>
      <c r="K161" s="612" t="s">
        <v>1174</v>
      </c>
      <c r="L161" s="612" t="s">
        <v>3404</v>
      </c>
      <c r="M161" s="612" t="s">
        <v>167</v>
      </c>
      <c r="N161" s="612" t="s">
        <v>3376</v>
      </c>
      <c r="O161" s="613"/>
      <c r="P161" s="612"/>
    </row>
    <row r="162" spans="1:16" hidden="1">
      <c r="A162" s="612" t="s">
        <v>92</v>
      </c>
      <c r="B162" s="612">
        <v>1</v>
      </c>
      <c r="C162" s="612">
        <v>8</v>
      </c>
      <c r="D162" s="612" t="s">
        <v>609</v>
      </c>
      <c r="E162" s="612">
        <v>31198</v>
      </c>
      <c r="F162" s="612" t="s">
        <v>56</v>
      </c>
      <c r="G162" s="612" t="s">
        <v>2936</v>
      </c>
      <c r="H162" s="612" t="s">
        <v>35</v>
      </c>
      <c r="I162" s="612" t="s">
        <v>176</v>
      </c>
      <c r="J162" s="612" t="s">
        <v>28</v>
      </c>
      <c r="K162" s="612" t="s">
        <v>93</v>
      </c>
      <c r="L162" s="612" t="s">
        <v>3404</v>
      </c>
      <c r="M162" s="612"/>
      <c r="N162" s="612" t="s">
        <v>3379</v>
      </c>
      <c r="O162" s="613"/>
      <c r="P162" s="613"/>
    </row>
    <row r="163" spans="1:16" hidden="1">
      <c r="A163" s="612" t="s">
        <v>312</v>
      </c>
      <c r="B163" s="612">
        <v>1</v>
      </c>
      <c r="C163" s="612">
        <v>8</v>
      </c>
      <c r="D163" s="612" t="s">
        <v>53</v>
      </c>
      <c r="E163" s="612">
        <v>31205</v>
      </c>
      <c r="F163" s="612" t="s">
        <v>34</v>
      </c>
      <c r="G163" s="612" t="s">
        <v>241</v>
      </c>
      <c r="H163" s="612" t="s">
        <v>57</v>
      </c>
      <c r="I163" s="612" t="s">
        <v>3267</v>
      </c>
      <c r="J163" s="612" t="s">
        <v>42</v>
      </c>
      <c r="K163" s="612" t="s">
        <v>243</v>
      </c>
      <c r="L163" s="612" t="s">
        <v>3404</v>
      </c>
      <c r="M163" s="612" t="s">
        <v>240</v>
      </c>
      <c r="N163" s="612" t="s">
        <v>3373</v>
      </c>
      <c r="O163" s="613"/>
      <c r="P163" s="613"/>
    </row>
    <row r="164" spans="1:16" hidden="1">
      <c r="A164" s="612" t="s">
        <v>1738</v>
      </c>
      <c r="B164" s="612">
        <v>1</v>
      </c>
      <c r="C164" s="612">
        <v>8</v>
      </c>
      <c r="D164" s="612" t="s">
        <v>146</v>
      </c>
      <c r="E164" s="612">
        <v>31203</v>
      </c>
      <c r="F164" s="612" t="s">
        <v>56</v>
      </c>
      <c r="G164" s="612" t="s">
        <v>614</v>
      </c>
      <c r="H164" s="612" t="s">
        <v>35</v>
      </c>
      <c r="I164" s="612" t="s">
        <v>176</v>
      </c>
      <c r="J164" s="612" t="s">
        <v>28</v>
      </c>
      <c r="K164" s="612" t="s">
        <v>1739</v>
      </c>
      <c r="L164" s="612" t="s">
        <v>3404</v>
      </c>
      <c r="M164" s="612"/>
      <c r="N164" s="612" t="s">
        <v>3383</v>
      </c>
      <c r="O164" s="613"/>
      <c r="P164" s="613"/>
    </row>
    <row r="165" spans="1:16" hidden="1">
      <c r="A165" s="612" t="s">
        <v>494</v>
      </c>
      <c r="B165" s="612">
        <v>1</v>
      </c>
      <c r="C165" s="612">
        <v>8</v>
      </c>
      <c r="D165" s="612" t="s">
        <v>53</v>
      </c>
      <c r="E165" s="612">
        <v>31210</v>
      </c>
      <c r="F165" s="612" t="s">
        <v>34</v>
      </c>
      <c r="G165" s="612" t="s">
        <v>241</v>
      </c>
      <c r="H165" s="612" t="s">
        <v>35</v>
      </c>
      <c r="I165" s="612" t="s">
        <v>36</v>
      </c>
      <c r="J165" s="612" t="s">
        <v>42</v>
      </c>
      <c r="K165" s="612" t="s">
        <v>175</v>
      </c>
      <c r="L165" s="612" t="s">
        <v>3404</v>
      </c>
      <c r="M165" s="612" t="s">
        <v>240</v>
      </c>
      <c r="N165" s="612" t="s">
        <v>3379</v>
      </c>
      <c r="O165" s="613"/>
      <c r="P165" s="613"/>
    </row>
    <row r="166" spans="1:16" hidden="1">
      <c r="A166" s="612" t="s">
        <v>118</v>
      </c>
      <c r="B166" s="612">
        <v>1</v>
      </c>
      <c r="C166" s="612">
        <v>8</v>
      </c>
      <c r="D166" s="612" t="s">
        <v>116</v>
      </c>
      <c r="E166" s="612">
        <v>31208</v>
      </c>
      <c r="F166" s="612" t="s">
        <v>34</v>
      </c>
      <c r="G166" s="612" t="s">
        <v>117</v>
      </c>
      <c r="H166" s="612" t="s">
        <v>48</v>
      </c>
      <c r="I166" s="612" t="s">
        <v>120</v>
      </c>
      <c r="J166" s="612" t="s">
        <v>42</v>
      </c>
      <c r="K166" s="612" t="s">
        <v>119</v>
      </c>
      <c r="L166" s="612" t="s">
        <v>3404</v>
      </c>
      <c r="M166" s="612" t="s">
        <v>60</v>
      </c>
      <c r="N166" s="612" t="s">
        <v>3383</v>
      </c>
      <c r="O166" s="613"/>
      <c r="P166" s="613"/>
    </row>
    <row r="167" spans="1:16" hidden="1">
      <c r="A167" s="612" t="s">
        <v>836</v>
      </c>
      <c r="B167" s="612">
        <v>1</v>
      </c>
      <c r="C167" s="612">
        <v>7</v>
      </c>
      <c r="D167" s="612" t="s">
        <v>1892</v>
      </c>
      <c r="E167" s="612">
        <v>31220</v>
      </c>
      <c r="F167" s="612" t="s">
        <v>34</v>
      </c>
      <c r="G167" s="612" t="s">
        <v>835</v>
      </c>
      <c r="H167" s="612" t="s">
        <v>48</v>
      </c>
      <c r="I167" s="612" t="s">
        <v>441</v>
      </c>
      <c r="J167" s="612" t="s">
        <v>119</v>
      </c>
      <c r="K167" s="612" t="s">
        <v>119</v>
      </c>
      <c r="L167" s="612" t="s">
        <v>3385</v>
      </c>
      <c r="M167" s="612" t="s">
        <v>3324</v>
      </c>
      <c r="N167" s="612" t="s">
        <v>2526</v>
      </c>
      <c r="O167" s="613"/>
      <c r="P167" s="612"/>
    </row>
    <row r="168" spans="1:16" hidden="1">
      <c r="A168" s="612" t="s">
        <v>3226</v>
      </c>
      <c r="B168" s="612">
        <v>1</v>
      </c>
      <c r="C168" s="612">
        <v>7</v>
      </c>
      <c r="D168" s="612" t="s">
        <v>268</v>
      </c>
      <c r="E168" s="612">
        <v>31133</v>
      </c>
      <c r="F168" s="612" t="s">
        <v>34</v>
      </c>
      <c r="G168" s="612" t="s">
        <v>699</v>
      </c>
      <c r="H168" s="612" t="s">
        <v>1243</v>
      </c>
      <c r="I168" s="612" t="s">
        <v>441</v>
      </c>
      <c r="J168" s="612" t="s">
        <v>28</v>
      </c>
      <c r="K168" s="612" t="s">
        <v>63</v>
      </c>
      <c r="L168" s="612" t="s">
        <v>3385</v>
      </c>
      <c r="M168" s="612" t="s">
        <v>167</v>
      </c>
      <c r="N168" s="612" t="s">
        <v>3405</v>
      </c>
      <c r="O168" s="613"/>
      <c r="P168" s="612"/>
    </row>
    <row r="169" spans="1:16" hidden="1">
      <c r="A169" s="612" t="s">
        <v>3226</v>
      </c>
      <c r="B169" s="612">
        <v>2</v>
      </c>
      <c r="C169" s="612">
        <v>7</v>
      </c>
      <c r="D169" s="612" t="s">
        <v>268</v>
      </c>
      <c r="E169" s="612">
        <v>31134</v>
      </c>
      <c r="F169" s="612" t="s">
        <v>34</v>
      </c>
      <c r="G169" s="612" t="s">
        <v>699</v>
      </c>
      <c r="H169" s="612" t="s">
        <v>35</v>
      </c>
      <c r="I169" s="612" t="s">
        <v>36</v>
      </c>
      <c r="J169" s="612" t="s">
        <v>28</v>
      </c>
      <c r="K169" s="612" t="s">
        <v>63</v>
      </c>
      <c r="L169" s="612" t="s">
        <v>3385</v>
      </c>
      <c r="M169" s="612" t="s">
        <v>167</v>
      </c>
      <c r="N169" s="612" t="s">
        <v>3405</v>
      </c>
      <c r="O169" s="613"/>
      <c r="P169" s="612"/>
    </row>
    <row r="170" spans="1:16" hidden="1">
      <c r="A170" s="612" t="s">
        <v>3226</v>
      </c>
      <c r="B170" s="612">
        <v>2</v>
      </c>
      <c r="C170" s="612">
        <v>7</v>
      </c>
      <c r="D170" s="612" t="s">
        <v>268</v>
      </c>
      <c r="E170" s="612">
        <v>31135</v>
      </c>
      <c r="F170" s="612" t="s">
        <v>56</v>
      </c>
      <c r="G170" s="612" t="s">
        <v>699</v>
      </c>
      <c r="H170" s="612" t="s">
        <v>35</v>
      </c>
      <c r="I170" s="612" t="s">
        <v>176</v>
      </c>
      <c r="J170" s="612" t="s">
        <v>28</v>
      </c>
      <c r="K170" s="612" t="s">
        <v>63</v>
      </c>
      <c r="L170" s="612" t="s">
        <v>3385</v>
      </c>
      <c r="M170" s="612" t="s">
        <v>167</v>
      </c>
      <c r="N170" s="612" t="s">
        <v>3405</v>
      </c>
      <c r="O170" s="613"/>
      <c r="P170" s="612"/>
    </row>
    <row r="171" spans="1:16" hidden="1">
      <c r="A171" s="612" t="s">
        <v>869</v>
      </c>
      <c r="B171" s="612">
        <v>1</v>
      </c>
      <c r="C171" s="612">
        <v>7</v>
      </c>
      <c r="D171" s="612" t="s">
        <v>514</v>
      </c>
      <c r="E171" s="612">
        <v>31227</v>
      </c>
      <c r="F171" s="612" t="s">
        <v>34</v>
      </c>
      <c r="G171" s="612" t="s">
        <v>360</v>
      </c>
      <c r="H171" s="612" t="s">
        <v>35</v>
      </c>
      <c r="I171" s="612" t="s">
        <v>711</v>
      </c>
      <c r="J171" s="612" t="s">
        <v>171</v>
      </c>
      <c r="K171" s="612" t="s">
        <v>337</v>
      </c>
      <c r="L171" s="612" t="s">
        <v>3385</v>
      </c>
      <c r="M171" s="612" t="s">
        <v>43</v>
      </c>
      <c r="N171" s="612" t="s">
        <v>3384</v>
      </c>
      <c r="O171" s="613"/>
      <c r="P171" s="613"/>
    </row>
    <row r="172" spans="1:16" hidden="1">
      <c r="A172" s="612" t="s">
        <v>32</v>
      </c>
      <c r="B172" s="612">
        <v>1</v>
      </c>
      <c r="C172" s="612">
        <v>7</v>
      </c>
      <c r="D172" s="612" t="s">
        <v>172</v>
      </c>
      <c r="E172" s="612">
        <v>31219</v>
      </c>
      <c r="F172" s="612" t="s">
        <v>56</v>
      </c>
      <c r="G172" s="612" t="s">
        <v>2936</v>
      </c>
      <c r="H172" s="612" t="s">
        <v>35</v>
      </c>
      <c r="I172" s="612" t="s">
        <v>176</v>
      </c>
      <c r="J172" s="612" t="s">
        <v>171</v>
      </c>
      <c r="K172" s="612" t="s">
        <v>33</v>
      </c>
      <c r="L172" s="612" t="s">
        <v>3385</v>
      </c>
      <c r="M172" s="612"/>
      <c r="N172" s="612" t="s">
        <v>3379</v>
      </c>
      <c r="O172" s="613"/>
      <c r="P172" s="613"/>
    </row>
    <row r="173" spans="1:16" hidden="1">
      <c r="A173" s="612" t="s">
        <v>2608</v>
      </c>
      <c r="B173" s="612">
        <v>1</v>
      </c>
      <c r="C173" s="612">
        <v>7</v>
      </c>
      <c r="D173" s="612" t="s">
        <v>53</v>
      </c>
      <c r="E173" s="612">
        <v>31226</v>
      </c>
      <c r="F173" s="612" t="s">
        <v>34</v>
      </c>
      <c r="G173" s="612" t="s">
        <v>228</v>
      </c>
      <c r="H173" s="612" t="s">
        <v>57</v>
      </c>
      <c r="I173" s="612" t="s">
        <v>1437</v>
      </c>
      <c r="J173" s="612" t="s">
        <v>42</v>
      </c>
      <c r="K173" s="612" t="s">
        <v>33</v>
      </c>
      <c r="L173" s="612" t="s">
        <v>3385</v>
      </c>
      <c r="M173" s="612" t="s">
        <v>3356</v>
      </c>
      <c r="N173" s="612" t="s">
        <v>3386</v>
      </c>
      <c r="O173" s="613"/>
      <c r="P173" s="613"/>
    </row>
    <row r="174" spans="1:16" hidden="1">
      <c r="A174" s="612" t="s">
        <v>1254</v>
      </c>
      <c r="B174" s="612">
        <v>1</v>
      </c>
      <c r="C174" s="612">
        <v>7</v>
      </c>
      <c r="D174" s="612" t="s">
        <v>3279</v>
      </c>
      <c r="E174" s="612">
        <v>31236</v>
      </c>
      <c r="F174" s="612" t="s">
        <v>34</v>
      </c>
      <c r="G174" s="612" t="s">
        <v>1253</v>
      </c>
      <c r="H174" s="612" t="s">
        <v>48</v>
      </c>
      <c r="I174" s="612" t="s">
        <v>441</v>
      </c>
      <c r="J174" s="612" t="s">
        <v>119</v>
      </c>
      <c r="K174" s="612" t="s">
        <v>119</v>
      </c>
      <c r="L174" s="612" t="s">
        <v>3385</v>
      </c>
      <c r="M174" s="612"/>
      <c r="N174" s="612" t="s">
        <v>3400</v>
      </c>
      <c r="O174" s="613"/>
      <c r="P174" s="612"/>
    </row>
    <row r="175" spans="1:16" hidden="1">
      <c r="A175" s="612" t="s">
        <v>961</v>
      </c>
      <c r="B175" s="612">
        <v>4</v>
      </c>
      <c r="C175" s="612">
        <v>7</v>
      </c>
      <c r="D175" s="612" t="s">
        <v>268</v>
      </c>
      <c r="E175" s="612">
        <v>31232</v>
      </c>
      <c r="F175" s="612" t="s">
        <v>34</v>
      </c>
      <c r="G175" s="612" t="s">
        <v>699</v>
      </c>
      <c r="H175" s="612" t="s">
        <v>35</v>
      </c>
      <c r="I175" s="612" t="s">
        <v>36</v>
      </c>
      <c r="J175" s="612" t="s">
        <v>28</v>
      </c>
      <c r="K175" s="612" t="s">
        <v>63</v>
      </c>
      <c r="L175" s="612" t="s">
        <v>3385</v>
      </c>
      <c r="M175" s="612" t="s">
        <v>167</v>
      </c>
      <c r="N175" s="612" t="s">
        <v>3405</v>
      </c>
      <c r="O175" s="613"/>
      <c r="P175" s="612"/>
    </row>
    <row r="176" spans="1:16" hidden="1">
      <c r="A176" s="612" t="s">
        <v>961</v>
      </c>
      <c r="B176" s="612">
        <v>4</v>
      </c>
      <c r="C176" s="612">
        <v>7</v>
      </c>
      <c r="D176" s="612" t="s">
        <v>268</v>
      </c>
      <c r="E176" s="612">
        <v>31233</v>
      </c>
      <c r="F176" s="612" t="s">
        <v>56</v>
      </c>
      <c r="G176" s="612" t="s">
        <v>699</v>
      </c>
      <c r="H176" s="612" t="s">
        <v>35</v>
      </c>
      <c r="I176" s="612" t="s">
        <v>176</v>
      </c>
      <c r="J176" s="612" t="s">
        <v>28</v>
      </c>
      <c r="K176" s="612" t="s">
        <v>63</v>
      </c>
      <c r="L176" s="612" t="s">
        <v>3385</v>
      </c>
      <c r="M176" s="612" t="s">
        <v>167</v>
      </c>
      <c r="N176" s="612" t="s">
        <v>3405</v>
      </c>
      <c r="O176" s="613"/>
      <c r="P176" s="612"/>
    </row>
    <row r="177" spans="1:16" hidden="1">
      <c r="A177" s="612" t="s">
        <v>961</v>
      </c>
      <c r="B177" s="612">
        <v>2</v>
      </c>
      <c r="C177" s="612">
        <v>7</v>
      </c>
      <c r="D177" s="612" t="s">
        <v>616</v>
      </c>
      <c r="E177" s="612">
        <v>31234</v>
      </c>
      <c r="F177" s="612" t="s">
        <v>34</v>
      </c>
      <c r="G177" s="612" t="s">
        <v>699</v>
      </c>
      <c r="H177" s="612" t="s">
        <v>35</v>
      </c>
      <c r="I177" s="612" t="s">
        <v>36</v>
      </c>
      <c r="J177" s="612" t="s">
        <v>28</v>
      </c>
      <c r="K177" s="612" t="s">
        <v>63</v>
      </c>
      <c r="L177" s="612" t="s">
        <v>3385</v>
      </c>
      <c r="M177" s="612" t="s">
        <v>167</v>
      </c>
      <c r="N177" s="612" t="s">
        <v>3405</v>
      </c>
      <c r="O177" s="613"/>
      <c r="P177" s="612"/>
    </row>
    <row r="178" spans="1:16" hidden="1">
      <c r="A178" s="612" t="s">
        <v>961</v>
      </c>
      <c r="B178" s="612">
        <v>2</v>
      </c>
      <c r="C178" s="612">
        <v>7</v>
      </c>
      <c r="D178" s="612" t="s">
        <v>616</v>
      </c>
      <c r="E178" s="612">
        <v>31235</v>
      </c>
      <c r="F178" s="612" t="s">
        <v>56</v>
      </c>
      <c r="G178" s="612" t="s">
        <v>699</v>
      </c>
      <c r="H178" s="612" t="s">
        <v>35</v>
      </c>
      <c r="I178" s="612" t="s">
        <v>176</v>
      </c>
      <c r="J178" s="612" t="s">
        <v>28</v>
      </c>
      <c r="K178" s="612" t="s">
        <v>63</v>
      </c>
      <c r="L178" s="612" t="s">
        <v>3385</v>
      </c>
      <c r="M178" s="612" t="s">
        <v>167</v>
      </c>
      <c r="N178" s="612" t="s">
        <v>3405</v>
      </c>
      <c r="O178" s="613"/>
      <c r="P178" s="612"/>
    </row>
    <row r="179" spans="1:16" hidden="1">
      <c r="A179" s="612" t="s">
        <v>297</v>
      </c>
      <c r="B179" s="612">
        <v>1</v>
      </c>
      <c r="C179" s="612">
        <v>7</v>
      </c>
      <c r="D179" s="612" t="s">
        <v>53</v>
      </c>
      <c r="E179" s="612">
        <v>31218</v>
      </c>
      <c r="F179" s="612" t="s">
        <v>56</v>
      </c>
      <c r="G179" s="612" t="s">
        <v>103</v>
      </c>
      <c r="H179" s="612" t="s">
        <v>35</v>
      </c>
      <c r="I179" s="612" t="s">
        <v>176</v>
      </c>
      <c r="J179" s="612" t="s">
        <v>42</v>
      </c>
      <c r="K179" s="612" t="s">
        <v>33</v>
      </c>
      <c r="L179" s="612" t="s">
        <v>3385</v>
      </c>
      <c r="M179" s="612" t="s">
        <v>167</v>
      </c>
      <c r="N179" s="612" t="s">
        <v>3386</v>
      </c>
      <c r="O179" s="613"/>
      <c r="P179" s="613"/>
    </row>
    <row r="180" spans="1:16" hidden="1">
      <c r="A180" s="612" t="s">
        <v>921</v>
      </c>
      <c r="B180" s="612">
        <v>1</v>
      </c>
      <c r="C180" s="612">
        <v>7</v>
      </c>
      <c r="D180" s="612" t="s">
        <v>53</v>
      </c>
      <c r="E180" s="612">
        <v>31230</v>
      </c>
      <c r="F180" s="612" t="s">
        <v>34</v>
      </c>
      <c r="G180" s="612" t="s">
        <v>158</v>
      </c>
      <c r="H180" s="612" t="s">
        <v>48</v>
      </c>
      <c r="I180" s="612" t="s">
        <v>414</v>
      </c>
      <c r="J180" s="612" t="s">
        <v>42</v>
      </c>
      <c r="K180" s="612" t="s">
        <v>672</v>
      </c>
      <c r="L180" s="612" t="s">
        <v>3385</v>
      </c>
      <c r="M180" s="612" t="s">
        <v>69</v>
      </c>
      <c r="N180" s="612" t="s">
        <v>3379</v>
      </c>
      <c r="O180" s="613"/>
      <c r="P180" s="613"/>
    </row>
    <row r="181" spans="1:16" hidden="1">
      <c r="A181" s="612" t="s">
        <v>924</v>
      </c>
      <c r="B181" s="612">
        <v>1</v>
      </c>
      <c r="C181" s="612">
        <v>7</v>
      </c>
      <c r="D181" s="612" t="s">
        <v>163</v>
      </c>
      <c r="E181" s="612">
        <v>31223</v>
      </c>
      <c r="F181" s="612" t="s">
        <v>34</v>
      </c>
      <c r="G181" s="612" t="s">
        <v>189</v>
      </c>
      <c r="H181" s="612" t="s">
        <v>57</v>
      </c>
      <c r="I181" s="612" t="s">
        <v>2194</v>
      </c>
      <c r="J181" s="612" t="s">
        <v>42</v>
      </c>
      <c r="K181" s="612" t="s">
        <v>925</v>
      </c>
      <c r="L181" s="612" t="s">
        <v>3385</v>
      </c>
      <c r="M181" s="612" t="s">
        <v>43</v>
      </c>
      <c r="N181" s="612" t="s">
        <v>3375</v>
      </c>
      <c r="O181" s="613"/>
      <c r="P181" s="612"/>
    </row>
    <row r="182" spans="1:16" hidden="1">
      <c r="A182" s="612" t="s">
        <v>2499</v>
      </c>
      <c r="B182" s="612">
        <v>1</v>
      </c>
      <c r="C182" s="612">
        <v>7</v>
      </c>
      <c r="D182" s="612" t="s">
        <v>172</v>
      </c>
      <c r="E182" s="612">
        <v>31221</v>
      </c>
      <c r="F182" s="612" t="s">
        <v>56</v>
      </c>
      <c r="G182" s="612" t="s">
        <v>318</v>
      </c>
      <c r="H182" s="612" t="s">
        <v>35</v>
      </c>
      <c r="I182" s="612" t="s">
        <v>176</v>
      </c>
      <c r="J182" s="612" t="s">
        <v>171</v>
      </c>
      <c r="K182" s="612" t="s">
        <v>391</v>
      </c>
      <c r="L182" s="612" t="s">
        <v>3385</v>
      </c>
      <c r="M182" s="612" t="s">
        <v>60</v>
      </c>
      <c r="N182" s="612" t="s">
        <v>390</v>
      </c>
      <c r="O182" s="613"/>
      <c r="P182" s="612"/>
    </row>
    <row r="183" spans="1:16" hidden="1">
      <c r="A183" s="612" t="s">
        <v>62</v>
      </c>
      <c r="B183" s="612">
        <v>1</v>
      </c>
      <c r="C183" s="612">
        <v>7</v>
      </c>
      <c r="D183" s="612" t="s">
        <v>268</v>
      </c>
      <c r="E183" s="612">
        <v>31217</v>
      </c>
      <c r="F183" s="612" t="s">
        <v>34</v>
      </c>
      <c r="G183" s="612" t="s">
        <v>423</v>
      </c>
      <c r="H183" s="612" t="s">
        <v>35</v>
      </c>
      <c r="I183" s="612" t="s">
        <v>36</v>
      </c>
      <c r="J183" s="612" t="s">
        <v>28</v>
      </c>
      <c r="K183" s="612" t="s">
        <v>63</v>
      </c>
      <c r="L183" s="612" t="s">
        <v>3385</v>
      </c>
      <c r="M183" s="612" t="s">
        <v>240</v>
      </c>
      <c r="N183" s="612" t="s">
        <v>3376</v>
      </c>
      <c r="O183" s="613"/>
      <c r="P183" s="612"/>
    </row>
    <row r="184" spans="1:16" hidden="1">
      <c r="A184" s="612" t="s">
        <v>741</v>
      </c>
      <c r="B184" s="612">
        <v>1</v>
      </c>
      <c r="C184" s="612">
        <v>7</v>
      </c>
      <c r="D184" s="612" t="s">
        <v>172</v>
      </c>
      <c r="E184" s="612">
        <v>31224</v>
      </c>
      <c r="F184" s="612" t="s">
        <v>34</v>
      </c>
      <c r="G184" s="612" t="s">
        <v>2951</v>
      </c>
      <c r="H184" s="612" t="s">
        <v>35</v>
      </c>
      <c r="I184" s="612" t="s">
        <v>3003</v>
      </c>
      <c r="J184" s="612" t="s">
        <v>171</v>
      </c>
      <c r="K184" s="612" t="s">
        <v>88</v>
      </c>
      <c r="L184" s="612" t="s">
        <v>3385</v>
      </c>
      <c r="M184" s="612"/>
      <c r="N184" s="612" t="s">
        <v>2526</v>
      </c>
      <c r="O184" s="613"/>
      <c r="P184" s="612"/>
    </row>
    <row r="185" spans="1:16" hidden="1">
      <c r="A185" s="612" t="s">
        <v>788</v>
      </c>
      <c r="B185" s="612">
        <v>1</v>
      </c>
      <c r="C185" s="612">
        <v>6</v>
      </c>
      <c r="D185" s="612" t="s">
        <v>146</v>
      </c>
      <c r="E185" s="612">
        <v>31242</v>
      </c>
      <c r="F185" s="612" t="s">
        <v>56</v>
      </c>
      <c r="G185" s="612" t="s">
        <v>335</v>
      </c>
      <c r="H185" s="612" t="s">
        <v>35</v>
      </c>
      <c r="I185" s="612" t="s">
        <v>176</v>
      </c>
      <c r="J185" s="612" t="s">
        <v>28</v>
      </c>
      <c r="K185" s="612" t="s">
        <v>337</v>
      </c>
      <c r="L185" s="612" t="s">
        <v>3406</v>
      </c>
      <c r="M185" s="612" t="s">
        <v>43</v>
      </c>
      <c r="N185" s="612" t="s">
        <v>3376</v>
      </c>
      <c r="O185" s="613"/>
      <c r="P185" s="612"/>
    </row>
    <row r="186" spans="1:16" hidden="1">
      <c r="A186" s="612" t="s">
        <v>1715</v>
      </c>
      <c r="B186" s="612">
        <v>1</v>
      </c>
      <c r="C186" s="612">
        <v>6</v>
      </c>
      <c r="D186" s="612" t="s">
        <v>53</v>
      </c>
      <c r="E186" s="612">
        <v>31248</v>
      </c>
      <c r="F186" s="612" t="s">
        <v>34</v>
      </c>
      <c r="G186" s="612" t="s">
        <v>241</v>
      </c>
      <c r="H186" s="612" t="s">
        <v>48</v>
      </c>
      <c r="I186" s="612" t="s">
        <v>49</v>
      </c>
      <c r="J186" s="612" t="s">
        <v>42</v>
      </c>
      <c r="K186" s="612" t="s">
        <v>243</v>
      </c>
      <c r="L186" s="612" t="s">
        <v>3406</v>
      </c>
      <c r="M186" s="612" t="s">
        <v>240</v>
      </c>
      <c r="N186" s="612" t="s">
        <v>3383</v>
      </c>
      <c r="O186" s="613"/>
      <c r="P186" s="613"/>
    </row>
    <row r="187" spans="1:16" hidden="1">
      <c r="A187" s="612" t="s">
        <v>164</v>
      </c>
      <c r="B187" s="612">
        <v>1</v>
      </c>
      <c r="C187" s="612">
        <v>6</v>
      </c>
      <c r="D187" s="612" t="s">
        <v>53</v>
      </c>
      <c r="E187" s="612">
        <v>31243</v>
      </c>
      <c r="F187" s="612" t="s">
        <v>34</v>
      </c>
      <c r="G187" s="612" t="s">
        <v>54</v>
      </c>
      <c r="H187" s="612" t="s">
        <v>57</v>
      </c>
      <c r="I187" s="612" t="s">
        <v>231</v>
      </c>
      <c r="J187" s="612" t="s">
        <v>42</v>
      </c>
      <c r="K187" s="612" t="s">
        <v>88</v>
      </c>
      <c r="L187" s="612" t="s">
        <v>3406</v>
      </c>
      <c r="M187" s="612" t="s">
        <v>3356</v>
      </c>
      <c r="N187" s="612" t="s">
        <v>3375</v>
      </c>
      <c r="O187" s="613"/>
      <c r="P187" s="612"/>
    </row>
    <row r="188" spans="1:16" hidden="1">
      <c r="A188" s="612" t="s">
        <v>164</v>
      </c>
      <c r="B188" s="612">
        <v>1</v>
      </c>
      <c r="C188" s="612">
        <v>6</v>
      </c>
      <c r="D188" s="612" t="s">
        <v>53</v>
      </c>
      <c r="E188" s="612">
        <v>31244</v>
      </c>
      <c r="F188" s="612" t="s">
        <v>34</v>
      </c>
      <c r="G188" s="612" t="s">
        <v>54</v>
      </c>
      <c r="H188" s="612" t="s">
        <v>57</v>
      </c>
      <c r="I188" s="612" t="s">
        <v>231</v>
      </c>
      <c r="J188" s="612" t="s">
        <v>42</v>
      </c>
      <c r="K188" s="612" t="s">
        <v>88</v>
      </c>
      <c r="L188" s="612" t="s">
        <v>3406</v>
      </c>
      <c r="M188" s="612" t="s">
        <v>3356</v>
      </c>
      <c r="N188" s="612" t="s">
        <v>3375</v>
      </c>
      <c r="O188" s="613"/>
      <c r="P188" s="612"/>
    </row>
    <row r="189" spans="1:16" hidden="1">
      <c r="A189" s="612" t="s">
        <v>164</v>
      </c>
      <c r="B189" s="612">
        <v>1</v>
      </c>
      <c r="C189" s="612">
        <v>6</v>
      </c>
      <c r="D189" s="612" t="s">
        <v>53</v>
      </c>
      <c r="E189" s="612">
        <v>31245</v>
      </c>
      <c r="F189" s="612" t="s">
        <v>34</v>
      </c>
      <c r="G189" s="612" t="s">
        <v>54</v>
      </c>
      <c r="H189" s="612" t="s">
        <v>57</v>
      </c>
      <c r="I189" s="612" t="s">
        <v>231</v>
      </c>
      <c r="J189" s="612" t="s">
        <v>42</v>
      </c>
      <c r="K189" s="612" t="s">
        <v>88</v>
      </c>
      <c r="L189" s="612" t="s">
        <v>3406</v>
      </c>
      <c r="M189" s="612" t="s">
        <v>3356</v>
      </c>
      <c r="N189" s="612" t="s">
        <v>3384</v>
      </c>
      <c r="O189" s="613"/>
      <c r="P189" s="613"/>
    </row>
    <row r="190" spans="1:16" hidden="1">
      <c r="A190" s="612" t="s">
        <v>164</v>
      </c>
      <c r="B190" s="612">
        <v>1</v>
      </c>
      <c r="C190" s="612">
        <v>6</v>
      </c>
      <c r="D190" s="612" t="s">
        <v>53</v>
      </c>
      <c r="E190" s="612">
        <v>31246</v>
      </c>
      <c r="F190" s="612" t="s">
        <v>34</v>
      </c>
      <c r="G190" s="612" t="s">
        <v>54</v>
      </c>
      <c r="H190" s="612" t="s">
        <v>57</v>
      </c>
      <c r="I190" s="612" t="s">
        <v>231</v>
      </c>
      <c r="J190" s="612" t="s">
        <v>42</v>
      </c>
      <c r="K190" s="612" t="s">
        <v>88</v>
      </c>
      <c r="L190" s="612" t="s">
        <v>3406</v>
      </c>
      <c r="M190" s="612" t="s">
        <v>3356</v>
      </c>
      <c r="N190" s="612" t="s">
        <v>3376</v>
      </c>
      <c r="O190" s="613"/>
      <c r="P190" s="612"/>
    </row>
    <row r="191" spans="1:16" hidden="1">
      <c r="A191" s="612" t="s">
        <v>164</v>
      </c>
      <c r="B191" s="612">
        <v>1</v>
      </c>
      <c r="C191" s="612">
        <v>6</v>
      </c>
      <c r="D191" s="612" t="s">
        <v>163</v>
      </c>
      <c r="E191" s="612">
        <v>31247</v>
      </c>
      <c r="F191" s="612" t="s">
        <v>56</v>
      </c>
      <c r="G191" s="612" t="s">
        <v>54</v>
      </c>
      <c r="H191" s="612" t="s">
        <v>2012</v>
      </c>
      <c r="I191" s="612" t="s">
        <v>165</v>
      </c>
      <c r="J191" s="612" t="s">
        <v>42</v>
      </c>
      <c r="K191" s="612" t="s">
        <v>88</v>
      </c>
      <c r="L191" s="612" t="s">
        <v>3406</v>
      </c>
      <c r="M191" s="612" t="s">
        <v>3356</v>
      </c>
      <c r="N191" s="612" t="s">
        <v>3375</v>
      </c>
      <c r="O191" s="613"/>
      <c r="P191" s="612"/>
    </row>
    <row r="192" spans="1:16" hidden="1">
      <c r="A192" s="612" t="s">
        <v>312</v>
      </c>
      <c r="B192" s="612">
        <v>1</v>
      </c>
      <c r="C192" s="612">
        <v>6</v>
      </c>
      <c r="D192" s="612" t="s">
        <v>53</v>
      </c>
      <c r="E192" s="612">
        <v>31241</v>
      </c>
      <c r="F192" s="612" t="s">
        <v>34</v>
      </c>
      <c r="G192" s="612" t="s">
        <v>241</v>
      </c>
      <c r="H192" s="612" t="s">
        <v>57</v>
      </c>
      <c r="I192" s="612" t="s">
        <v>3267</v>
      </c>
      <c r="J192" s="612" t="s">
        <v>42</v>
      </c>
      <c r="K192" s="612" t="s">
        <v>243</v>
      </c>
      <c r="L192" s="612" t="s">
        <v>3406</v>
      </c>
      <c r="M192" s="612" t="s">
        <v>240</v>
      </c>
      <c r="N192" s="612" t="s">
        <v>3384</v>
      </c>
      <c r="O192" s="613"/>
      <c r="P192" s="613"/>
    </row>
    <row r="193" spans="1:16" hidden="1">
      <c r="A193" s="612" t="s">
        <v>3144</v>
      </c>
      <c r="B193" s="612">
        <v>1</v>
      </c>
      <c r="C193" s="612">
        <v>6</v>
      </c>
      <c r="D193" s="612" t="s">
        <v>268</v>
      </c>
      <c r="E193" s="612">
        <v>31239</v>
      </c>
      <c r="F193" s="612" t="s">
        <v>56</v>
      </c>
      <c r="G193" s="612" t="s">
        <v>614</v>
      </c>
      <c r="H193" s="612" t="s">
        <v>35</v>
      </c>
      <c r="I193" s="612" t="s">
        <v>176</v>
      </c>
      <c r="J193" s="612" t="s">
        <v>28</v>
      </c>
      <c r="K193" s="612" t="s">
        <v>3145</v>
      </c>
      <c r="L193" s="612" t="s">
        <v>3406</v>
      </c>
      <c r="M193" s="612"/>
      <c r="N193" s="612" t="s">
        <v>3375</v>
      </c>
      <c r="O193" s="613"/>
      <c r="P193" s="612"/>
    </row>
    <row r="194" spans="1:16" hidden="1">
      <c r="A194" s="612" t="s">
        <v>2683</v>
      </c>
      <c r="B194" s="612">
        <v>1</v>
      </c>
      <c r="C194" s="612">
        <v>6</v>
      </c>
      <c r="D194" s="612" t="s">
        <v>586</v>
      </c>
      <c r="E194" s="612">
        <v>31238</v>
      </c>
      <c r="F194" s="612" t="s">
        <v>34</v>
      </c>
      <c r="G194" s="612" t="s">
        <v>371</v>
      </c>
      <c r="H194" s="612" t="s">
        <v>35</v>
      </c>
      <c r="I194" s="612" t="s">
        <v>36</v>
      </c>
      <c r="J194" s="612" t="s">
        <v>28</v>
      </c>
      <c r="K194" s="612" t="s">
        <v>391</v>
      </c>
      <c r="L194" s="612" t="s">
        <v>3406</v>
      </c>
      <c r="M194" s="612" t="s">
        <v>167</v>
      </c>
      <c r="N194" s="612" t="s">
        <v>3375</v>
      </c>
      <c r="O194" s="613"/>
      <c r="P194" s="612"/>
    </row>
    <row r="195" spans="1:16" hidden="1">
      <c r="A195" s="612" t="s">
        <v>996</v>
      </c>
      <c r="B195" s="612">
        <v>1</v>
      </c>
      <c r="C195" s="612">
        <v>3</v>
      </c>
      <c r="D195" s="612" t="s">
        <v>616</v>
      </c>
      <c r="E195" s="612">
        <v>31249</v>
      </c>
      <c r="F195" s="612" t="s">
        <v>34</v>
      </c>
      <c r="G195" s="612" t="s">
        <v>330</v>
      </c>
      <c r="H195" s="612" t="s">
        <v>35</v>
      </c>
      <c r="I195" s="612" t="s">
        <v>36</v>
      </c>
      <c r="J195" s="612" t="s">
        <v>28</v>
      </c>
      <c r="K195" s="612" t="s">
        <v>63</v>
      </c>
      <c r="L195" s="612" t="s">
        <v>3407</v>
      </c>
      <c r="M195" s="612" t="s">
        <v>60</v>
      </c>
      <c r="N195" s="612" t="s">
        <v>3375</v>
      </c>
      <c r="O195" s="613"/>
      <c r="P195" s="612"/>
    </row>
    <row r="196" spans="1:16" hidden="1">
      <c r="A196" s="612" t="s">
        <v>996</v>
      </c>
      <c r="B196" s="612">
        <v>1</v>
      </c>
      <c r="C196" s="612">
        <v>3</v>
      </c>
      <c r="D196" s="612" t="s">
        <v>616</v>
      </c>
      <c r="E196" s="612">
        <v>31250</v>
      </c>
      <c r="F196" s="612" t="s">
        <v>34</v>
      </c>
      <c r="G196" s="612" t="s">
        <v>330</v>
      </c>
      <c r="H196" s="612" t="s">
        <v>35</v>
      </c>
      <c r="I196" s="612" t="s">
        <v>36</v>
      </c>
      <c r="J196" s="612" t="s">
        <v>28</v>
      </c>
      <c r="K196" s="612" t="s">
        <v>63</v>
      </c>
      <c r="L196" s="612" t="s">
        <v>3407</v>
      </c>
      <c r="M196" s="612" t="s">
        <v>60</v>
      </c>
      <c r="N196" s="612" t="s">
        <v>3375</v>
      </c>
      <c r="O196" s="613"/>
      <c r="P196" s="612"/>
    </row>
    <row r="197" spans="1:16" hidden="1">
      <c r="A197" s="612" t="s">
        <v>958</v>
      </c>
      <c r="B197" s="612">
        <v>1</v>
      </c>
      <c r="C197" s="612">
        <v>3</v>
      </c>
      <c r="D197" s="612" t="s">
        <v>53</v>
      </c>
      <c r="E197" s="612">
        <v>31261</v>
      </c>
      <c r="F197" s="612" t="s">
        <v>34</v>
      </c>
      <c r="G197" s="612" t="s">
        <v>241</v>
      </c>
      <c r="H197" s="612" t="s">
        <v>48</v>
      </c>
      <c r="I197" s="612" t="s">
        <v>959</v>
      </c>
      <c r="J197" s="612" t="s">
        <v>42</v>
      </c>
      <c r="K197" s="612" t="s">
        <v>243</v>
      </c>
      <c r="L197" s="612" t="s">
        <v>3407</v>
      </c>
      <c r="M197" s="612" t="s">
        <v>240</v>
      </c>
      <c r="N197" s="612" t="s">
        <v>3379</v>
      </c>
      <c r="O197" s="613"/>
      <c r="P197" s="613"/>
    </row>
    <row r="198" spans="1:16" hidden="1">
      <c r="A198" s="612" t="s">
        <v>1715</v>
      </c>
      <c r="B198" s="612">
        <v>1</v>
      </c>
      <c r="C198" s="612">
        <v>3</v>
      </c>
      <c r="D198" s="612" t="s">
        <v>53</v>
      </c>
      <c r="E198" s="612">
        <v>31251</v>
      </c>
      <c r="F198" s="612" t="s">
        <v>34</v>
      </c>
      <c r="G198" s="612" t="s">
        <v>241</v>
      </c>
      <c r="H198" s="612" t="s">
        <v>48</v>
      </c>
      <c r="I198" s="612" t="s">
        <v>49</v>
      </c>
      <c r="J198" s="612" t="s">
        <v>42</v>
      </c>
      <c r="K198" s="612" t="s">
        <v>243</v>
      </c>
      <c r="L198" s="612" t="s">
        <v>3407</v>
      </c>
      <c r="M198" s="612" t="s">
        <v>240</v>
      </c>
      <c r="N198" s="612" t="s">
        <v>3384</v>
      </c>
      <c r="O198" s="613"/>
      <c r="P198" s="613"/>
    </row>
    <row r="199" spans="1:16" hidden="1">
      <c r="A199" s="612" t="s">
        <v>164</v>
      </c>
      <c r="B199" s="612">
        <v>1</v>
      </c>
      <c r="C199" s="612">
        <v>3</v>
      </c>
      <c r="D199" s="612" t="s">
        <v>53</v>
      </c>
      <c r="E199" s="612">
        <v>31253</v>
      </c>
      <c r="F199" s="612" t="s">
        <v>34</v>
      </c>
      <c r="G199" s="612" t="s">
        <v>54</v>
      </c>
      <c r="H199" s="612" t="s">
        <v>57</v>
      </c>
      <c r="I199" s="612" t="s">
        <v>94</v>
      </c>
      <c r="J199" s="612" t="s">
        <v>42</v>
      </c>
      <c r="K199" s="612" t="s">
        <v>88</v>
      </c>
      <c r="L199" s="612" t="s">
        <v>3407</v>
      </c>
      <c r="M199" s="612" t="s">
        <v>3356</v>
      </c>
      <c r="N199" s="612" t="s">
        <v>3375</v>
      </c>
      <c r="O199" s="613"/>
      <c r="P199" s="612"/>
    </row>
    <row r="200" spans="1:16" hidden="1">
      <c r="A200" s="612" t="s">
        <v>164</v>
      </c>
      <c r="B200" s="612">
        <v>1</v>
      </c>
      <c r="C200" s="612">
        <v>3</v>
      </c>
      <c r="D200" s="612" t="s">
        <v>116</v>
      </c>
      <c r="E200" s="612">
        <v>31258</v>
      </c>
      <c r="F200" s="612" t="s">
        <v>34</v>
      </c>
      <c r="G200" s="612" t="s">
        <v>54</v>
      </c>
      <c r="H200" s="612" t="s">
        <v>57</v>
      </c>
      <c r="I200" s="612" t="s">
        <v>231</v>
      </c>
      <c r="J200" s="612" t="s">
        <v>42</v>
      </c>
      <c r="K200" s="612" t="s">
        <v>88</v>
      </c>
      <c r="L200" s="612" t="s">
        <v>3407</v>
      </c>
      <c r="M200" s="612" t="s">
        <v>3356</v>
      </c>
      <c r="N200" s="612" t="s">
        <v>3375</v>
      </c>
      <c r="O200" s="613"/>
      <c r="P200" s="612"/>
    </row>
    <row r="201" spans="1:16" hidden="1">
      <c r="A201" s="612" t="s">
        <v>1970</v>
      </c>
      <c r="B201" s="612">
        <v>1</v>
      </c>
      <c r="C201" s="612">
        <v>3</v>
      </c>
      <c r="D201" s="612" t="s">
        <v>44</v>
      </c>
      <c r="E201" s="612">
        <v>31256</v>
      </c>
      <c r="F201" s="612" t="s">
        <v>34</v>
      </c>
      <c r="G201" s="612" t="s">
        <v>241</v>
      </c>
      <c r="H201" s="612" t="s">
        <v>35</v>
      </c>
      <c r="I201" s="612" t="s">
        <v>36</v>
      </c>
      <c r="J201" s="612" t="s">
        <v>42</v>
      </c>
      <c r="K201" s="612" t="s">
        <v>63</v>
      </c>
      <c r="L201" s="612" t="s">
        <v>3407</v>
      </c>
      <c r="M201" s="612" t="s">
        <v>240</v>
      </c>
      <c r="N201" s="612" t="s">
        <v>3375</v>
      </c>
      <c r="O201" s="613"/>
      <c r="P201" s="612"/>
    </row>
    <row r="202" spans="1:16" hidden="1">
      <c r="A202" s="612" t="s">
        <v>618</v>
      </c>
      <c r="B202" s="612">
        <v>1</v>
      </c>
      <c r="C202" s="612">
        <v>3</v>
      </c>
      <c r="D202" s="612" t="s">
        <v>268</v>
      </c>
      <c r="E202" s="612">
        <v>31252</v>
      </c>
      <c r="F202" s="612" t="s">
        <v>56</v>
      </c>
      <c r="G202" s="612" t="s">
        <v>952</v>
      </c>
      <c r="H202" s="612" t="s">
        <v>35</v>
      </c>
      <c r="I202" s="612" t="s">
        <v>176</v>
      </c>
      <c r="J202" s="612" t="s">
        <v>28</v>
      </c>
      <c r="K202" s="612" t="s">
        <v>63</v>
      </c>
      <c r="L202" s="612" t="s">
        <v>3407</v>
      </c>
      <c r="M202" s="612" t="s">
        <v>3408</v>
      </c>
      <c r="N202" s="612" t="s">
        <v>3375</v>
      </c>
      <c r="O202" s="613"/>
      <c r="P202" s="612"/>
    </row>
    <row r="203" spans="1:16" hidden="1">
      <c r="A203" s="612" t="s">
        <v>2996</v>
      </c>
      <c r="B203" s="612">
        <v>1</v>
      </c>
      <c r="C203" s="612">
        <v>3</v>
      </c>
      <c r="D203" s="612" t="s">
        <v>53</v>
      </c>
      <c r="E203" s="612">
        <v>31255</v>
      </c>
      <c r="F203" s="612" t="s">
        <v>34</v>
      </c>
      <c r="G203" s="612" t="s">
        <v>103</v>
      </c>
      <c r="H203" s="612" t="s">
        <v>57</v>
      </c>
      <c r="I203" s="612" t="s">
        <v>94</v>
      </c>
      <c r="J203" s="612" t="s">
        <v>42</v>
      </c>
      <c r="K203" s="612" t="s">
        <v>2997</v>
      </c>
      <c r="L203" s="612" t="s">
        <v>3407</v>
      </c>
      <c r="M203" s="612" t="s">
        <v>167</v>
      </c>
      <c r="N203" s="612" t="s">
        <v>3402</v>
      </c>
      <c r="O203" s="613"/>
      <c r="P203" s="612"/>
    </row>
    <row r="204" spans="1:16" hidden="1">
      <c r="A204" s="612" t="s">
        <v>2996</v>
      </c>
      <c r="B204" s="612">
        <v>1</v>
      </c>
      <c r="C204" s="612">
        <v>3</v>
      </c>
      <c r="D204" s="612" t="s">
        <v>44</v>
      </c>
      <c r="E204" s="612">
        <v>31254</v>
      </c>
      <c r="F204" s="612" t="s">
        <v>34</v>
      </c>
      <c r="G204" s="612" t="s">
        <v>103</v>
      </c>
      <c r="H204" s="612" t="s">
        <v>48</v>
      </c>
      <c r="I204" s="612" t="s">
        <v>120</v>
      </c>
      <c r="J204" s="612" t="s">
        <v>42</v>
      </c>
      <c r="K204" s="612" t="s">
        <v>2997</v>
      </c>
      <c r="L204" s="612" t="s">
        <v>3407</v>
      </c>
      <c r="M204" s="612" t="s">
        <v>167</v>
      </c>
      <c r="N204" s="612" t="s">
        <v>3375</v>
      </c>
      <c r="O204" s="613"/>
      <c r="P204" s="612"/>
    </row>
    <row r="205" spans="1:16" hidden="1">
      <c r="A205" s="612" t="s">
        <v>3313</v>
      </c>
      <c r="B205" s="612">
        <v>1</v>
      </c>
      <c r="C205" s="612">
        <v>3</v>
      </c>
      <c r="D205" s="612" t="s">
        <v>53</v>
      </c>
      <c r="E205" s="612">
        <v>31260</v>
      </c>
      <c r="F205" s="612" t="s">
        <v>34</v>
      </c>
      <c r="G205" s="612" t="s">
        <v>2889</v>
      </c>
      <c r="H205" s="612" t="s">
        <v>48</v>
      </c>
      <c r="I205" s="612" t="s">
        <v>49</v>
      </c>
      <c r="J205" s="612" t="s">
        <v>42</v>
      </c>
      <c r="K205" s="612" t="s">
        <v>88</v>
      </c>
      <c r="L205" s="612" t="s">
        <v>3407</v>
      </c>
      <c r="M205" s="612"/>
      <c r="N205" s="612" t="s">
        <v>3375</v>
      </c>
      <c r="O205" s="613"/>
      <c r="P205" s="612"/>
    </row>
    <row r="206" spans="1:16" hidden="1">
      <c r="A206" s="612" t="s">
        <v>156</v>
      </c>
      <c r="B206" s="612">
        <v>1</v>
      </c>
      <c r="C206" s="612">
        <v>2</v>
      </c>
      <c r="D206" s="612" t="s">
        <v>448</v>
      </c>
      <c r="E206" s="612">
        <v>31288</v>
      </c>
      <c r="F206" s="612" t="s">
        <v>34</v>
      </c>
      <c r="G206" s="612" t="s">
        <v>1808</v>
      </c>
      <c r="H206" s="612" t="s">
        <v>48</v>
      </c>
      <c r="I206" s="612" t="s">
        <v>131</v>
      </c>
      <c r="J206" s="612" t="s">
        <v>28</v>
      </c>
      <c r="K206" s="612" t="s">
        <v>97</v>
      </c>
      <c r="L206" s="612" t="s">
        <v>2234</v>
      </c>
      <c r="M206" s="612"/>
      <c r="N206" s="612" t="s">
        <v>3384</v>
      </c>
      <c r="O206" s="613"/>
      <c r="P206" s="613"/>
    </row>
    <row r="207" spans="1:16" hidden="1">
      <c r="A207" s="612" t="s">
        <v>556</v>
      </c>
      <c r="B207" s="612">
        <v>1</v>
      </c>
      <c r="C207" s="612">
        <v>2</v>
      </c>
      <c r="D207" s="612" t="s">
        <v>53</v>
      </c>
      <c r="E207" s="612">
        <v>31285</v>
      </c>
      <c r="F207" s="612" t="s">
        <v>34</v>
      </c>
      <c r="G207" s="612" t="s">
        <v>61</v>
      </c>
      <c r="H207" s="612" t="s">
        <v>72</v>
      </c>
      <c r="I207" s="612" t="s">
        <v>238</v>
      </c>
      <c r="J207" s="612" t="s">
        <v>42</v>
      </c>
      <c r="K207" s="612" t="s">
        <v>63</v>
      </c>
      <c r="L207" s="612" t="s">
        <v>2234</v>
      </c>
      <c r="M207" s="612" t="s">
        <v>60</v>
      </c>
      <c r="N207" s="612" t="s">
        <v>3375</v>
      </c>
      <c r="O207" s="613"/>
      <c r="P207" s="612"/>
    </row>
    <row r="208" spans="1:16" hidden="1">
      <c r="A208" s="612" t="s">
        <v>377</v>
      </c>
      <c r="B208" s="612">
        <v>1</v>
      </c>
      <c r="C208" s="612">
        <v>2</v>
      </c>
      <c r="D208" s="612" t="s">
        <v>53</v>
      </c>
      <c r="E208" s="612">
        <v>31268</v>
      </c>
      <c r="F208" s="612" t="s">
        <v>56</v>
      </c>
      <c r="G208" s="612" t="s">
        <v>45</v>
      </c>
      <c r="H208" s="612" t="s">
        <v>35</v>
      </c>
      <c r="I208" s="612" t="s">
        <v>176</v>
      </c>
      <c r="J208" s="612" t="s">
        <v>42</v>
      </c>
      <c r="K208" s="612" t="s">
        <v>378</v>
      </c>
      <c r="L208" s="612" t="s">
        <v>2234</v>
      </c>
      <c r="M208" s="612" t="s">
        <v>43</v>
      </c>
      <c r="N208" s="612" t="s">
        <v>3373</v>
      </c>
      <c r="O208" s="613"/>
      <c r="P208" s="613"/>
    </row>
    <row r="209" spans="1:16" hidden="1">
      <c r="A209" s="612" t="s">
        <v>377</v>
      </c>
      <c r="B209" s="612">
        <v>1</v>
      </c>
      <c r="C209" s="612">
        <v>2</v>
      </c>
      <c r="D209" s="612" t="s">
        <v>53</v>
      </c>
      <c r="E209" s="612">
        <v>31269</v>
      </c>
      <c r="F209" s="612" t="s">
        <v>56</v>
      </c>
      <c r="G209" s="612" t="s">
        <v>45</v>
      </c>
      <c r="H209" s="612" t="s">
        <v>35</v>
      </c>
      <c r="I209" s="612" t="s">
        <v>176</v>
      </c>
      <c r="J209" s="612" t="s">
        <v>42</v>
      </c>
      <c r="K209" s="612" t="s">
        <v>378</v>
      </c>
      <c r="L209" s="612" t="s">
        <v>2234</v>
      </c>
      <c r="M209" s="612" t="s">
        <v>43</v>
      </c>
      <c r="N209" s="612" t="s">
        <v>3375</v>
      </c>
      <c r="O209" s="613"/>
      <c r="P209" s="612"/>
    </row>
    <row r="210" spans="1:16" hidden="1">
      <c r="A210" s="612" t="s">
        <v>377</v>
      </c>
      <c r="B210" s="612">
        <v>1</v>
      </c>
      <c r="C210" s="612">
        <v>2</v>
      </c>
      <c r="D210" s="612" t="s">
        <v>53</v>
      </c>
      <c r="E210" s="612">
        <v>31272</v>
      </c>
      <c r="F210" s="612" t="s">
        <v>56</v>
      </c>
      <c r="G210" s="612" t="s">
        <v>45</v>
      </c>
      <c r="H210" s="612" t="s">
        <v>35</v>
      </c>
      <c r="I210" s="612" t="s">
        <v>176</v>
      </c>
      <c r="J210" s="612" t="s">
        <v>42</v>
      </c>
      <c r="K210" s="612" t="s">
        <v>378</v>
      </c>
      <c r="L210" s="612" t="s">
        <v>2234</v>
      </c>
      <c r="M210" s="612" t="s">
        <v>43</v>
      </c>
      <c r="N210" s="612" t="s">
        <v>390</v>
      </c>
      <c r="O210" s="613"/>
      <c r="P210" s="612"/>
    </row>
    <row r="211" spans="1:16" hidden="1">
      <c r="A211" s="612" t="s">
        <v>788</v>
      </c>
      <c r="B211" s="612">
        <v>1</v>
      </c>
      <c r="C211" s="612">
        <v>2</v>
      </c>
      <c r="D211" s="612" t="s">
        <v>894</v>
      </c>
      <c r="E211" s="612">
        <v>31287</v>
      </c>
      <c r="F211" s="612" t="s">
        <v>34</v>
      </c>
      <c r="G211" s="612" t="s">
        <v>360</v>
      </c>
      <c r="H211" s="612" t="s">
        <v>35</v>
      </c>
      <c r="I211" s="612" t="s">
        <v>36</v>
      </c>
      <c r="J211" s="612" t="s">
        <v>171</v>
      </c>
      <c r="K211" s="612" t="s">
        <v>337</v>
      </c>
      <c r="L211" s="612" t="s">
        <v>2234</v>
      </c>
      <c r="M211" s="612" t="s">
        <v>43</v>
      </c>
      <c r="N211" s="612" t="s">
        <v>3375</v>
      </c>
      <c r="O211" s="613"/>
      <c r="P211" s="612"/>
    </row>
    <row r="212" spans="1:16" hidden="1">
      <c r="A212" s="612" t="s">
        <v>651</v>
      </c>
      <c r="B212" s="612">
        <v>1</v>
      </c>
      <c r="C212" s="612">
        <v>2</v>
      </c>
      <c r="D212" s="612" t="s">
        <v>649</v>
      </c>
      <c r="E212" s="612">
        <v>31290</v>
      </c>
      <c r="F212" s="612" t="s">
        <v>34</v>
      </c>
      <c r="G212" s="612" t="s">
        <v>650</v>
      </c>
      <c r="H212" s="612" t="s">
        <v>48</v>
      </c>
      <c r="I212" s="612" t="s">
        <v>441</v>
      </c>
      <c r="J212" s="612" t="s">
        <v>119</v>
      </c>
      <c r="K212" s="612" t="s">
        <v>119</v>
      </c>
      <c r="L212" s="612" t="s">
        <v>2234</v>
      </c>
      <c r="M212" s="612" t="s">
        <v>3324</v>
      </c>
      <c r="N212" s="612" t="s">
        <v>3384</v>
      </c>
      <c r="O212" s="613"/>
      <c r="P212" s="613"/>
    </row>
    <row r="213" spans="1:16" hidden="1">
      <c r="A213" s="612" t="s">
        <v>3326</v>
      </c>
      <c r="B213" s="612">
        <v>1</v>
      </c>
      <c r="C213" s="612">
        <v>2</v>
      </c>
      <c r="D213" s="612" t="s">
        <v>3325</v>
      </c>
      <c r="E213" s="612">
        <v>31273</v>
      </c>
      <c r="F213" s="612" t="s">
        <v>56</v>
      </c>
      <c r="G213" s="612" t="s">
        <v>383</v>
      </c>
      <c r="H213" s="612" t="s">
        <v>35</v>
      </c>
      <c r="I213" s="612" t="s">
        <v>760</v>
      </c>
      <c r="J213" s="612" t="s">
        <v>28</v>
      </c>
      <c r="K213" s="612" t="s">
        <v>3327</v>
      </c>
      <c r="L213" s="612" t="s">
        <v>2234</v>
      </c>
      <c r="M213" s="612" t="s">
        <v>43</v>
      </c>
      <c r="N213" s="612" t="s">
        <v>3375</v>
      </c>
      <c r="O213" s="613"/>
      <c r="P213" s="612"/>
    </row>
    <row r="214" spans="1:16" hidden="1">
      <c r="A214" s="612" t="s">
        <v>3326</v>
      </c>
      <c r="B214" s="612">
        <v>1</v>
      </c>
      <c r="C214" s="612">
        <v>2</v>
      </c>
      <c r="D214" s="612" t="s">
        <v>3325</v>
      </c>
      <c r="E214" s="612">
        <v>31274</v>
      </c>
      <c r="F214" s="612" t="s">
        <v>56</v>
      </c>
      <c r="G214" s="612" t="s">
        <v>383</v>
      </c>
      <c r="H214" s="612" t="s">
        <v>35</v>
      </c>
      <c r="I214" s="612" t="s">
        <v>760</v>
      </c>
      <c r="J214" s="612" t="s">
        <v>28</v>
      </c>
      <c r="K214" s="612" t="s">
        <v>3327</v>
      </c>
      <c r="L214" s="612" t="s">
        <v>2234</v>
      </c>
      <c r="M214" s="612" t="s">
        <v>43</v>
      </c>
      <c r="N214" s="612" t="s">
        <v>3375</v>
      </c>
      <c r="O214" s="613"/>
      <c r="P214" s="612"/>
    </row>
    <row r="215" spans="1:16" hidden="1">
      <c r="A215" s="612" t="s">
        <v>961</v>
      </c>
      <c r="B215" s="612">
        <v>1</v>
      </c>
      <c r="C215" s="612">
        <v>2</v>
      </c>
      <c r="D215" s="612" t="s">
        <v>53</v>
      </c>
      <c r="E215" s="612">
        <v>31259</v>
      </c>
      <c r="F215" s="612" t="s">
        <v>34</v>
      </c>
      <c r="G215" s="612" t="s">
        <v>103</v>
      </c>
      <c r="H215" s="612" t="s">
        <v>219</v>
      </c>
      <c r="I215" s="612" t="s">
        <v>962</v>
      </c>
      <c r="J215" s="612" t="s">
        <v>42</v>
      </c>
      <c r="K215" s="612" t="s">
        <v>63</v>
      </c>
      <c r="L215" s="612" t="s">
        <v>2234</v>
      </c>
      <c r="M215" s="612" t="s">
        <v>167</v>
      </c>
      <c r="N215" s="612" t="s">
        <v>3384</v>
      </c>
      <c r="O215" s="613"/>
      <c r="P215" s="613"/>
    </row>
    <row r="216" spans="1:16" hidden="1">
      <c r="A216" s="612" t="s">
        <v>104</v>
      </c>
      <c r="B216" s="612">
        <v>1</v>
      </c>
      <c r="C216" s="612">
        <v>2</v>
      </c>
      <c r="D216" s="612" t="s">
        <v>44</v>
      </c>
      <c r="E216" s="612">
        <v>31240</v>
      </c>
      <c r="F216" s="612" t="s">
        <v>34</v>
      </c>
      <c r="G216" s="612" t="s">
        <v>103</v>
      </c>
      <c r="H216" s="612" t="s">
        <v>57</v>
      </c>
      <c r="I216" s="612" t="s">
        <v>98</v>
      </c>
      <c r="J216" s="612" t="s">
        <v>42</v>
      </c>
      <c r="K216" s="612" t="s">
        <v>33</v>
      </c>
      <c r="L216" s="612" t="s">
        <v>2234</v>
      </c>
      <c r="M216" s="612" t="s">
        <v>167</v>
      </c>
      <c r="N216" s="612" t="s">
        <v>3402</v>
      </c>
      <c r="O216" s="613"/>
      <c r="P216" s="612"/>
    </row>
    <row r="217" spans="1:16" hidden="1">
      <c r="A217" s="612" t="s">
        <v>164</v>
      </c>
      <c r="B217" s="612">
        <v>1</v>
      </c>
      <c r="C217" s="612">
        <v>2</v>
      </c>
      <c r="D217" s="612" t="s">
        <v>53</v>
      </c>
      <c r="E217" s="612">
        <v>31282</v>
      </c>
      <c r="F217" s="612" t="s">
        <v>34</v>
      </c>
      <c r="G217" s="612" t="s">
        <v>54</v>
      </c>
      <c r="H217" s="612" t="s">
        <v>57</v>
      </c>
      <c r="I217" s="612" t="s">
        <v>94</v>
      </c>
      <c r="J217" s="612" t="s">
        <v>42</v>
      </c>
      <c r="K217" s="612" t="s">
        <v>88</v>
      </c>
      <c r="L217" s="612" t="s">
        <v>2234</v>
      </c>
      <c r="M217" s="612" t="s">
        <v>3356</v>
      </c>
      <c r="N217" s="612" t="s">
        <v>3375</v>
      </c>
      <c r="O217" s="613"/>
      <c r="P217" s="612"/>
    </row>
    <row r="218" spans="1:16" hidden="1">
      <c r="A218" s="612" t="s">
        <v>164</v>
      </c>
      <c r="B218" s="612">
        <v>1</v>
      </c>
      <c r="C218" s="612">
        <v>2</v>
      </c>
      <c r="D218" s="612" t="s">
        <v>53</v>
      </c>
      <c r="E218" s="612">
        <v>31281</v>
      </c>
      <c r="F218" s="612" t="s">
        <v>56</v>
      </c>
      <c r="G218" s="612" t="s">
        <v>54</v>
      </c>
      <c r="H218" s="612" t="s">
        <v>2012</v>
      </c>
      <c r="I218" s="612" t="s">
        <v>165</v>
      </c>
      <c r="J218" s="612" t="s">
        <v>42</v>
      </c>
      <c r="K218" s="612" t="s">
        <v>88</v>
      </c>
      <c r="L218" s="612" t="s">
        <v>2234</v>
      </c>
      <c r="M218" s="612" t="s">
        <v>3356</v>
      </c>
      <c r="N218" s="612" t="s">
        <v>3375</v>
      </c>
      <c r="O218" s="613"/>
      <c r="P218" s="612"/>
    </row>
    <row r="219" spans="1:16" hidden="1">
      <c r="A219" s="612" t="s">
        <v>518</v>
      </c>
      <c r="B219" s="612">
        <v>1</v>
      </c>
      <c r="C219" s="612">
        <v>2</v>
      </c>
      <c r="D219" s="612" t="s">
        <v>53</v>
      </c>
      <c r="E219" s="612">
        <v>31267</v>
      </c>
      <c r="F219" s="612" t="s">
        <v>34</v>
      </c>
      <c r="G219" s="612" t="s">
        <v>241</v>
      </c>
      <c r="H219" s="612" t="s">
        <v>48</v>
      </c>
      <c r="I219" s="612" t="s">
        <v>120</v>
      </c>
      <c r="J219" s="612" t="s">
        <v>42</v>
      </c>
      <c r="K219" s="612" t="s">
        <v>63</v>
      </c>
      <c r="L219" s="612" t="s">
        <v>2234</v>
      </c>
      <c r="M219" s="612" t="s">
        <v>240</v>
      </c>
      <c r="N219" s="612" t="s">
        <v>3384</v>
      </c>
      <c r="O219" s="613"/>
      <c r="P219" s="613"/>
    </row>
    <row r="220" spans="1:16" hidden="1">
      <c r="A220" s="612" t="s">
        <v>590</v>
      </c>
      <c r="B220" s="612">
        <v>1</v>
      </c>
      <c r="C220" s="612">
        <v>2</v>
      </c>
      <c r="D220" s="612" t="s">
        <v>2339</v>
      </c>
      <c r="E220" s="612">
        <v>31284</v>
      </c>
      <c r="F220" s="612" t="s">
        <v>34</v>
      </c>
      <c r="G220" s="612" t="s">
        <v>563</v>
      </c>
      <c r="H220" s="612" t="s">
        <v>35</v>
      </c>
      <c r="I220" s="612" t="s">
        <v>1805</v>
      </c>
      <c r="J220" s="612" t="s">
        <v>28</v>
      </c>
      <c r="K220" s="612" t="s">
        <v>63</v>
      </c>
      <c r="L220" s="612" t="s">
        <v>2234</v>
      </c>
      <c r="M220" s="612" t="s">
        <v>102</v>
      </c>
      <c r="N220" s="612" t="s">
        <v>3375</v>
      </c>
      <c r="O220" s="613"/>
      <c r="P220" s="612"/>
    </row>
    <row r="221" spans="1:16" hidden="1">
      <c r="A221" s="612" t="s">
        <v>1836</v>
      </c>
      <c r="B221" s="612">
        <v>1</v>
      </c>
      <c r="C221" s="612">
        <v>2</v>
      </c>
      <c r="D221" s="612" t="s">
        <v>53</v>
      </c>
      <c r="E221" s="612">
        <v>31280</v>
      </c>
      <c r="F221" s="612" t="s">
        <v>34</v>
      </c>
      <c r="G221" s="612" t="s">
        <v>103</v>
      </c>
      <c r="H221" s="612" t="s">
        <v>57</v>
      </c>
      <c r="I221" s="612" t="s">
        <v>98</v>
      </c>
      <c r="J221" s="612" t="s">
        <v>42</v>
      </c>
      <c r="K221" s="612" t="s">
        <v>63</v>
      </c>
      <c r="L221" s="612" t="s">
        <v>2234</v>
      </c>
      <c r="M221" s="612" t="s">
        <v>167</v>
      </c>
      <c r="N221" s="612" t="s">
        <v>3375</v>
      </c>
      <c r="O221" s="613"/>
      <c r="P221" s="612"/>
    </row>
    <row r="222" spans="1:16" hidden="1">
      <c r="A222" s="612" t="s">
        <v>2499</v>
      </c>
      <c r="B222" s="612">
        <v>1</v>
      </c>
      <c r="C222" s="612">
        <v>2</v>
      </c>
      <c r="D222" s="612" t="s">
        <v>172</v>
      </c>
      <c r="E222" s="612">
        <v>31265</v>
      </c>
      <c r="F222" s="612" t="s">
        <v>56</v>
      </c>
      <c r="G222" s="612" t="s">
        <v>318</v>
      </c>
      <c r="H222" s="612" t="s">
        <v>35</v>
      </c>
      <c r="I222" s="612" t="s">
        <v>176</v>
      </c>
      <c r="J222" s="612" t="s">
        <v>171</v>
      </c>
      <c r="K222" s="612" t="s">
        <v>391</v>
      </c>
      <c r="L222" s="612" t="s">
        <v>2234</v>
      </c>
      <c r="M222" s="612" t="s">
        <v>60</v>
      </c>
      <c r="N222" s="612" t="s">
        <v>3373</v>
      </c>
      <c r="O222" s="613"/>
      <c r="P222" s="613"/>
    </row>
    <row r="223" spans="1:16" hidden="1">
      <c r="A223" s="612" t="s">
        <v>2510</v>
      </c>
      <c r="B223" s="612">
        <v>1</v>
      </c>
      <c r="C223" s="612">
        <v>2</v>
      </c>
      <c r="D223" s="612" t="s">
        <v>172</v>
      </c>
      <c r="E223" s="612">
        <v>31275</v>
      </c>
      <c r="F223" s="612" t="s">
        <v>56</v>
      </c>
      <c r="G223" s="612" t="s">
        <v>553</v>
      </c>
      <c r="H223" s="612" t="s">
        <v>35</v>
      </c>
      <c r="I223" s="612" t="s">
        <v>176</v>
      </c>
      <c r="J223" s="612" t="s">
        <v>171</v>
      </c>
      <c r="K223" s="612" t="s">
        <v>3337</v>
      </c>
      <c r="L223" s="612" t="s">
        <v>2234</v>
      </c>
      <c r="M223" s="612" t="s">
        <v>552</v>
      </c>
      <c r="N223" s="612" t="s">
        <v>3373</v>
      </c>
      <c r="O223" s="613"/>
      <c r="P223" s="613"/>
    </row>
    <row r="224" spans="1:16" hidden="1">
      <c r="A224" s="612" t="s">
        <v>1173</v>
      </c>
      <c r="B224" s="612">
        <v>2</v>
      </c>
      <c r="C224" s="612">
        <v>2</v>
      </c>
      <c r="D224" s="612" t="s">
        <v>44</v>
      </c>
      <c r="E224" s="612">
        <v>31289</v>
      </c>
      <c r="F224" s="612" t="s">
        <v>34</v>
      </c>
      <c r="G224" s="612" t="s">
        <v>103</v>
      </c>
      <c r="H224" s="612" t="s">
        <v>48</v>
      </c>
      <c r="I224" s="612" t="s">
        <v>131</v>
      </c>
      <c r="J224" s="612" t="s">
        <v>42</v>
      </c>
      <c r="K224" s="612" t="s">
        <v>1174</v>
      </c>
      <c r="L224" s="612" t="s">
        <v>2234</v>
      </c>
      <c r="M224" s="612" t="s">
        <v>167</v>
      </c>
      <c r="N224" s="612" t="s">
        <v>3392</v>
      </c>
      <c r="O224" s="613"/>
      <c r="P224" s="613"/>
    </row>
    <row r="225" spans="1:16" hidden="1">
      <c r="A225" s="612" t="s">
        <v>96</v>
      </c>
      <c r="B225" s="612">
        <v>1</v>
      </c>
      <c r="C225" s="612">
        <v>2</v>
      </c>
      <c r="D225" s="612" t="s">
        <v>737</v>
      </c>
      <c r="E225" s="612">
        <v>31276</v>
      </c>
      <c r="F225" s="612" t="s">
        <v>34</v>
      </c>
      <c r="G225" s="612" t="s">
        <v>1808</v>
      </c>
      <c r="H225" s="612" t="s">
        <v>35</v>
      </c>
      <c r="I225" s="612" t="s">
        <v>36</v>
      </c>
      <c r="J225" s="612" t="s">
        <v>28</v>
      </c>
      <c r="K225" s="612" t="s">
        <v>97</v>
      </c>
      <c r="L225" s="612" t="s">
        <v>2234</v>
      </c>
      <c r="M225" s="612"/>
      <c r="N225" s="612" t="s">
        <v>3384</v>
      </c>
      <c r="O225" s="613"/>
      <c r="P225" s="613"/>
    </row>
    <row r="226" spans="1:16" hidden="1">
      <c r="A226" s="612" t="s">
        <v>3236</v>
      </c>
      <c r="B226" s="612">
        <v>1</v>
      </c>
      <c r="C226" s="612">
        <v>1</v>
      </c>
      <c r="D226" s="612" t="s">
        <v>268</v>
      </c>
      <c r="E226" s="612">
        <v>31300</v>
      </c>
      <c r="F226" s="612" t="s">
        <v>34</v>
      </c>
      <c r="G226" s="612" t="s">
        <v>423</v>
      </c>
      <c r="H226" s="612" t="s">
        <v>35</v>
      </c>
      <c r="I226" s="612" t="s">
        <v>36</v>
      </c>
      <c r="J226" s="612" t="s">
        <v>28</v>
      </c>
      <c r="K226" s="612" t="s">
        <v>63</v>
      </c>
      <c r="L226" s="612" t="s">
        <v>3409</v>
      </c>
      <c r="M226" s="612" t="s">
        <v>240</v>
      </c>
      <c r="N226" s="612" t="s">
        <v>390</v>
      </c>
      <c r="O226" s="613"/>
      <c r="P226" s="612"/>
    </row>
    <row r="227" spans="1:16" hidden="1">
      <c r="A227" s="612" t="s">
        <v>3236</v>
      </c>
      <c r="B227" s="612">
        <v>1</v>
      </c>
      <c r="C227" s="612">
        <v>1</v>
      </c>
      <c r="D227" s="612" t="s">
        <v>268</v>
      </c>
      <c r="E227" s="612">
        <v>31299</v>
      </c>
      <c r="F227" s="612" t="s">
        <v>56</v>
      </c>
      <c r="G227" s="612" t="s">
        <v>173</v>
      </c>
      <c r="H227" s="612" t="s">
        <v>35</v>
      </c>
      <c r="I227" s="612" t="s">
        <v>176</v>
      </c>
      <c r="J227" s="612" t="s">
        <v>28</v>
      </c>
      <c r="K227" s="612" t="s">
        <v>63</v>
      </c>
      <c r="L227" s="612" t="s">
        <v>3409</v>
      </c>
      <c r="M227" s="612" t="s">
        <v>69</v>
      </c>
      <c r="N227" s="612" t="s">
        <v>390</v>
      </c>
      <c r="O227" s="613"/>
      <c r="P227" s="612"/>
    </row>
    <row r="228" spans="1:16" hidden="1">
      <c r="A228" s="612" t="s">
        <v>32</v>
      </c>
      <c r="B228" s="612">
        <v>1</v>
      </c>
      <c r="C228" s="612">
        <v>1</v>
      </c>
      <c r="D228" s="612" t="s">
        <v>172</v>
      </c>
      <c r="E228" s="612">
        <v>31295</v>
      </c>
      <c r="F228" s="612" t="s">
        <v>56</v>
      </c>
      <c r="G228" s="612" t="s">
        <v>2936</v>
      </c>
      <c r="H228" s="612" t="s">
        <v>35</v>
      </c>
      <c r="I228" s="612" t="s">
        <v>176</v>
      </c>
      <c r="J228" s="612" t="s">
        <v>171</v>
      </c>
      <c r="K228" s="612" t="s">
        <v>33</v>
      </c>
      <c r="L228" s="612" t="s">
        <v>3409</v>
      </c>
      <c r="M228" s="612"/>
      <c r="N228" s="612" t="s">
        <v>3384</v>
      </c>
      <c r="O228" s="613"/>
      <c r="P228" s="613"/>
    </row>
    <row r="229" spans="1:16" hidden="1">
      <c r="A229" s="612" t="s">
        <v>300</v>
      </c>
      <c r="B229" s="612">
        <v>1</v>
      </c>
      <c r="C229" s="612">
        <v>1</v>
      </c>
      <c r="D229" s="612" t="s">
        <v>53</v>
      </c>
      <c r="E229" s="612">
        <v>31311</v>
      </c>
      <c r="F229" s="612" t="s">
        <v>34</v>
      </c>
      <c r="G229" s="612" t="s">
        <v>241</v>
      </c>
      <c r="H229" s="612" t="s">
        <v>35</v>
      </c>
      <c r="I229" s="612" t="s">
        <v>36</v>
      </c>
      <c r="J229" s="612" t="s">
        <v>42</v>
      </c>
      <c r="K229" s="612" t="s">
        <v>33</v>
      </c>
      <c r="L229" s="612" t="s">
        <v>3409</v>
      </c>
      <c r="M229" s="612" t="s">
        <v>240</v>
      </c>
      <c r="N229" s="612" t="s">
        <v>390</v>
      </c>
      <c r="O229" s="613"/>
      <c r="P229" s="612"/>
    </row>
    <row r="230" spans="1:16" hidden="1">
      <c r="A230" s="612" t="s">
        <v>300</v>
      </c>
      <c r="B230" s="612">
        <v>1</v>
      </c>
      <c r="C230" s="612">
        <v>1</v>
      </c>
      <c r="D230" s="612" t="s">
        <v>53</v>
      </c>
      <c r="E230" s="612">
        <v>31312</v>
      </c>
      <c r="F230" s="612" t="s">
        <v>34</v>
      </c>
      <c r="G230" s="612" t="s">
        <v>241</v>
      </c>
      <c r="H230" s="612" t="s">
        <v>35</v>
      </c>
      <c r="I230" s="612" t="s">
        <v>36</v>
      </c>
      <c r="J230" s="612" t="s">
        <v>42</v>
      </c>
      <c r="K230" s="612" t="s">
        <v>33</v>
      </c>
      <c r="L230" s="612" t="s">
        <v>3409</v>
      </c>
      <c r="M230" s="612" t="s">
        <v>240</v>
      </c>
      <c r="N230" s="612" t="s">
        <v>390</v>
      </c>
      <c r="O230" s="613"/>
      <c r="P230" s="612"/>
    </row>
    <row r="231" spans="1:16" hidden="1">
      <c r="A231" s="612" t="s">
        <v>300</v>
      </c>
      <c r="B231" s="612">
        <v>1</v>
      </c>
      <c r="C231" s="612">
        <v>1</v>
      </c>
      <c r="D231" s="612" t="s">
        <v>53</v>
      </c>
      <c r="E231" s="612">
        <v>31308</v>
      </c>
      <c r="F231" s="612" t="s">
        <v>56</v>
      </c>
      <c r="G231" s="612" t="s">
        <v>241</v>
      </c>
      <c r="H231" s="612" t="s">
        <v>35</v>
      </c>
      <c r="I231" s="612" t="s">
        <v>176</v>
      </c>
      <c r="J231" s="612" t="s">
        <v>42</v>
      </c>
      <c r="K231" s="612" t="s">
        <v>33</v>
      </c>
      <c r="L231" s="612" t="s">
        <v>3409</v>
      </c>
      <c r="M231" s="612" t="s">
        <v>240</v>
      </c>
      <c r="N231" s="612" t="s">
        <v>390</v>
      </c>
      <c r="O231" s="613"/>
      <c r="P231" s="612"/>
    </row>
    <row r="232" spans="1:16" hidden="1">
      <c r="A232" s="612" t="s">
        <v>300</v>
      </c>
      <c r="B232" s="612">
        <v>1</v>
      </c>
      <c r="C232" s="612">
        <v>1</v>
      </c>
      <c r="D232" s="612" t="s">
        <v>53</v>
      </c>
      <c r="E232" s="612">
        <v>31309</v>
      </c>
      <c r="F232" s="612" t="s">
        <v>56</v>
      </c>
      <c r="G232" s="612" t="s">
        <v>241</v>
      </c>
      <c r="H232" s="612" t="s">
        <v>35</v>
      </c>
      <c r="I232" s="612" t="s">
        <v>176</v>
      </c>
      <c r="J232" s="612" t="s">
        <v>42</v>
      </c>
      <c r="K232" s="612" t="s">
        <v>33</v>
      </c>
      <c r="L232" s="612" t="s">
        <v>3409</v>
      </c>
      <c r="M232" s="612" t="s">
        <v>240</v>
      </c>
      <c r="N232" s="612" t="s">
        <v>390</v>
      </c>
      <c r="O232" s="613"/>
      <c r="P232" s="612"/>
    </row>
    <row r="233" spans="1:16" hidden="1">
      <c r="A233" s="612" t="s">
        <v>161</v>
      </c>
      <c r="B233" s="612">
        <v>1</v>
      </c>
      <c r="C233" s="612">
        <v>1</v>
      </c>
      <c r="D233" s="612" t="s">
        <v>53</v>
      </c>
      <c r="E233" s="612">
        <v>31286</v>
      </c>
      <c r="F233" s="612" t="s">
        <v>34</v>
      </c>
      <c r="G233" s="612" t="s">
        <v>61</v>
      </c>
      <c r="H233" s="612" t="s">
        <v>72</v>
      </c>
      <c r="I233" s="612" t="s">
        <v>3341</v>
      </c>
      <c r="J233" s="612" t="s">
        <v>42</v>
      </c>
      <c r="K233" s="612" t="s">
        <v>33</v>
      </c>
      <c r="L233" s="612" t="s">
        <v>3409</v>
      </c>
      <c r="M233" s="612" t="s">
        <v>60</v>
      </c>
      <c r="N233" s="612" t="s">
        <v>3375</v>
      </c>
      <c r="O233" s="613"/>
      <c r="P233" s="612"/>
    </row>
    <row r="234" spans="1:16" hidden="1">
      <c r="A234" s="612" t="s">
        <v>1275</v>
      </c>
      <c r="B234" s="612">
        <v>1</v>
      </c>
      <c r="C234" s="612">
        <v>1</v>
      </c>
      <c r="D234" s="612" t="s">
        <v>53</v>
      </c>
      <c r="E234" s="612">
        <v>31301</v>
      </c>
      <c r="F234" s="612" t="s">
        <v>34</v>
      </c>
      <c r="G234" s="612" t="s">
        <v>45</v>
      </c>
      <c r="H234" s="612" t="s">
        <v>48</v>
      </c>
      <c r="I234" s="612" t="s">
        <v>541</v>
      </c>
      <c r="J234" s="612" t="s">
        <v>42</v>
      </c>
      <c r="K234" s="612" t="s">
        <v>378</v>
      </c>
      <c r="L234" s="612" t="s">
        <v>3409</v>
      </c>
      <c r="M234" s="612" t="s">
        <v>43</v>
      </c>
      <c r="N234" s="612" t="s">
        <v>3375</v>
      </c>
      <c r="O234" s="613"/>
      <c r="P234" s="612"/>
    </row>
    <row r="235" spans="1:16" hidden="1">
      <c r="A235" s="612" t="s">
        <v>351</v>
      </c>
      <c r="B235" s="612">
        <v>1</v>
      </c>
      <c r="C235" s="612">
        <v>1</v>
      </c>
      <c r="D235" s="612" t="s">
        <v>44</v>
      </c>
      <c r="E235" s="612">
        <v>31291</v>
      </c>
      <c r="F235" s="612" t="s">
        <v>34</v>
      </c>
      <c r="G235" s="612" t="s">
        <v>241</v>
      </c>
      <c r="H235" s="612" t="s">
        <v>57</v>
      </c>
      <c r="I235" s="612" t="s">
        <v>470</v>
      </c>
      <c r="J235" s="612" t="s">
        <v>42</v>
      </c>
      <c r="K235" s="612" t="s">
        <v>63</v>
      </c>
      <c r="L235" s="612" t="s">
        <v>3409</v>
      </c>
      <c r="M235" s="612" t="s">
        <v>240</v>
      </c>
      <c r="N235" s="612" t="s">
        <v>3376</v>
      </c>
      <c r="O235" s="613"/>
      <c r="P235" s="612"/>
    </row>
    <row r="236" spans="1:16" hidden="1">
      <c r="A236" s="612" t="s">
        <v>747</v>
      </c>
      <c r="B236" s="612">
        <v>1</v>
      </c>
      <c r="C236" s="612">
        <v>1</v>
      </c>
      <c r="D236" s="612" t="s">
        <v>53</v>
      </c>
      <c r="E236" s="612">
        <v>31294</v>
      </c>
      <c r="F236" s="612" t="s">
        <v>34</v>
      </c>
      <c r="G236" s="612" t="s">
        <v>70</v>
      </c>
      <c r="H236" s="612" t="s">
        <v>57</v>
      </c>
      <c r="I236" s="612" t="s">
        <v>561</v>
      </c>
      <c r="J236" s="612" t="s">
        <v>42</v>
      </c>
      <c r="K236" s="612" t="s">
        <v>63</v>
      </c>
      <c r="L236" s="612" t="s">
        <v>3409</v>
      </c>
      <c r="M236" s="612" t="s">
        <v>69</v>
      </c>
      <c r="N236" s="612" t="s">
        <v>3379</v>
      </c>
      <c r="O236" s="613"/>
      <c r="P236" s="613"/>
    </row>
    <row r="237" spans="1:16" hidden="1">
      <c r="A237" s="612" t="s">
        <v>1103</v>
      </c>
      <c r="B237" s="612">
        <v>1</v>
      </c>
      <c r="C237" s="612">
        <v>1</v>
      </c>
      <c r="D237" s="612" t="s">
        <v>172</v>
      </c>
      <c r="E237" s="612">
        <v>31296</v>
      </c>
      <c r="F237" s="612" t="s">
        <v>56</v>
      </c>
      <c r="G237" s="612" t="s">
        <v>2936</v>
      </c>
      <c r="H237" s="612" t="s">
        <v>35</v>
      </c>
      <c r="I237" s="612" t="s">
        <v>176</v>
      </c>
      <c r="J237" s="612" t="s">
        <v>171</v>
      </c>
      <c r="K237" s="612" t="s">
        <v>93</v>
      </c>
      <c r="L237" s="612" t="s">
        <v>3409</v>
      </c>
      <c r="M237" s="612"/>
      <c r="N237" s="612" t="s">
        <v>3379</v>
      </c>
      <c r="O237" s="613"/>
      <c r="P237" s="613"/>
    </row>
    <row r="238" spans="1:16" hidden="1">
      <c r="A238" s="612" t="s">
        <v>3344</v>
      </c>
      <c r="B238" s="612">
        <v>1</v>
      </c>
      <c r="C238" s="612">
        <v>1</v>
      </c>
      <c r="D238" s="612" t="s">
        <v>30</v>
      </c>
      <c r="E238" s="612">
        <v>31320</v>
      </c>
      <c r="F238" s="612" t="s">
        <v>56</v>
      </c>
      <c r="G238" s="612" t="s">
        <v>614</v>
      </c>
      <c r="H238" s="612" t="s">
        <v>35</v>
      </c>
      <c r="I238" s="612" t="s">
        <v>176</v>
      </c>
      <c r="J238" s="612" t="s">
        <v>28</v>
      </c>
      <c r="K238" s="612" t="s">
        <v>611</v>
      </c>
      <c r="L238" s="612" t="s">
        <v>3409</v>
      </c>
      <c r="M238" s="612"/>
      <c r="N238" s="612" t="s">
        <v>3379</v>
      </c>
      <c r="O238" s="613"/>
      <c r="P238" s="613"/>
    </row>
    <row r="239" spans="1:16" hidden="1">
      <c r="A239" s="612" t="s">
        <v>2464</v>
      </c>
      <c r="B239" s="612">
        <v>1</v>
      </c>
      <c r="C239" s="612">
        <v>1</v>
      </c>
      <c r="D239" s="612" t="s">
        <v>268</v>
      </c>
      <c r="E239" s="612">
        <v>31304</v>
      </c>
      <c r="F239" s="612" t="s">
        <v>34</v>
      </c>
      <c r="G239" s="612" t="s">
        <v>423</v>
      </c>
      <c r="H239" s="612" t="s">
        <v>35</v>
      </c>
      <c r="I239" s="612" t="s">
        <v>36</v>
      </c>
      <c r="J239" s="612" t="s">
        <v>28</v>
      </c>
      <c r="K239" s="612" t="s">
        <v>999</v>
      </c>
      <c r="L239" s="612" t="s">
        <v>3409</v>
      </c>
      <c r="M239" s="612" t="s">
        <v>240</v>
      </c>
      <c r="N239" s="612" t="s">
        <v>3375</v>
      </c>
      <c r="O239" s="613"/>
      <c r="P239" s="612"/>
    </row>
    <row r="240" spans="1:16" hidden="1">
      <c r="A240" s="612" t="s">
        <v>1173</v>
      </c>
      <c r="B240" s="612">
        <v>1</v>
      </c>
      <c r="C240" s="612">
        <v>1</v>
      </c>
      <c r="D240" s="612" t="s">
        <v>53</v>
      </c>
      <c r="E240" s="612">
        <v>31316</v>
      </c>
      <c r="F240" s="612" t="s">
        <v>56</v>
      </c>
      <c r="G240" s="612" t="s">
        <v>103</v>
      </c>
      <c r="H240" s="612" t="s">
        <v>35</v>
      </c>
      <c r="I240" s="612" t="s">
        <v>176</v>
      </c>
      <c r="J240" s="612" t="s">
        <v>42</v>
      </c>
      <c r="K240" s="612" t="s">
        <v>1174</v>
      </c>
      <c r="L240" s="612" t="s">
        <v>3409</v>
      </c>
      <c r="M240" s="612" t="s">
        <v>167</v>
      </c>
      <c r="N240" s="612" t="s">
        <v>3386</v>
      </c>
      <c r="O240" s="613"/>
      <c r="P240" s="613"/>
    </row>
    <row r="241" spans="1:16" hidden="1">
      <c r="A241" s="612" t="s">
        <v>112</v>
      </c>
      <c r="B241" s="612">
        <v>1</v>
      </c>
      <c r="C241" s="612">
        <v>1</v>
      </c>
      <c r="D241" s="612" t="s">
        <v>461</v>
      </c>
      <c r="E241" s="612">
        <v>31283</v>
      </c>
      <c r="F241" s="612" t="s">
        <v>34</v>
      </c>
      <c r="G241" s="612" t="s">
        <v>61</v>
      </c>
      <c r="H241" s="612" t="s">
        <v>57</v>
      </c>
      <c r="I241" s="612" t="s">
        <v>151</v>
      </c>
      <c r="J241" s="612" t="s">
        <v>42</v>
      </c>
      <c r="K241" s="612" t="s">
        <v>63</v>
      </c>
      <c r="L241" s="612" t="s">
        <v>3409</v>
      </c>
      <c r="M241" s="612" t="s">
        <v>60</v>
      </c>
      <c r="N241" s="612" t="s">
        <v>3375</v>
      </c>
      <c r="O241" s="613"/>
      <c r="P241" s="612"/>
    </row>
    <row r="242" spans="1:16" hidden="1">
      <c r="A242" s="612" t="s">
        <v>488</v>
      </c>
      <c r="B242" s="612">
        <v>1</v>
      </c>
      <c r="C242" s="612">
        <v>1</v>
      </c>
      <c r="D242" s="612" t="s">
        <v>53</v>
      </c>
      <c r="E242" s="612">
        <v>31293</v>
      </c>
      <c r="F242" s="612" t="s">
        <v>34</v>
      </c>
      <c r="G242" s="612" t="s">
        <v>103</v>
      </c>
      <c r="H242" s="612" t="s">
        <v>210</v>
      </c>
      <c r="I242" s="612" t="s">
        <v>1170</v>
      </c>
      <c r="J242" s="612" t="s">
        <v>42</v>
      </c>
      <c r="K242" s="612" t="s">
        <v>63</v>
      </c>
      <c r="L242" s="612" t="s">
        <v>3409</v>
      </c>
      <c r="M242" s="612" t="s">
        <v>167</v>
      </c>
      <c r="N242" s="612" t="s">
        <v>3384</v>
      </c>
      <c r="O242" s="613"/>
      <c r="P242" s="613"/>
    </row>
    <row r="243" spans="1:16" hidden="1">
      <c r="A243" s="612" t="s">
        <v>700</v>
      </c>
      <c r="B243" s="612">
        <v>1</v>
      </c>
      <c r="C243" s="612">
        <v>1</v>
      </c>
      <c r="D243" s="612" t="s">
        <v>616</v>
      </c>
      <c r="E243" s="612">
        <v>31277</v>
      </c>
      <c r="F243" s="612" t="s">
        <v>34</v>
      </c>
      <c r="G243" s="612" t="s">
        <v>1808</v>
      </c>
      <c r="H243" s="612" t="s">
        <v>35</v>
      </c>
      <c r="I243" s="612" t="s">
        <v>711</v>
      </c>
      <c r="J243" s="612" t="s">
        <v>28</v>
      </c>
      <c r="K243" s="612" t="s">
        <v>47</v>
      </c>
      <c r="L243" s="612" t="s">
        <v>3409</v>
      </c>
      <c r="M243" s="612"/>
      <c r="N243" s="612" t="s">
        <v>3384</v>
      </c>
      <c r="O243" s="613"/>
      <c r="P243" s="613"/>
    </row>
    <row r="244" spans="1:16" hidden="1">
      <c r="A244" s="612" t="s">
        <v>865</v>
      </c>
      <c r="B244" s="612">
        <v>1</v>
      </c>
      <c r="C244" s="612">
        <v>1</v>
      </c>
      <c r="D244" s="612" t="s">
        <v>670</v>
      </c>
      <c r="E244" s="612">
        <v>31297</v>
      </c>
      <c r="F244" s="612" t="s">
        <v>34</v>
      </c>
      <c r="G244" s="612" t="s">
        <v>31</v>
      </c>
      <c r="H244" s="612" t="s">
        <v>48</v>
      </c>
      <c r="I244" s="612" t="s">
        <v>3348</v>
      </c>
      <c r="J244" s="612" t="s">
        <v>28</v>
      </c>
      <c r="K244" s="612" t="s">
        <v>93</v>
      </c>
      <c r="L244" s="612" t="s">
        <v>3409</v>
      </c>
      <c r="M244" s="612"/>
      <c r="N244" s="612" t="s">
        <v>3376</v>
      </c>
      <c r="O244" s="613"/>
      <c r="P244" s="612"/>
    </row>
    <row r="245" spans="1:16">
      <c r="A245" s="612" t="s">
        <v>3351</v>
      </c>
      <c r="B245" s="612">
        <v>1</v>
      </c>
      <c r="C245" s="612">
        <v>0</v>
      </c>
      <c r="D245" s="612" t="s">
        <v>461</v>
      </c>
      <c r="E245" s="612">
        <v>31302</v>
      </c>
      <c r="F245" s="612" t="s">
        <v>34</v>
      </c>
      <c r="G245" s="612" t="s">
        <v>70</v>
      </c>
      <c r="H245" s="612" t="s">
        <v>219</v>
      </c>
      <c r="I245" s="612" t="s">
        <v>3352</v>
      </c>
      <c r="J245" s="612" t="s">
        <v>42</v>
      </c>
      <c r="K245" s="613"/>
      <c r="L245" s="612" t="s">
        <v>3410</v>
      </c>
      <c r="M245" s="612" t="s">
        <v>69</v>
      </c>
      <c r="N245" s="612" t="s">
        <v>3386</v>
      </c>
      <c r="O245" s="613"/>
      <c r="P245" s="613"/>
    </row>
    <row r="246" spans="1:16">
      <c r="A246" s="612" t="s">
        <v>3236</v>
      </c>
      <c r="B246" s="612">
        <v>1</v>
      </c>
      <c r="C246" s="612">
        <v>0</v>
      </c>
      <c r="D246" s="612" t="s">
        <v>53</v>
      </c>
      <c r="E246" s="612">
        <v>31326</v>
      </c>
      <c r="F246" s="612" t="s">
        <v>34</v>
      </c>
      <c r="G246" s="612" t="s">
        <v>241</v>
      </c>
      <c r="H246" s="612" t="s">
        <v>57</v>
      </c>
      <c r="I246" s="612" t="s">
        <v>432</v>
      </c>
      <c r="J246" s="612" t="s">
        <v>42</v>
      </c>
      <c r="K246" s="612" t="s">
        <v>63</v>
      </c>
      <c r="L246" s="612" t="s">
        <v>3410</v>
      </c>
      <c r="M246" s="612" t="s">
        <v>240</v>
      </c>
      <c r="N246" s="612" t="s">
        <v>390</v>
      </c>
      <c r="O246" s="613"/>
      <c r="P246" s="612"/>
    </row>
    <row r="247" spans="1:16">
      <c r="A247" s="612" t="s">
        <v>564</v>
      </c>
      <c r="B247" s="612">
        <v>1</v>
      </c>
      <c r="C247" s="612">
        <v>0</v>
      </c>
      <c r="D247" s="612" t="s">
        <v>53</v>
      </c>
      <c r="E247" s="612">
        <v>31328</v>
      </c>
      <c r="F247" s="612" t="s">
        <v>34</v>
      </c>
      <c r="G247" s="612" t="s">
        <v>103</v>
      </c>
      <c r="H247" s="612" t="s">
        <v>72</v>
      </c>
      <c r="I247" s="612" t="s">
        <v>238</v>
      </c>
      <c r="J247" s="612" t="s">
        <v>42</v>
      </c>
      <c r="K247" s="612" t="s">
        <v>63</v>
      </c>
      <c r="L247" s="612" t="s">
        <v>3410</v>
      </c>
      <c r="M247" s="612" t="s">
        <v>167</v>
      </c>
      <c r="N247" s="612" t="s">
        <v>3384</v>
      </c>
      <c r="O247" s="613"/>
      <c r="P247" s="613"/>
    </row>
    <row r="248" spans="1:16">
      <c r="A248" s="612" t="s">
        <v>1254</v>
      </c>
      <c r="B248" s="612">
        <v>1</v>
      </c>
      <c r="C248" s="612">
        <v>0</v>
      </c>
      <c r="D248" s="612" t="s">
        <v>3353</v>
      </c>
      <c r="E248" s="612">
        <v>31323</v>
      </c>
      <c r="F248" s="612" t="s">
        <v>34</v>
      </c>
      <c r="G248" s="612" t="s">
        <v>1253</v>
      </c>
      <c r="H248" s="612" t="s">
        <v>48</v>
      </c>
      <c r="I248" s="612" t="s">
        <v>3354</v>
      </c>
      <c r="J248" s="612" t="s">
        <v>119</v>
      </c>
      <c r="K248" s="612" t="s">
        <v>119</v>
      </c>
      <c r="L248" s="612" t="s">
        <v>3410</v>
      </c>
      <c r="M248" s="612"/>
      <c r="N248" s="612" t="s">
        <v>3392</v>
      </c>
      <c r="O248" s="613"/>
      <c r="P248" s="613"/>
    </row>
    <row r="249" spans="1:16">
      <c r="A249" s="612" t="s">
        <v>3355</v>
      </c>
      <c r="B249" s="612">
        <v>1</v>
      </c>
      <c r="C249" s="612">
        <v>0</v>
      </c>
      <c r="D249" s="612" t="s">
        <v>268</v>
      </c>
      <c r="E249" s="612">
        <v>31333</v>
      </c>
      <c r="F249" s="612" t="s">
        <v>34</v>
      </c>
      <c r="G249" s="612" t="s">
        <v>330</v>
      </c>
      <c r="H249" s="612" t="s">
        <v>1243</v>
      </c>
      <c r="I249" s="612" t="s">
        <v>36</v>
      </c>
      <c r="J249" s="612" t="s">
        <v>28</v>
      </c>
      <c r="K249" s="612" t="s">
        <v>63</v>
      </c>
      <c r="L249" s="612" t="s">
        <v>3410</v>
      </c>
      <c r="M249" s="612" t="s">
        <v>60</v>
      </c>
      <c r="N249" s="612" t="s">
        <v>3384</v>
      </c>
      <c r="O249" s="613"/>
      <c r="P249" s="613"/>
    </row>
    <row r="250" spans="1:16">
      <c r="A250" s="612" t="s">
        <v>2612</v>
      </c>
      <c r="B250" s="612">
        <v>1</v>
      </c>
      <c r="C250" s="612">
        <v>0</v>
      </c>
      <c r="D250" s="612" t="s">
        <v>3353</v>
      </c>
      <c r="E250" s="612">
        <v>31325</v>
      </c>
      <c r="F250" s="612" t="s">
        <v>34</v>
      </c>
      <c r="G250" s="612" t="s">
        <v>2611</v>
      </c>
      <c r="H250" s="612" t="s">
        <v>48</v>
      </c>
      <c r="I250" s="612" t="s">
        <v>3354</v>
      </c>
      <c r="J250" s="612" t="s">
        <v>119</v>
      </c>
      <c r="K250" s="612" t="s">
        <v>119</v>
      </c>
      <c r="L250" s="612" t="s">
        <v>3410</v>
      </c>
      <c r="M250" s="612" t="s">
        <v>3324</v>
      </c>
      <c r="N250" s="612" t="s">
        <v>3392</v>
      </c>
      <c r="O250" s="613"/>
      <c r="P250" s="613"/>
    </row>
    <row r="251" spans="1:16">
      <c r="A251" s="612" t="s">
        <v>807</v>
      </c>
      <c r="B251" s="612">
        <v>1</v>
      </c>
      <c r="C251" s="612">
        <v>0</v>
      </c>
      <c r="D251" s="612" t="s">
        <v>44</v>
      </c>
      <c r="E251" s="612">
        <v>31334</v>
      </c>
      <c r="F251" s="612" t="s">
        <v>34</v>
      </c>
      <c r="G251" s="612" t="s">
        <v>228</v>
      </c>
      <c r="H251" s="612" t="s">
        <v>57</v>
      </c>
      <c r="I251" s="612" t="s">
        <v>231</v>
      </c>
      <c r="J251" s="612" t="s">
        <v>42</v>
      </c>
      <c r="K251" s="612" t="s">
        <v>88</v>
      </c>
      <c r="L251" s="612" t="s">
        <v>3410</v>
      </c>
      <c r="M251" s="612" t="s">
        <v>3356</v>
      </c>
      <c r="N251" s="612" t="s">
        <v>3375</v>
      </c>
      <c r="O251" s="613"/>
      <c r="P251" s="612"/>
    </row>
    <row r="252" spans="1:16">
      <c r="A252" s="612" t="s">
        <v>807</v>
      </c>
      <c r="B252" s="612">
        <v>1</v>
      </c>
      <c r="C252" s="612">
        <v>0</v>
      </c>
      <c r="D252" s="612" t="s">
        <v>116</v>
      </c>
      <c r="E252" s="612">
        <v>31324</v>
      </c>
      <c r="F252" s="612" t="s">
        <v>34</v>
      </c>
      <c r="G252" s="612" t="s">
        <v>228</v>
      </c>
      <c r="H252" s="612" t="s">
        <v>3357</v>
      </c>
      <c r="I252" s="612" t="s">
        <v>3358</v>
      </c>
      <c r="J252" s="612" t="s">
        <v>42</v>
      </c>
      <c r="K252" s="612" t="s">
        <v>88</v>
      </c>
      <c r="L252" s="612" t="s">
        <v>3410</v>
      </c>
      <c r="M252" s="612" t="s">
        <v>3356</v>
      </c>
      <c r="N252" s="612" t="s">
        <v>3386</v>
      </c>
      <c r="O252" s="613"/>
      <c r="P252" s="613"/>
    </row>
    <row r="253" spans="1:16">
      <c r="A253" s="612" t="s">
        <v>434</v>
      </c>
      <c r="B253" s="612">
        <v>1</v>
      </c>
      <c r="C253" s="612">
        <v>0</v>
      </c>
      <c r="D253" s="612" t="s">
        <v>44</v>
      </c>
      <c r="E253" s="612">
        <v>31329</v>
      </c>
      <c r="F253" s="612" t="s">
        <v>34</v>
      </c>
      <c r="G253" s="612" t="s">
        <v>54</v>
      </c>
      <c r="H253" s="612" t="s">
        <v>48</v>
      </c>
      <c r="I253" s="612" t="s">
        <v>49</v>
      </c>
      <c r="J253" s="612" t="s">
        <v>42</v>
      </c>
      <c r="K253" s="612" t="s">
        <v>435</v>
      </c>
      <c r="L253" s="612" t="s">
        <v>3410</v>
      </c>
      <c r="M253" s="612" t="s">
        <v>3356</v>
      </c>
      <c r="N253" s="612" t="s">
        <v>3379</v>
      </c>
      <c r="O253" s="613"/>
      <c r="P253" s="613"/>
    </row>
    <row r="254" spans="1:16">
      <c r="A254" s="612" t="s">
        <v>3359</v>
      </c>
      <c r="B254" s="612">
        <v>1</v>
      </c>
      <c r="C254" s="612">
        <v>0</v>
      </c>
      <c r="D254" s="612" t="s">
        <v>268</v>
      </c>
      <c r="E254" s="612">
        <v>31322</v>
      </c>
      <c r="F254" s="612" t="s">
        <v>34</v>
      </c>
      <c r="G254" s="612" t="s">
        <v>423</v>
      </c>
      <c r="H254" s="612" t="s">
        <v>35</v>
      </c>
      <c r="I254" s="612" t="s">
        <v>36</v>
      </c>
      <c r="J254" s="612" t="s">
        <v>28</v>
      </c>
      <c r="K254" s="612" t="s">
        <v>175</v>
      </c>
      <c r="L254" s="612" t="s">
        <v>3410</v>
      </c>
      <c r="M254" s="612" t="s">
        <v>240</v>
      </c>
      <c r="N254" s="612" t="s">
        <v>3376</v>
      </c>
      <c r="O254" s="613"/>
      <c r="P254" s="612"/>
    </row>
    <row r="255" spans="1:16">
      <c r="A255" s="612" t="s">
        <v>1173</v>
      </c>
      <c r="B255" s="612">
        <v>1</v>
      </c>
      <c r="C255" s="612">
        <v>0</v>
      </c>
      <c r="D255" s="612" t="s">
        <v>53</v>
      </c>
      <c r="E255" s="612">
        <v>31330</v>
      </c>
      <c r="F255" s="612" t="s">
        <v>34</v>
      </c>
      <c r="G255" s="612" t="s">
        <v>103</v>
      </c>
      <c r="H255" s="612" t="s">
        <v>35</v>
      </c>
      <c r="I255" s="612" t="s">
        <v>36</v>
      </c>
      <c r="J255" s="612" t="s">
        <v>42</v>
      </c>
      <c r="K255" s="612" t="s">
        <v>1174</v>
      </c>
      <c r="L255" s="612" t="s">
        <v>3410</v>
      </c>
      <c r="M255" s="612" t="s">
        <v>167</v>
      </c>
      <c r="N255" s="612" t="s">
        <v>3376</v>
      </c>
      <c r="O255" s="613"/>
      <c r="P255" s="612"/>
    </row>
    <row r="256" spans="1:16">
      <c r="A256" s="612" t="s">
        <v>1173</v>
      </c>
      <c r="B256" s="612">
        <v>1</v>
      </c>
      <c r="C256" s="612">
        <v>0</v>
      </c>
      <c r="D256" s="612" t="s">
        <v>53</v>
      </c>
      <c r="E256" s="612">
        <v>31331</v>
      </c>
      <c r="F256" s="612" t="s">
        <v>34</v>
      </c>
      <c r="G256" s="612" t="s">
        <v>103</v>
      </c>
      <c r="H256" s="612" t="s">
        <v>35</v>
      </c>
      <c r="I256" s="612" t="s">
        <v>36</v>
      </c>
      <c r="J256" s="612" t="s">
        <v>42</v>
      </c>
      <c r="K256" s="612" t="s">
        <v>1174</v>
      </c>
      <c r="L256" s="612" t="s">
        <v>3410</v>
      </c>
      <c r="M256" s="612" t="s">
        <v>167</v>
      </c>
      <c r="N256" s="612" t="s">
        <v>3375</v>
      </c>
      <c r="O256" s="613"/>
      <c r="P256" s="612"/>
    </row>
    <row r="257" spans="1:16">
      <c r="A257" s="612" t="s">
        <v>525</v>
      </c>
      <c r="B257" s="612">
        <v>1</v>
      </c>
      <c r="C257" s="612">
        <v>0</v>
      </c>
      <c r="D257" s="612" t="s">
        <v>53</v>
      </c>
      <c r="E257" s="612">
        <v>31332</v>
      </c>
      <c r="F257" s="612" t="s">
        <v>34</v>
      </c>
      <c r="G257" s="612" t="s">
        <v>70</v>
      </c>
      <c r="H257" s="612" t="s">
        <v>72</v>
      </c>
      <c r="I257" s="612" t="s">
        <v>151</v>
      </c>
      <c r="J257" s="612" t="s">
        <v>42</v>
      </c>
      <c r="K257" s="612" t="s">
        <v>63</v>
      </c>
      <c r="L257" s="612" t="s">
        <v>3410</v>
      </c>
      <c r="M257" s="612" t="s">
        <v>69</v>
      </c>
      <c r="N257" s="612" t="s">
        <v>3376</v>
      </c>
      <c r="O257" s="613"/>
      <c r="P257" s="612"/>
    </row>
    <row r="258" spans="1:16">
      <c r="A258" s="612" t="s">
        <v>907</v>
      </c>
      <c r="B258" s="612">
        <v>1</v>
      </c>
      <c r="C258" s="612">
        <v>0</v>
      </c>
      <c r="D258" s="612" t="s">
        <v>487</v>
      </c>
      <c r="E258" s="612">
        <v>31292</v>
      </c>
      <c r="F258" s="612" t="s">
        <v>34</v>
      </c>
      <c r="G258" s="612" t="s">
        <v>330</v>
      </c>
      <c r="H258" s="612" t="s">
        <v>35</v>
      </c>
      <c r="I258" s="612" t="s">
        <v>36</v>
      </c>
      <c r="J258" s="612" t="s">
        <v>28</v>
      </c>
      <c r="K258" s="612" t="s">
        <v>63</v>
      </c>
      <c r="L258" s="612" t="s">
        <v>3410</v>
      </c>
      <c r="M258" s="612" t="s">
        <v>60</v>
      </c>
      <c r="N258" s="612" t="s">
        <v>3376</v>
      </c>
      <c r="O258" s="613"/>
      <c r="P258" s="612"/>
    </row>
    <row r="259" spans="1:16">
      <c r="A259" s="612" t="s">
        <v>3360</v>
      </c>
      <c r="B259" s="612">
        <v>1</v>
      </c>
      <c r="C259" s="612">
        <v>0</v>
      </c>
      <c r="D259" s="612" t="s">
        <v>268</v>
      </c>
      <c r="E259" s="612">
        <v>31321</v>
      </c>
      <c r="F259" s="612" t="s">
        <v>34</v>
      </c>
      <c r="G259" s="612" t="s">
        <v>614</v>
      </c>
      <c r="H259" s="612" t="s">
        <v>35</v>
      </c>
      <c r="I259" s="612" t="s">
        <v>36</v>
      </c>
      <c r="J259" s="612" t="s">
        <v>28</v>
      </c>
      <c r="K259" s="612" t="s">
        <v>1739</v>
      </c>
      <c r="L259" s="612" t="s">
        <v>3410</v>
      </c>
      <c r="M259" s="612"/>
      <c r="N259" s="612" t="s">
        <v>3375</v>
      </c>
      <c r="O259" s="613"/>
      <c r="P259" s="612"/>
    </row>
  </sheetData>
  <autoFilter ref="A1:O259" xr:uid="{0FA10EBB-8A91-4D15-902A-EF50F13AAD23}">
    <filterColumn colId="11">
      <filters>
        <filter val="23/07/2026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A43B-9287-4EF0-909F-A841ABAFE75C}">
  <dimension ref="A1:J25"/>
  <sheetViews>
    <sheetView workbookViewId="0">
      <selection activeCell="A8" sqref="A8"/>
    </sheetView>
  </sheetViews>
  <sheetFormatPr defaultRowHeight="15"/>
  <cols>
    <col min="1" max="1" width="26.85546875" customWidth="1"/>
    <col min="2" max="2" width="15.85546875" bestFit="1" customWidth="1"/>
    <col min="3" max="3" width="15.85546875" customWidth="1"/>
    <col min="4" max="4" width="15" bestFit="1" customWidth="1"/>
    <col min="5" max="5" width="15" customWidth="1"/>
    <col min="6" max="6" width="29.5703125" customWidth="1"/>
    <col min="7" max="7" width="13.5703125" customWidth="1"/>
    <col min="9" max="9" width="31.7109375" customWidth="1"/>
    <col min="10" max="10" width="26.7109375" customWidth="1"/>
  </cols>
  <sheetData>
    <row r="1" spans="1:10">
      <c r="A1" s="3" t="s">
        <v>3411</v>
      </c>
      <c r="B1" s="4" t="s">
        <v>3412</v>
      </c>
      <c r="C1" s="4" t="s">
        <v>3413</v>
      </c>
      <c r="D1" s="5" t="s">
        <v>3414</v>
      </c>
      <c r="E1" s="5" t="s">
        <v>3413</v>
      </c>
      <c r="F1" s="6" t="s">
        <v>22</v>
      </c>
      <c r="G1" s="7" t="s">
        <v>5</v>
      </c>
      <c r="H1" s="20" t="s">
        <v>3415</v>
      </c>
      <c r="I1" s="27" t="s">
        <v>3416</v>
      </c>
      <c r="J1" s="27" t="s">
        <v>3417</v>
      </c>
    </row>
    <row r="2" spans="1:10">
      <c r="A2" s="1"/>
      <c r="B2" s="8" t="s">
        <v>145</v>
      </c>
      <c r="C2" s="8" t="s">
        <v>2250</v>
      </c>
      <c r="D2" s="8" t="s">
        <v>132</v>
      </c>
      <c r="E2" s="8" t="s">
        <v>2250</v>
      </c>
      <c r="F2" s="1" t="s">
        <v>810</v>
      </c>
      <c r="G2" s="1" t="s">
        <v>28</v>
      </c>
      <c r="H2" s="1" t="s">
        <v>3418</v>
      </c>
      <c r="I2" t="s">
        <v>1027</v>
      </c>
      <c r="J2" t="s">
        <v>1027</v>
      </c>
    </row>
    <row r="3" spans="1:10">
      <c r="A3" s="1" t="s">
        <v>91</v>
      </c>
      <c r="B3" s="8" t="s">
        <v>43</v>
      </c>
      <c r="C3" s="8" t="s">
        <v>97</v>
      </c>
      <c r="D3" s="8" t="s">
        <v>76</v>
      </c>
      <c r="E3" s="8" t="s">
        <v>2250</v>
      </c>
      <c r="F3" s="1" t="s">
        <v>284</v>
      </c>
      <c r="G3" s="1" t="s">
        <v>42</v>
      </c>
      <c r="H3" s="1" t="s">
        <v>3419</v>
      </c>
      <c r="I3" t="s">
        <v>91</v>
      </c>
      <c r="J3" t="s">
        <v>1977</v>
      </c>
    </row>
    <row r="4" spans="1:10">
      <c r="A4" s="1" t="s">
        <v>259</v>
      </c>
      <c r="B4" s="8" t="s">
        <v>102</v>
      </c>
      <c r="C4" s="8" t="s">
        <v>2250</v>
      </c>
      <c r="D4" s="8" t="s">
        <v>67</v>
      </c>
      <c r="E4" s="8" t="s">
        <v>2250</v>
      </c>
      <c r="F4" s="1" t="s">
        <v>188</v>
      </c>
      <c r="G4" s="1" t="s">
        <v>119</v>
      </c>
      <c r="H4" s="1"/>
      <c r="I4" t="s">
        <v>259</v>
      </c>
      <c r="J4" t="s">
        <v>1977</v>
      </c>
    </row>
    <row r="5" spans="1:10">
      <c r="A5" s="1" t="s">
        <v>214</v>
      </c>
      <c r="B5" s="8" t="s">
        <v>60</v>
      </c>
      <c r="C5" s="8" t="s">
        <v>2250</v>
      </c>
      <c r="D5" s="8" t="s">
        <v>50</v>
      </c>
      <c r="E5" s="8" t="s">
        <v>97</v>
      </c>
      <c r="F5" s="1" t="s">
        <v>40</v>
      </c>
      <c r="G5" s="1"/>
      <c r="H5" s="1"/>
      <c r="I5" t="s">
        <v>214</v>
      </c>
      <c r="J5" t="s">
        <v>1977</v>
      </c>
    </row>
    <row r="6" spans="1:10">
      <c r="A6" s="1" t="s">
        <v>822</v>
      </c>
      <c r="B6" s="8" t="s">
        <v>69</v>
      </c>
      <c r="C6" s="8" t="s">
        <v>2250</v>
      </c>
      <c r="D6" s="8" t="s">
        <v>38</v>
      </c>
      <c r="E6" s="8" t="s">
        <v>88</v>
      </c>
      <c r="F6" s="1" t="s">
        <v>967</v>
      </c>
      <c r="G6" s="1"/>
      <c r="H6" s="1"/>
      <c r="I6" t="s">
        <v>569</v>
      </c>
      <c r="J6" t="s">
        <v>3420</v>
      </c>
    </row>
    <row r="7" spans="1:10">
      <c r="A7" s="1" t="s">
        <v>3421</v>
      </c>
      <c r="B7" s="8" t="s">
        <v>240</v>
      </c>
      <c r="C7" s="8" t="s">
        <v>2250</v>
      </c>
      <c r="D7" s="1" t="s">
        <v>109</v>
      </c>
      <c r="E7" s="1" t="s">
        <v>2250</v>
      </c>
      <c r="F7" s="1" t="s">
        <v>52</v>
      </c>
      <c r="G7" s="1"/>
      <c r="H7" s="1"/>
      <c r="I7" t="s">
        <v>3422</v>
      </c>
      <c r="J7" t="s">
        <v>3420</v>
      </c>
    </row>
    <row r="8" spans="1:10">
      <c r="A8" s="1" t="s">
        <v>879</v>
      </c>
      <c r="B8" s="8" t="s">
        <v>29</v>
      </c>
      <c r="C8" s="8" t="s">
        <v>88</v>
      </c>
      <c r="D8" s="1" t="s">
        <v>552</v>
      </c>
      <c r="E8" s="1"/>
      <c r="F8" s="2"/>
      <c r="G8" s="1"/>
      <c r="H8" s="1"/>
      <c r="I8" t="s">
        <v>3423</v>
      </c>
      <c r="J8" t="s">
        <v>3420</v>
      </c>
    </row>
    <row r="9" spans="1:10">
      <c r="A9" s="1" t="s">
        <v>833</v>
      </c>
      <c r="B9" s="1" t="s">
        <v>767</v>
      </c>
      <c r="C9" s="1" t="s">
        <v>2250</v>
      </c>
      <c r="D9" s="1"/>
      <c r="E9" s="1"/>
      <c r="F9" s="2"/>
      <c r="G9" s="1"/>
      <c r="H9" s="1"/>
      <c r="I9" t="s">
        <v>822</v>
      </c>
      <c r="J9" t="s">
        <v>3424</v>
      </c>
    </row>
    <row r="10" spans="1:10">
      <c r="A10" s="1" t="s">
        <v>781</v>
      </c>
      <c r="B10" s="1" t="s">
        <v>3425</v>
      </c>
      <c r="C10" s="1" t="s">
        <v>2250</v>
      </c>
      <c r="D10" s="1"/>
      <c r="E10" s="1"/>
      <c r="F10" s="2"/>
      <c r="G10" s="1"/>
      <c r="H10" s="1"/>
      <c r="I10" t="s">
        <v>3421</v>
      </c>
      <c r="J10" t="s">
        <v>3424</v>
      </c>
    </row>
    <row r="11" spans="1:10">
      <c r="A11" s="1" t="s">
        <v>3426</v>
      </c>
      <c r="B11" s="1" t="s">
        <v>821</v>
      </c>
      <c r="C11" s="1" t="s">
        <v>2250</v>
      </c>
      <c r="D11" s="1"/>
      <c r="E11" s="1"/>
      <c r="F11" s="2"/>
      <c r="G11" s="1"/>
      <c r="H11" s="1"/>
      <c r="I11" t="s">
        <v>879</v>
      </c>
      <c r="J11" t="s">
        <v>3424</v>
      </c>
    </row>
    <row r="12" spans="1:10">
      <c r="A12" s="1" t="s">
        <v>569</v>
      </c>
      <c r="B12" s="1" t="s">
        <v>663</v>
      </c>
      <c r="C12" s="1" t="s">
        <v>88</v>
      </c>
      <c r="D12" s="1"/>
      <c r="E12" s="1"/>
      <c r="F12" s="2"/>
      <c r="G12" s="1"/>
      <c r="H12" s="1"/>
      <c r="I12" t="s">
        <v>833</v>
      </c>
      <c r="J12" t="s">
        <v>3427</v>
      </c>
    </row>
    <row r="13" spans="1:10">
      <c r="A13" s="1" t="s">
        <v>3422</v>
      </c>
      <c r="B13" s="1" t="s">
        <v>552</v>
      </c>
      <c r="C13" s="1"/>
      <c r="D13" s="1"/>
      <c r="E13" s="1"/>
      <c r="F13" s="2"/>
      <c r="G13" s="1"/>
      <c r="H13" s="1"/>
      <c r="I13" t="s">
        <v>781</v>
      </c>
      <c r="J13" t="s">
        <v>3427</v>
      </c>
    </row>
    <row r="14" spans="1:10">
      <c r="A14" s="1" t="s">
        <v>3423</v>
      </c>
      <c r="B14" s="1"/>
      <c r="C14" s="1"/>
      <c r="D14" s="1"/>
      <c r="E14" s="1"/>
      <c r="F14" s="2"/>
      <c r="G14" s="1"/>
      <c r="H14" s="1"/>
      <c r="I14" t="s">
        <v>3426</v>
      </c>
      <c r="J14" t="s">
        <v>3427</v>
      </c>
    </row>
    <row r="15" spans="1:10">
      <c r="A15" s="1" t="s">
        <v>1137</v>
      </c>
      <c r="B15" s="1"/>
      <c r="C15" s="1"/>
      <c r="D15" s="1"/>
      <c r="E15" s="1"/>
      <c r="F15" s="2"/>
      <c r="G15" s="1"/>
      <c r="H15" s="1"/>
      <c r="I15" t="s">
        <v>1137</v>
      </c>
      <c r="J15" t="s">
        <v>3428</v>
      </c>
    </row>
    <row r="16" spans="1:10">
      <c r="A16" s="1" t="s">
        <v>3429</v>
      </c>
      <c r="B16" s="1"/>
      <c r="C16" s="1"/>
      <c r="D16" s="1"/>
      <c r="E16" s="1"/>
      <c r="F16" s="2"/>
      <c r="G16" s="1"/>
      <c r="H16" s="1"/>
      <c r="I16" t="s">
        <v>3429</v>
      </c>
      <c r="J16" t="s">
        <v>3428</v>
      </c>
    </row>
    <row r="17" spans="1:10">
      <c r="A17" s="1" t="s">
        <v>3430</v>
      </c>
      <c r="B17" s="1"/>
      <c r="C17" s="1"/>
      <c r="D17" s="1"/>
      <c r="E17" s="1"/>
      <c r="F17" s="2"/>
      <c r="G17" s="1"/>
      <c r="H17" s="1"/>
      <c r="I17" t="s">
        <v>3430</v>
      </c>
      <c r="J17" t="s">
        <v>3428</v>
      </c>
    </row>
    <row r="18" spans="1:10">
      <c r="A18" s="1" t="s">
        <v>181</v>
      </c>
      <c r="B18" s="1"/>
      <c r="C18" s="1"/>
      <c r="D18" s="1"/>
      <c r="E18" s="1"/>
      <c r="F18" s="2"/>
      <c r="G18" s="1"/>
      <c r="H18" s="1"/>
      <c r="I18" t="s">
        <v>181</v>
      </c>
      <c r="J18" t="s">
        <v>3431</v>
      </c>
    </row>
    <row r="19" spans="1:10">
      <c r="A19" s="1" t="s">
        <v>334</v>
      </c>
      <c r="B19" s="1"/>
      <c r="C19" s="1"/>
      <c r="D19" s="1"/>
      <c r="E19" s="1"/>
      <c r="F19" s="2"/>
      <c r="G19" s="1"/>
      <c r="H19" s="1"/>
      <c r="I19" t="s">
        <v>334</v>
      </c>
      <c r="J19" t="s">
        <v>3431</v>
      </c>
    </row>
    <row r="20" spans="1:10">
      <c r="A20" s="1" t="s">
        <v>279</v>
      </c>
      <c r="B20" s="1"/>
      <c r="C20" s="1"/>
      <c r="D20" s="1"/>
      <c r="E20" s="1"/>
      <c r="F20" s="2"/>
      <c r="G20" s="1"/>
      <c r="H20" s="1"/>
      <c r="I20" t="s">
        <v>279</v>
      </c>
      <c r="J20" t="s">
        <v>3431</v>
      </c>
    </row>
    <row r="21" spans="1:10">
      <c r="A21" s="1" t="s">
        <v>3432</v>
      </c>
      <c r="B21" s="1"/>
      <c r="C21" s="1"/>
      <c r="D21" s="1"/>
      <c r="E21" s="1"/>
      <c r="F21" s="2"/>
      <c r="G21" s="1"/>
      <c r="H21" s="1"/>
      <c r="I21" t="s">
        <v>3433</v>
      </c>
      <c r="J21" t="s">
        <v>3434</v>
      </c>
    </row>
    <row r="22" spans="1:10">
      <c r="A22" s="1" t="s">
        <v>3435</v>
      </c>
      <c r="B22" s="1"/>
      <c r="C22" s="1"/>
      <c r="D22" s="1"/>
      <c r="E22" s="1"/>
      <c r="F22" s="1"/>
      <c r="G22" s="1"/>
      <c r="H22" s="1"/>
      <c r="I22" t="s">
        <v>3435</v>
      </c>
      <c r="J22" t="s">
        <v>3435</v>
      </c>
    </row>
    <row r="23" spans="1:10">
      <c r="A23" s="1" t="s">
        <v>52</v>
      </c>
      <c r="B23" s="1"/>
      <c r="C23" s="1"/>
      <c r="D23" s="1"/>
      <c r="E23" s="1"/>
      <c r="F23" s="1"/>
      <c r="G23" s="1"/>
      <c r="H23" s="1"/>
      <c r="I23" t="s">
        <v>52</v>
      </c>
      <c r="J23" t="s">
        <v>52</v>
      </c>
    </row>
    <row r="24" spans="1:10">
      <c r="A24" s="1" t="s">
        <v>638</v>
      </c>
      <c r="B24" s="1"/>
      <c r="C24" s="1"/>
      <c r="D24" s="1"/>
      <c r="E24" s="1"/>
      <c r="F24" s="1"/>
      <c r="G24" s="1"/>
      <c r="H24" s="1"/>
      <c r="I24" t="s">
        <v>638</v>
      </c>
      <c r="J24" t="s">
        <v>1977</v>
      </c>
    </row>
    <row r="25" spans="1:10">
      <c r="A25" s="1" t="s">
        <v>40</v>
      </c>
      <c r="B25" s="1"/>
      <c r="C25" s="1"/>
      <c r="D25" s="1"/>
      <c r="E25" s="1"/>
      <c r="F25" s="1"/>
      <c r="G25" s="1"/>
      <c r="H25" s="1"/>
      <c r="I25" t="s">
        <v>40</v>
      </c>
      <c r="J25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01048a-009a-4836-9f62-092ef8ae0b52">
      <Terms xmlns="http://schemas.microsoft.com/office/infopath/2007/PartnerControls"/>
    </lcf76f155ced4ddcb4097134ff3c332f>
    <TaxCatchAll xmlns="cc6c09bf-b4b1-4b31-ac4e-8acfb713d06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68712003ABBB45ABF3BB32E758BDF2" ma:contentTypeVersion="11" ma:contentTypeDescription="Create a new document." ma:contentTypeScope="" ma:versionID="1de93d84889a7105f4367299215d5804">
  <xsd:schema xmlns:xsd="http://www.w3.org/2001/XMLSchema" xmlns:xs="http://www.w3.org/2001/XMLSchema" xmlns:p="http://schemas.microsoft.com/office/2006/metadata/properties" xmlns:ns2="5e01048a-009a-4836-9f62-092ef8ae0b52" xmlns:ns3="cc6c09bf-b4b1-4b31-ac4e-8acfb713d068" targetNamespace="http://schemas.microsoft.com/office/2006/metadata/properties" ma:root="true" ma:fieldsID="be4bf065816af6e622d43230ffee7fc1" ns2:_="" ns3:_="">
    <xsd:import namespace="5e01048a-009a-4836-9f62-092ef8ae0b52"/>
    <xsd:import namespace="cc6c09bf-b4b1-4b31-ac4e-8acfb713d0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1048a-009a-4836-9f62-092ef8ae0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202fd5e-2eba-492b-8349-c60b889c14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c09bf-b4b1-4b31-ac4e-8acfb713d0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6d47844-4d1c-4adc-a672-47b84b3325d2}" ma:internalName="TaxCatchAll" ma:showField="CatchAllData" ma:web="cc6c09bf-b4b1-4b31-ac4e-8acfb713d0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6A1A67-91A3-489A-A98F-6F215EDBC670}"/>
</file>

<file path=customXml/itemProps2.xml><?xml version="1.0" encoding="utf-8"?>
<ds:datastoreItem xmlns:ds="http://schemas.openxmlformats.org/officeDocument/2006/customXml" ds:itemID="{B6342676-7904-4A30-9ECF-924BE2921F05}"/>
</file>

<file path=customXml/itemProps3.xml><?xml version="1.0" encoding="utf-8"?>
<ds:datastoreItem xmlns:ds="http://schemas.openxmlformats.org/officeDocument/2006/customXml" ds:itemID="{D42FDE87-0495-4611-B041-0F5E72304D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2026-04-20T13:43:39Z</dcterms:created>
  <dcterms:modified xsi:type="dcterms:W3CDTF">2026-07-24T12:19:29Z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0x0101007F68712003ABBB45ABF3BB32E758BDF2</vt:lpwstr>
  </property>
  <property fmtid="{D5CDD505-2E9C-101B-9397-08002B2CF9AE}" pid="3" name="MediaServiceImageTags">
    <vt:lpwstr/>
  </property>
</Properties>
</file>